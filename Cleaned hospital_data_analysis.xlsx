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PC\OneDrive\Desktop\"/>
    </mc:Choice>
  </mc:AlternateContent>
  <xr:revisionPtr revIDLastSave="0" documentId="13_ncr:1_{010F0B1D-28A6-4CDE-AAFC-5DF97FEB0B3F}" xr6:coauthVersionLast="47" xr6:coauthVersionMax="47" xr10:uidLastSave="{00000000-0000-0000-0000-000000000000}"/>
  <bookViews>
    <workbookView xWindow="-108" yWindow="-108" windowWidth="23256" windowHeight="12576" xr2:uid="{ED524834-B768-49B4-BFA7-23CB21F09B45}"/>
  </bookViews>
  <sheets>
    <sheet name="Pivotchart" sheetId="3" r:id="rId1"/>
    <sheet name="hospital_data_analysis" sheetId="1" r:id="rId2"/>
  </sheet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3" i="1"/>
</calcChain>
</file>

<file path=xl/sharedStrings.xml><?xml version="1.0" encoding="utf-8"?>
<sst xmlns="http://schemas.openxmlformats.org/spreadsheetml/2006/main" count="4974" uniqueCount="58">
  <si>
    <t>Patient_ID</t>
  </si>
  <si>
    <t>Age</t>
  </si>
  <si>
    <t>Gender</t>
  </si>
  <si>
    <t>Condition</t>
  </si>
  <si>
    <t>Cost</t>
  </si>
  <si>
    <t>Length_of_Stay</t>
  </si>
  <si>
    <t>Readmission</t>
  </si>
  <si>
    <t>Outcome</t>
  </si>
  <si>
    <t>Satisfaction</t>
  </si>
  <si>
    <t>Female</t>
  </si>
  <si>
    <t>Heart Disease</t>
  </si>
  <si>
    <t>Angioplasty</t>
  </si>
  <si>
    <t>No</t>
  </si>
  <si>
    <t>Recovered</t>
  </si>
  <si>
    <t>Male</t>
  </si>
  <si>
    <t>Diabetes</t>
  </si>
  <si>
    <t>Insulin Therapy</t>
  </si>
  <si>
    <t>Yes</t>
  </si>
  <si>
    <t>Stable</t>
  </si>
  <si>
    <t>Fractured Arm</t>
  </si>
  <si>
    <t>X-Ray and Splint</t>
  </si>
  <si>
    <t>Stroke</t>
  </si>
  <si>
    <t>CT Scan and Medication</t>
  </si>
  <si>
    <t>Cancer</t>
  </si>
  <si>
    <t>Surgery and Chemotherapy</t>
  </si>
  <si>
    <t>Hypertension</t>
  </si>
  <si>
    <t>Medication and Counseling</t>
  </si>
  <si>
    <t>Appendicitis</t>
  </si>
  <si>
    <t>Appendectomy</t>
  </si>
  <si>
    <t>Fractured Leg</t>
  </si>
  <si>
    <t>Cast and Physical Therapy</t>
  </si>
  <si>
    <t>Heart Attack</t>
  </si>
  <si>
    <t>Cardiac Catheterization</t>
  </si>
  <si>
    <t>Allergic Reaction</t>
  </si>
  <si>
    <t>Epinephrine Injection</t>
  </si>
  <si>
    <t>Respiratory Infection</t>
  </si>
  <si>
    <t>Antibiotics and Rest</t>
  </si>
  <si>
    <t>Prostate Cancer</t>
  </si>
  <si>
    <t>Radiation Therapy</t>
  </si>
  <si>
    <t>Childbirth</t>
  </si>
  <si>
    <t>Delivery and Postnatal Care</t>
  </si>
  <si>
    <t>Kidney Stones</t>
  </si>
  <si>
    <t>Lithotripsy</t>
  </si>
  <si>
    <t>Osteoarthritis</t>
  </si>
  <si>
    <t>Physical Therapy and Pain Management</t>
  </si>
  <si>
    <t>Stay class</t>
  </si>
  <si>
    <t>PROCEDURE</t>
  </si>
  <si>
    <t>COST</t>
  </si>
  <si>
    <t>Row Labels</t>
  </si>
  <si>
    <t>(blank)</t>
  </si>
  <si>
    <t>Grand Total</t>
  </si>
  <si>
    <t>Column Labels</t>
  </si>
  <si>
    <t>long</t>
  </si>
  <si>
    <t>medium</t>
  </si>
  <si>
    <t>short</t>
  </si>
  <si>
    <t>Sum of COST2</t>
  </si>
  <si>
    <t>CONDITION</t>
  </si>
  <si>
    <t>TOTAL COST PER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</si>
</sst>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3" fillId="33" borderId="11" xfId="0" applyFont="1" applyFill="1" applyBorder="1"/>
    <xf numFmtId="0" fontId="13" fillId="33" borderId="12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6" fillId="0" borderId="16" xfId="0" applyFont="1" applyBorder="1"/>
    <xf numFmtId="0" fontId="16" fillId="0" borderId="17" xfId="0" applyFont="1" applyBorder="1"/>
    <xf numFmtId="0" fontId="0" fillId="0" borderId="18" xfId="0" applyFont="1" applyBorder="1"/>
    <xf numFmtId="0" fontId="0" fillId="0" borderId="19" xfId="0" applyFont="1" applyBorder="1"/>
    <xf numFmtId="0" fontId="0" fillId="0" borderId="20" xfId="0" applyFont="1" applyBorder="1"/>
    <xf numFmtId="0" fontId="0" fillId="0" borderId="2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b val="0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</border>
    </dxf>
  </dxfs>
  <tableStyles count="1" defaultTableStyle="TableStyleMedium2" defaultPivotStyle="PivotStyleLight16">
    <tableStyle name="Table Style 1" pivot="0" count="0" xr9:uid="{CFD47B0A-D879-4BA4-B48C-FF5C5A5AF6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[hospital_data_analysis.xlsx]Pivotchart!PivotTable1</c:name>
    <c:fmtId val="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Pivotchart!$B$3:$B$4</c:f>
              <c:strCache>
                <c:ptCount val="1"/>
                <c:pt idx="0">
                  <c:v>long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Pivotchart!$A$5:$A$21</c:f>
              <c:strCache>
                <c:ptCount val="16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  <c:pt idx="15">
                  <c:v>(blank)</c:v>
                </c:pt>
              </c:strCache>
            </c:strRef>
          </c:cat>
          <c:val>
            <c:numRef>
              <c:f>Pivotchart!$B$5:$B$21</c:f>
              <c:numCache>
                <c:formatCode>General</c:formatCode>
                <c:ptCount val="16"/>
                <c:pt idx="2">
                  <c:v>1650000</c:v>
                </c:pt>
                <c:pt idx="7">
                  <c:v>1206000</c:v>
                </c:pt>
                <c:pt idx="12">
                  <c:v>1300000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1-45B8-923E-C6BB88BF6F63}"/>
            </c:ext>
          </c:extLst>
        </c:ser>
        <c:ser>
          <c:idx val="1"/>
          <c:order val="1"/>
          <c:tx>
            <c:strRef>
              <c:f>Pivotchart!$C$3:$C$4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Pivotchart!$A$5:$A$21</c:f>
              <c:strCache>
                <c:ptCount val="16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  <c:pt idx="15">
                  <c:v>(blank)</c:v>
                </c:pt>
              </c:strCache>
            </c:strRef>
          </c:cat>
          <c:val>
            <c:numRef>
              <c:f>Pivotchart!$C$5:$C$21</c:f>
              <c:numCache>
                <c:formatCode>General</c:formatCode>
                <c:ptCount val="16"/>
                <c:pt idx="1">
                  <c:v>528000</c:v>
                </c:pt>
                <c:pt idx="6">
                  <c:v>201000</c:v>
                </c:pt>
                <c:pt idx="8">
                  <c:v>975000</c:v>
                </c:pt>
                <c:pt idx="10">
                  <c:v>390000</c:v>
                </c:pt>
                <c:pt idx="11">
                  <c:v>256000</c:v>
                </c:pt>
                <c:pt idx="14">
                  <c:v>660000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1-45B8-923E-C6BB88BF6F63}"/>
            </c:ext>
          </c:extLst>
        </c:ser>
        <c:ser>
          <c:idx val="2"/>
          <c:order val="2"/>
          <c:tx>
            <c:strRef>
              <c:f>Pivotchart!$D$3:$D$4</c:f>
              <c:strCache>
                <c:ptCount val="1"/>
                <c:pt idx="0">
                  <c:v>short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Pivotchart!$A$5:$A$21</c:f>
              <c:strCache>
                <c:ptCount val="16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  <c:pt idx="15">
                  <c:v>(blank)</c:v>
                </c:pt>
              </c:strCache>
            </c:strRef>
          </c:cat>
          <c:val>
            <c:numRef>
              <c:f>Pivotchart!$D$5:$D$21</c:f>
              <c:numCache>
                <c:formatCode>General</c:formatCode>
                <c:ptCount val="16"/>
                <c:pt idx="0">
                  <c:v>6600</c:v>
                </c:pt>
                <c:pt idx="3">
                  <c:v>780000</c:v>
                </c:pt>
                <c:pt idx="4">
                  <c:v>130000</c:v>
                </c:pt>
                <c:pt idx="5">
                  <c:v>33000</c:v>
                </c:pt>
                <c:pt idx="9">
                  <c:v>66000</c:v>
                </c:pt>
                <c:pt idx="13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C1-45B8-923E-C6BB88BF6F63}"/>
            </c:ext>
          </c:extLst>
        </c:ser>
        <c:ser>
          <c:idx val="3"/>
          <c:order val="3"/>
          <c:tx>
            <c:strRef>
              <c:f>Pivotchart!$E$3:$E$4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Pivotchart!$A$5:$A$21</c:f>
              <c:strCache>
                <c:ptCount val="16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  <c:pt idx="15">
                  <c:v>(blank)</c:v>
                </c:pt>
              </c:strCache>
            </c:strRef>
          </c:cat>
          <c:val>
            <c:numRef>
              <c:f>Pivotchart!$E$5:$E$21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3-E8C1-45B8-923E-C6BB88BF6F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272637167"/>
        <c:axId val="1272644847"/>
      </c:barChart>
      <c:catAx>
        <c:axId val="127263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644847"/>
        <c:crosses val="autoZero"/>
        <c:auto val="1"/>
        <c:lblAlgn val="ctr"/>
        <c:lblOffset val="100"/>
        <c:noMultiLvlLbl val="0"/>
      </c:catAx>
      <c:valAx>
        <c:axId val="127264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63716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585844</xdr:colOff>
      <xdr:row>1</xdr:row>
      <xdr:rowOff>170329</xdr:rowOff>
    </xdr:from>
    <xdr:to>
      <xdr:col>16</xdr:col>
      <xdr:colOff>220084</xdr:colOff>
      <xdr:row>20</xdr:row>
      <xdr:rowOff>177949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70A6F-6369-7916-137E-56971F8A7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 PC" refreshedDate="46183.634569907408" createdVersion="8" refreshedVersion="8" minRefreshableVersion="3" recordCount="985" xr:uid="{46263915-FD98-43C5-B64C-12181E35DFFF}">
  <cacheSource type="worksheet">
    <worksheetSource ref="A1:O1048576" sheet="hospital_data_analysis"/>
  </cacheSource>
  <cacheFields count="15">
    <cacheField name="Patient_ID" numFmtId="0">
      <sharedItems containsString="0" containsBlank="1" containsNumber="1" containsInteger="1" minValue="1" maxValue="1000"/>
    </cacheField>
    <cacheField name="Age" numFmtId="0">
      <sharedItems containsString="0" containsBlank="1" containsNumber="1" containsInteger="1" minValue="25" maxValue="78"/>
    </cacheField>
    <cacheField name="Gender" numFmtId="0">
      <sharedItems containsBlank="1"/>
    </cacheField>
    <cacheField name="Condition" numFmtId="0">
      <sharedItems containsBlank="1"/>
    </cacheField>
    <cacheField name="PROCEDURE" numFmtId="0">
      <sharedItems containsBlank="1"/>
    </cacheField>
    <cacheField name="Cost" numFmtId="0">
      <sharedItems containsString="0" containsBlank="1" containsNumber="1" containsInteger="1" minValue="100" maxValue="25000"/>
    </cacheField>
    <cacheField name="Length_of_Stay" numFmtId="0">
      <sharedItems containsString="0" containsBlank="1" containsNumber="1" containsInteger="1" minValue="1" maxValue="76"/>
    </cacheField>
    <cacheField name="Readmission" numFmtId="0">
      <sharedItems containsBlank="1"/>
    </cacheField>
    <cacheField name="Outcome" numFmtId="0">
      <sharedItems containsBlank="1"/>
    </cacheField>
    <cacheField name="Satisfaction" numFmtId="0">
      <sharedItems containsString="0" containsBlank="1" containsNumber="1" containsInteger="1" minValue="2" maxValue="5"/>
    </cacheField>
    <cacheField name="Stay class" numFmtId="0">
      <sharedItems containsBlank="1" count="4">
        <s v="medium"/>
        <s v="short"/>
        <s v="long"/>
        <m/>
      </sharedItems>
    </cacheField>
    <cacheField name="Field12" caption="Field12" numFmtId="0">
      <sharedItems containsNonDate="0" containsString="0" containsBlank="1"/>
    </cacheField>
    <cacheField name="Field13" caption="Field13" numFmtId="0">
      <sharedItems containsNonDate="0" containsString="0" containsBlank="1"/>
    </cacheField>
    <cacheField name="Condition2" numFmtId="0">
      <sharedItems containsBlank="1" count="16">
        <s v="Heart Disease"/>
        <s v="Diabetes"/>
        <s v="Fractured Arm"/>
        <s v="Stroke"/>
        <s v="Cancer"/>
        <s v="Hypertension"/>
        <s v="Appendicitis"/>
        <s v="Fractured Leg"/>
        <s v="Heart Attack"/>
        <s v="Allergic Reaction"/>
        <s v="Respiratory Infection"/>
        <s v="Prostate Cancer"/>
        <s v="Childbirth"/>
        <s v="Kidney Stones"/>
        <s v="Osteoarthritis"/>
        <m/>
      </sharedItems>
    </cacheField>
    <cacheField name="COST2" numFmtId="0">
      <sharedItems containsString="0" containsBlank="1" containsNumber="1" containsInteger="1" minValue="6600" maxValue="16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5">
  <r>
    <n v="1"/>
    <n v="45"/>
    <s v="Female"/>
    <s v="Heart Disease"/>
    <s v="Angioplasty"/>
    <n v="15000"/>
    <n v="5"/>
    <s v="No"/>
    <s v="Recovered"/>
    <n v="4"/>
    <x v="0"/>
    <m/>
    <m/>
    <x v="0"/>
    <n v="975000"/>
  </r>
  <r>
    <n v="2"/>
    <n v="60"/>
    <s v="Male"/>
    <s v="Diabetes"/>
    <s v="Insulin Therapy"/>
    <n v="2000"/>
    <n v="3"/>
    <s v="Yes"/>
    <s v="Stable"/>
    <n v="3"/>
    <x v="1"/>
    <m/>
    <m/>
    <x v="1"/>
    <n v="130000"/>
  </r>
  <r>
    <n v="3"/>
    <n v="32"/>
    <s v="Female"/>
    <s v="Fractured Arm"/>
    <s v="X-Ray and Splint"/>
    <n v="500"/>
    <n v="1"/>
    <s v="No"/>
    <s v="Recovered"/>
    <n v="5"/>
    <x v="1"/>
    <m/>
    <m/>
    <x v="2"/>
    <n v="33000"/>
  </r>
  <r>
    <n v="4"/>
    <n v="75"/>
    <s v="Male"/>
    <s v="Stroke"/>
    <s v="CT Scan and Medication"/>
    <n v="10000"/>
    <n v="7"/>
    <s v="Yes"/>
    <s v="Stable"/>
    <n v="2"/>
    <x v="0"/>
    <m/>
    <m/>
    <x v="3"/>
    <n v="660000"/>
  </r>
  <r>
    <n v="5"/>
    <n v="50"/>
    <s v="Female"/>
    <s v="Cancer"/>
    <s v="Surgery and Chemotherapy"/>
    <n v="25000"/>
    <n v="10"/>
    <s v="No"/>
    <s v="Recovered"/>
    <n v="4"/>
    <x v="2"/>
    <m/>
    <m/>
    <x v="4"/>
    <n v="1650000"/>
  </r>
  <r>
    <n v="6"/>
    <n v="68"/>
    <s v="Male"/>
    <s v="Hypertension"/>
    <s v="Medication and Counseling"/>
    <n v="1000"/>
    <n v="2"/>
    <s v="No"/>
    <s v="Stable"/>
    <n v="4"/>
    <x v="1"/>
    <m/>
    <m/>
    <x v="5"/>
    <n v="66000"/>
  </r>
  <r>
    <n v="7"/>
    <n v="55"/>
    <s v="Female"/>
    <s v="Appendicitis"/>
    <s v="Appendectomy"/>
    <n v="8000"/>
    <n v="4"/>
    <s v="No"/>
    <s v="Recovered"/>
    <n v="3"/>
    <x v="0"/>
    <m/>
    <m/>
    <x v="6"/>
    <n v="528000"/>
  </r>
  <r>
    <n v="8"/>
    <n v="40"/>
    <s v="Male"/>
    <s v="Fractured Leg"/>
    <s v="Cast and Physical Therapy"/>
    <n v="3000"/>
    <n v="6"/>
    <s v="No"/>
    <s v="Recovered"/>
    <n v="4"/>
    <x v="0"/>
    <m/>
    <m/>
    <x v="7"/>
    <n v="201000"/>
  </r>
  <r>
    <n v="9"/>
    <n v="70"/>
    <s v="Female"/>
    <s v="Heart Attack"/>
    <s v="Cardiac Catheterization"/>
    <n v="18000"/>
    <n v="8"/>
    <s v="Yes"/>
    <s v="Stable"/>
    <n v="2"/>
    <x v="2"/>
    <m/>
    <m/>
    <x v="8"/>
    <n v="1206000"/>
  </r>
  <r>
    <n v="10"/>
    <n v="25"/>
    <s v="Male"/>
    <s v="Allergic Reaction"/>
    <s v="Epinephrine Injection"/>
    <n v="100"/>
    <n v="1"/>
    <s v="No"/>
    <s v="Recovered"/>
    <n v="5"/>
    <x v="1"/>
    <m/>
    <m/>
    <x v="9"/>
    <n v="6600"/>
  </r>
  <r>
    <n v="11"/>
    <n v="48"/>
    <s v="Female"/>
    <s v="Respiratory Infection"/>
    <s v="Antibiotics and Rest"/>
    <n v="800"/>
    <n v="2"/>
    <s v="No"/>
    <s v="Stable"/>
    <n v="4"/>
    <x v="1"/>
    <m/>
    <m/>
    <x v="10"/>
    <n v="52000"/>
  </r>
  <r>
    <n v="12"/>
    <n v="65"/>
    <s v="Male"/>
    <s v="Prostate Cancer"/>
    <s v="Radiation Therapy"/>
    <n v="20000"/>
    <n v="9"/>
    <s v="No"/>
    <s v="Recovered"/>
    <n v="3"/>
    <x v="2"/>
    <m/>
    <m/>
    <x v="11"/>
    <n v="1300000"/>
  </r>
  <r>
    <n v="13"/>
    <n v="30"/>
    <s v="Female"/>
    <s v="Childbirth"/>
    <s v="Delivery and Postnatal Care"/>
    <n v="12000"/>
    <n v="3"/>
    <s v="No"/>
    <s v="Recovered"/>
    <n v="4"/>
    <x v="1"/>
    <m/>
    <m/>
    <x v="12"/>
    <n v="780000"/>
  </r>
  <r>
    <n v="14"/>
    <n v="52"/>
    <s v="Male"/>
    <s v="Kidney Stones"/>
    <s v="Lithotripsy"/>
    <n v="6000"/>
    <n v="4"/>
    <s v="No"/>
    <s v="Recovered"/>
    <n v="3"/>
    <x v="0"/>
    <m/>
    <m/>
    <x v="13"/>
    <n v="390000"/>
  </r>
  <r>
    <n v="15"/>
    <n v="58"/>
    <s v="Female"/>
    <s v="Osteoarthritis"/>
    <s v="Physical Therapy and Pain Management"/>
    <n v="4000"/>
    <n v="5"/>
    <s v="No"/>
    <s v="Stable"/>
    <n v="4"/>
    <x v="0"/>
    <m/>
    <m/>
    <x v="14"/>
    <n v="256000"/>
  </r>
  <r>
    <n v="16"/>
    <n v="55"/>
    <s v="Female"/>
    <s v="Heart Disease"/>
    <s v="Angioplasty"/>
    <n v="15000"/>
    <n v="6"/>
    <s v="Yes"/>
    <s v="Recovered"/>
    <n v="3"/>
    <x v="0"/>
    <m/>
    <m/>
    <x v="15"/>
    <m/>
  </r>
  <r>
    <n v="17"/>
    <n v="62"/>
    <s v="Male"/>
    <s v="Diabetes"/>
    <s v="Insulin Therapy"/>
    <n v="2000"/>
    <n v="4"/>
    <s v="No"/>
    <s v="Stable"/>
    <n v="4"/>
    <x v="0"/>
    <m/>
    <m/>
    <x v="15"/>
    <m/>
  </r>
  <r>
    <n v="18"/>
    <n v="35"/>
    <s v="Female"/>
    <s v="Fractured Arm"/>
    <s v="X-Ray and Splint"/>
    <n v="500"/>
    <n v="2"/>
    <s v="Yes"/>
    <s v="Recovered"/>
    <n v="5"/>
    <x v="1"/>
    <m/>
    <m/>
    <x v="15"/>
    <m/>
  </r>
  <r>
    <n v="19"/>
    <n v="78"/>
    <s v="Male"/>
    <s v="Stroke"/>
    <s v="CT Scan and Medication"/>
    <n v="10000"/>
    <n v="8"/>
    <s v="No"/>
    <s v="Stable"/>
    <n v="2"/>
    <x v="2"/>
    <m/>
    <m/>
    <x v="15"/>
    <m/>
  </r>
  <r>
    <n v="20"/>
    <n v="53"/>
    <s v="Female"/>
    <s v="Cancer"/>
    <s v="Surgery and Chemotherapy"/>
    <n v="25000"/>
    <n v="11"/>
    <s v="Yes"/>
    <s v="Recovered"/>
    <n v="4"/>
    <x v="2"/>
    <m/>
    <m/>
    <x v="15"/>
    <m/>
  </r>
  <r>
    <n v="21"/>
    <n v="72"/>
    <s v="Male"/>
    <s v="Hypertension"/>
    <s v="Medication and Counseling"/>
    <n v="1000"/>
    <n v="3"/>
    <s v="No"/>
    <s v="Stable"/>
    <n v="4"/>
    <x v="1"/>
    <m/>
    <m/>
    <x v="15"/>
    <m/>
  </r>
  <r>
    <n v="22"/>
    <n v="60"/>
    <s v="Female"/>
    <s v="Appendicitis"/>
    <s v="Appendectomy"/>
    <n v="8000"/>
    <n v="5"/>
    <s v="Yes"/>
    <s v="Recovered"/>
    <n v="3"/>
    <x v="0"/>
    <m/>
    <m/>
    <x v="15"/>
    <m/>
  </r>
  <r>
    <n v="23"/>
    <n v="45"/>
    <s v="Male"/>
    <s v="Fractured Leg"/>
    <s v="Cast and Physical Therapy"/>
    <n v="3000"/>
    <n v="7"/>
    <s v="No"/>
    <s v="Recovered"/>
    <n v="4"/>
    <x v="0"/>
    <m/>
    <m/>
    <x v="15"/>
    <m/>
  </r>
  <r>
    <n v="24"/>
    <n v="75"/>
    <s v="Female"/>
    <s v="Heart Attack"/>
    <s v="Cardiac Catheterization"/>
    <n v="18000"/>
    <n v="9"/>
    <s v="Yes"/>
    <s v="Stable"/>
    <n v="2"/>
    <x v="2"/>
    <m/>
    <m/>
    <x v="15"/>
    <m/>
  </r>
  <r>
    <n v="25"/>
    <n v="28"/>
    <s v="Male"/>
    <s v="Allergic Reaction"/>
    <s v="Epinephrine Injection"/>
    <n v="100"/>
    <n v="2"/>
    <s v="No"/>
    <s v="Recovered"/>
    <n v="5"/>
    <x v="1"/>
    <m/>
    <m/>
    <x v="15"/>
    <m/>
  </r>
  <r>
    <n v="26"/>
    <n v="52"/>
    <s v="Female"/>
    <s v="Respiratory Infection"/>
    <s v="Antibiotics and Rest"/>
    <n v="800"/>
    <n v="3"/>
    <s v="No"/>
    <s v="Stable"/>
    <n v="4"/>
    <x v="1"/>
    <m/>
    <m/>
    <x v="15"/>
    <m/>
  </r>
  <r>
    <n v="27"/>
    <n v="67"/>
    <s v="Male"/>
    <s v="Prostate Cancer"/>
    <s v="Radiation Therapy"/>
    <n v="20000"/>
    <n v="10"/>
    <s v="No"/>
    <s v="Recovered"/>
    <n v="3"/>
    <x v="2"/>
    <m/>
    <m/>
    <x v="15"/>
    <m/>
  </r>
  <r>
    <n v="28"/>
    <n v="35"/>
    <s v="Female"/>
    <s v="Childbirth"/>
    <s v="Delivery and Postnatal Care"/>
    <n v="12000"/>
    <n v="4"/>
    <s v="No"/>
    <s v="Recovered"/>
    <n v="4"/>
    <x v="0"/>
    <m/>
    <m/>
    <x v="15"/>
    <m/>
  </r>
  <r>
    <n v="29"/>
    <n v="50"/>
    <s v="Male"/>
    <s v="Kidney Stones"/>
    <s v="Lithotripsy"/>
    <n v="6000"/>
    <n v="5"/>
    <s v="No"/>
    <s v="Recovered"/>
    <n v="3"/>
    <x v="0"/>
    <m/>
    <m/>
    <x v="15"/>
    <m/>
  </r>
  <r>
    <n v="30"/>
    <n v="60"/>
    <s v="Female"/>
    <s v="Osteoarthritis"/>
    <s v="Physical Therapy and Pain Management"/>
    <n v="4000"/>
    <n v="6"/>
    <s v="No"/>
    <s v="Stable"/>
    <n v="4"/>
    <x v="0"/>
    <m/>
    <m/>
    <x v="15"/>
    <m/>
  </r>
  <r>
    <n v="31"/>
    <n v="48"/>
    <s v="Female"/>
    <s v="Heart Disease"/>
    <s v="Angioplasty"/>
    <n v="15000"/>
    <n v="7"/>
    <s v="Yes"/>
    <s v="Recovered"/>
    <n v="4"/>
    <x v="0"/>
    <m/>
    <m/>
    <x v="15"/>
    <m/>
  </r>
  <r>
    <n v="32"/>
    <n v="65"/>
    <s v="Male"/>
    <s v="Diabetes"/>
    <s v="Insulin Therapy"/>
    <n v="2000"/>
    <n v="5"/>
    <s v="No"/>
    <s v="Stable"/>
    <n v="3"/>
    <x v="0"/>
    <m/>
    <m/>
    <x v="15"/>
    <m/>
  </r>
  <r>
    <n v="33"/>
    <n v="30"/>
    <s v="Female"/>
    <s v="Fractured Arm"/>
    <s v="X-Ray and Splint"/>
    <n v="500"/>
    <n v="3"/>
    <s v="No"/>
    <s v="Recovered"/>
    <n v="5"/>
    <x v="1"/>
    <m/>
    <m/>
    <x v="15"/>
    <m/>
  </r>
  <r>
    <n v="34"/>
    <n v="70"/>
    <s v="Male"/>
    <s v="Stroke"/>
    <s v="CT Scan and Medication"/>
    <n v="10000"/>
    <n v="9"/>
    <s v="Yes"/>
    <s v="Stable"/>
    <n v="2"/>
    <x v="2"/>
    <m/>
    <m/>
    <x v="15"/>
    <m/>
  </r>
  <r>
    <n v="35"/>
    <n v="55"/>
    <s v="Female"/>
    <s v="Cancer"/>
    <s v="Surgery and Chemotherapy"/>
    <n v="25000"/>
    <n v="12"/>
    <s v="No"/>
    <s v="Recovered"/>
    <n v="4"/>
    <x v="2"/>
    <m/>
    <m/>
    <x v="15"/>
    <m/>
  </r>
  <r>
    <n v="36"/>
    <n v="68"/>
    <s v="Male"/>
    <s v="Hypertension"/>
    <s v="Medication and Counseling"/>
    <n v="1000"/>
    <n v="4"/>
    <s v="No"/>
    <s v="Stable"/>
    <n v="4"/>
    <x v="0"/>
    <m/>
    <m/>
    <x v="15"/>
    <m/>
  </r>
  <r>
    <n v="37"/>
    <n v="45"/>
    <s v="Female"/>
    <s v="Appendicitis"/>
    <s v="Appendectomy"/>
    <n v="8000"/>
    <n v="6"/>
    <s v="No"/>
    <s v="Recovered"/>
    <n v="3"/>
    <x v="0"/>
    <m/>
    <m/>
    <x v="15"/>
    <m/>
  </r>
  <r>
    <n v="38"/>
    <n v="40"/>
    <s v="Male"/>
    <s v="Fractured Leg"/>
    <s v="Cast and Physical Therapy"/>
    <n v="3000"/>
    <n v="8"/>
    <s v="No"/>
    <s v="Recovered"/>
    <n v="4"/>
    <x v="2"/>
    <m/>
    <m/>
    <x v="15"/>
    <m/>
  </r>
  <r>
    <n v="39"/>
    <n v="78"/>
    <s v="Female"/>
    <s v="Heart Attack"/>
    <s v="Cardiac Catheterization"/>
    <n v="18000"/>
    <n v="10"/>
    <s v="Yes"/>
    <s v="Stable"/>
    <n v="2"/>
    <x v="2"/>
    <m/>
    <m/>
    <x v="15"/>
    <m/>
  </r>
  <r>
    <n v="40"/>
    <n v="25"/>
    <s v="Male"/>
    <s v="Allergic Reaction"/>
    <s v="Epinephrine Injection"/>
    <n v="100"/>
    <n v="3"/>
    <s v="No"/>
    <s v="Recovered"/>
    <n v="5"/>
    <x v="1"/>
    <m/>
    <m/>
    <x v="15"/>
    <m/>
  </r>
  <r>
    <n v="41"/>
    <n v="52"/>
    <s v="Female"/>
    <s v="Respiratory Infection"/>
    <s v="Antibiotics and Rest"/>
    <n v="800"/>
    <n v="4"/>
    <s v="No"/>
    <s v="Stable"/>
    <n v="4"/>
    <x v="0"/>
    <m/>
    <m/>
    <x v="15"/>
    <m/>
  </r>
  <r>
    <n v="42"/>
    <n v="58"/>
    <s v="Male"/>
    <s v="Prostate Cancer"/>
    <s v="Radiation Therapy"/>
    <n v="20000"/>
    <n v="11"/>
    <s v="No"/>
    <s v="Recovered"/>
    <n v="3"/>
    <x v="2"/>
    <m/>
    <m/>
    <x v="15"/>
    <m/>
  </r>
  <r>
    <n v="43"/>
    <n v="32"/>
    <s v="Female"/>
    <s v="Childbirth"/>
    <s v="Delivery and Postnatal Care"/>
    <n v="12000"/>
    <n v="5"/>
    <s v="No"/>
    <s v="Recovered"/>
    <n v="4"/>
    <x v="0"/>
    <m/>
    <m/>
    <x v="15"/>
    <m/>
  </r>
  <r>
    <n v="44"/>
    <n v="55"/>
    <s v="Male"/>
    <s v="Kidney Stones"/>
    <s v="Lithotripsy"/>
    <n v="6000"/>
    <n v="6"/>
    <s v="No"/>
    <s v="Recovered"/>
    <n v="3"/>
    <x v="0"/>
    <m/>
    <m/>
    <x v="15"/>
    <m/>
  </r>
  <r>
    <n v="45"/>
    <n v="65"/>
    <s v="Female"/>
    <s v="Osteoarthritis"/>
    <s v="Physical Therapy and Pain Management"/>
    <n v="4000"/>
    <n v="7"/>
    <s v="No"/>
    <s v="Stable"/>
    <n v="4"/>
    <x v="0"/>
    <m/>
    <m/>
    <x v="15"/>
    <m/>
  </r>
  <r>
    <n v="46"/>
    <n v="55"/>
    <s v="Female"/>
    <s v="Heart Disease"/>
    <s v="Angioplasty"/>
    <n v="15000"/>
    <n v="8"/>
    <s v="Yes"/>
    <s v="Recovered"/>
    <n v="3"/>
    <x v="2"/>
    <m/>
    <m/>
    <x v="15"/>
    <m/>
  </r>
  <r>
    <n v="47"/>
    <n v="62"/>
    <s v="Male"/>
    <s v="Diabetes"/>
    <s v="Insulin Therapy"/>
    <n v="2000"/>
    <n v="6"/>
    <s v="No"/>
    <s v="Stable"/>
    <n v="4"/>
    <x v="0"/>
    <m/>
    <m/>
    <x v="15"/>
    <m/>
  </r>
  <r>
    <n v="48"/>
    <n v="35"/>
    <s v="Female"/>
    <s v="Fractured Arm"/>
    <s v="X-Ray and Splint"/>
    <n v="500"/>
    <n v="4"/>
    <s v="Yes"/>
    <s v="Recovered"/>
    <n v="5"/>
    <x v="0"/>
    <m/>
    <m/>
    <x v="15"/>
    <m/>
  </r>
  <r>
    <n v="49"/>
    <n v="78"/>
    <s v="Male"/>
    <s v="Stroke"/>
    <s v="CT Scan and Medication"/>
    <n v="10000"/>
    <n v="10"/>
    <s v="No"/>
    <s v="Stable"/>
    <n v="2"/>
    <x v="2"/>
    <m/>
    <m/>
    <x v="15"/>
    <m/>
  </r>
  <r>
    <n v="50"/>
    <n v="53"/>
    <s v="Female"/>
    <s v="Cancer"/>
    <s v="Surgery and Chemotherapy"/>
    <n v="25000"/>
    <n v="13"/>
    <s v="Yes"/>
    <s v="Recovered"/>
    <n v="4"/>
    <x v="2"/>
    <m/>
    <m/>
    <x v="15"/>
    <m/>
  </r>
  <r>
    <n v="51"/>
    <n v="72"/>
    <s v="Male"/>
    <s v="Hypertension"/>
    <s v="Medication and Counseling"/>
    <n v="1000"/>
    <n v="5"/>
    <s v="No"/>
    <s v="Stable"/>
    <n v="4"/>
    <x v="0"/>
    <m/>
    <m/>
    <x v="15"/>
    <m/>
  </r>
  <r>
    <n v="52"/>
    <n v="60"/>
    <s v="Female"/>
    <s v="Appendicitis"/>
    <s v="Appendectomy"/>
    <n v="8000"/>
    <n v="7"/>
    <s v="Yes"/>
    <s v="Recovered"/>
    <n v="3"/>
    <x v="0"/>
    <m/>
    <m/>
    <x v="15"/>
    <m/>
  </r>
  <r>
    <n v="53"/>
    <n v="45"/>
    <s v="Male"/>
    <s v="Fractured Leg"/>
    <s v="Cast and Physical Therapy"/>
    <n v="3000"/>
    <n v="9"/>
    <s v="No"/>
    <s v="Recovered"/>
    <n v="4"/>
    <x v="2"/>
    <m/>
    <m/>
    <x v="15"/>
    <m/>
  </r>
  <r>
    <n v="54"/>
    <n v="75"/>
    <s v="Female"/>
    <s v="Heart Attack"/>
    <s v="Cardiac Catheterization"/>
    <n v="18000"/>
    <n v="11"/>
    <s v="Yes"/>
    <s v="Stable"/>
    <n v="2"/>
    <x v="2"/>
    <m/>
    <m/>
    <x v="15"/>
    <m/>
  </r>
  <r>
    <n v="55"/>
    <n v="28"/>
    <s v="Male"/>
    <s v="Allergic Reaction"/>
    <s v="Epinephrine Injection"/>
    <n v="100"/>
    <n v="4"/>
    <s v="No"/>
    <s v="Recovered"/>
    <n v="5"/>
    <x v="0"/>
    <m/>
    <m/>
    <x v="15"/>
    <m/>
  </r>
  <r>
    <n v="56"/>
    <n v="52"/>
    <s v="Female"/>
    <s v="Respiratory Infection"/>
    <s v="Antibiotics and Rest"/>
    <n v="800"/>
    <n v="5"/>
    <s v="No"/>
    <s v="Stable"/>
    <n v="4"/>
    <x v="0"/>
    <m/>
    <m/>
    <x v="15"/>
    <m/>
  </r>
  <r>
    <n v="57"/>
    <n v="67"/>
    <s v="Male"/>
    <s v="Prostate Cancer"/>
    <s v="Radiation Therapy"/>
    <n v="20000"/>
    <n v="12"/>
    <s v="No"/>
    <s v="Recovered"/>
    <n v="3"/>
    <x v="2"/>
    <m/>
    <m/>
    <x v="15"/>
    <m/>
  </r>
  <r>
    <n v="58"/>
    <n v="35"/>
    <s v="Female"/>
    <s v="Childbirth"/>
    <s v="Delivery and Postnatal Care"/>
    <n v="12000"/>
    <n v="6"/>
    <s v="No"/>
    <s v="Recovered"/>
    <n v="4"/>
    <x v="0"/>
    <m/>
    <m/>
    <x v="15"/>
    <m/>
  </r>
  <r>
    <n v="59"/>
    <n v="50"/>
    <s v="Male"/>
    <s v="Kidney Stones"/>
    <s v="Lithotripsy"/>
    <n v="6000"/>
    <n v="7"/>
    <s v="No"/>
    <s v="Recovered"/>
    <n v="3"/>
    <x v="0"/>
    <m/>
    <m/>
    <x v="15"/>
    <m/>
  </r>
  <r>
    <n v="61"/>
    <n v="48"/>
    <s v="Female"/>
    <s v="Heart Disease"/>
    <s v="Angioplasty"/>
    <n v="15000"/>
    <n v="9"/>
    <s v="Yes"/>
    <s v="Recovered"/>
    <n v="4"/>
    <x v="2"/>
    <m/>
    <m/>
    <x v="15"/>
    <m/>
  </r>
  <r>
    <n v="62"/>
    <n v="65"/>
    <s v="Male"/>
    <s v="Diabetes"/>
    <s v="Insulin Therapy"/>
    <n v="2000"/>
    <n v="7"/>
    <s v="No"/>
    <s v="Stable"/>
    <n v="3"/>
    <x v="0"/>
    <m/>
    <m/>
    <x v="15"/>
    <m/>
  </r>
  <r>
    <n v="63"/>
    <n v="30"/>
    <s v="Female"/>
    <s v="Fractured Arm"/>
    <s v="X-Ray and Splint"/>
    <n v="500"/>
    <n v="5"/>
    <s v="No"/>
    <s v="Recovered"/>
    <n v="5"/>
    <x v="0"/>
    <m/>
    <m/>
    <x v="15"/>
    <m/>
  </r>
  <r>
    <n v="64"/>
    <n v="70"/>
    <s v="Male"/>
    <s v="Stroke"/>
    <s v="CT Scan and Medication"/>
    <n v="10000"/>
    <n v="11"/>
    <s v="Yes"/>
    <s v="Stable"/>
    <n v="2"/>
    <x v="2"/>
    <m/>
    <m/>
    <x v="15"/>
    <m/>
  </r>
  <r>
    <n v="65"/>
    <n v="55"/>
    <s v="Female"/>
    <s v="Cancer"/>
    <s v="Surgery and Chemotherapy"/>
    <n v="25000"/>
    <n v="14"/>
    <s v="No"/>
    <s v="Recovered"/>
    <n v="4"/>
    <x v="2"/>
    <m/>
    <m/>
    <x v="15"/>
    <m/>
  </r>
  <r>
    <n v="66"/>
    <n v="68"/>
    <s v="Male"/>
    <s v="Hypertension"/>
    <s v="Medication and Counseling"/>
    <n v="1000"/>
    <n v="6"/>
    <s v="No"/>
    <s v="Stable"/>
    <n v="4"/>
    <x v="0"/>
    <m/>
    <m/>
    <x v="15"/>
    <m/>
  </r>
  <r>
    <n v="67"/>
    <n v="45"/>
    <s v="Female"/>
    <s v="Appendicitis"/>
    <s v="Appendectomy"/>
    <n v="8000"/>
    <n v="8"/>
    <s v="No"/>
    <s v="Recovered"/>
    <n v="3"/>
    <x v="2"/>
    <m/>
    <m/>
    <x v="15"/>
    <m/>
  </r>
  <r>
    <n v="68"/>
    <n v="40"/>
    <s v="Male"/>
    <s v="Fractured Leg"/>
    <s v="Cast and Physical Therapy"/>
    <n v="3000"/>
    <n v="10"/>
    <s v="No"/>
    <s v="Recovered"/>
    <n v="4"/>
    <x v="2"/>
    <m/>
    <m/>
    <x v="15"/>
    <m/>
  </r>
  <r>
    <n v="69"/>
    <n v="78"/>
    <s v="Female"/>
    <s v="Heart Attack"/>
    <s v="Cardiac Catheterization"/>
    <n v="18000"/>
    <n v="12"/>
    <s v="Yes"/>
    <s v="Stable"/>
    <n v="2"/>
    <x v="2"/>
    <m/>
    <m/>
    <x v="15"/>
    <m/>
  </r>
  <r>
    <n v="70"/>
    <n v="25"/>
    <s v="Male"/>
    <s v="Allergic Reaction"/>
    <s v="Epinephrine Injection"/>
    <n v="100"/>
    <n v="5"/>
    <s v="No"/>
    <s v="Recovered"/>
    <n v="5"/>
    <x v="0"/>
    <m/>
    <m/>
    <x v="15"/>
    <m/>
  </r>
  <r>
    <n v="71"/>
    <n v="52"/>
    <s v="Female"/>
    <s v="Respiratory Infection"/>
    <s v="Antibiotics and Rest"/>
    <n v="800"/>
    <n v="6"/>
    <s v="No"/>
    <s v="Stable"/>
    <n v="4"/>
    <x v="0"/>
    <m/>
    <m/>
    <x v="15"/>
    <m/>
  </r>
  <r>
    <n v="72"/>
    <n v="58"/>
    <s v="Male"/>
    <s v="Prostate Cancer"/>
    <s v="Radiation Therapy"/>
    <n v="20000"/>
    <n v="13"/>
    <s v="No"/>
    <s v="Recovered"/>
    <n v="3"/>
    <x v="2"/>
    <m/>
    <m/>
    <x v="15"/>
    <m/>
  </r>
  <r>
    <n v="73"/>
    <n v="32"/>
    <s v="Female"/>
    <s v="Childbirth"/>
    <s v="Delivery and Postnatal Care"/>
    <n v="12000"/>
    <n v="7"/>
    <s v="No"/>
    <s v="Recovered"/>
    <n v="4"/>
    <x v="0"/>
    <m/>
    <m/>
    <x v="15"/>
    <m/>
  </r>
  <r>
    <n v="74"/>
    <n v="55"/>
    <s v="Male"/>
    <s v="Kidney Stones"/>
    <s v="Lithotripsy"/>
    <n v="6000"/>
    <n v="8"/>
    <s v="No"/>
    <s v="Recovered"/>
    <n v="3"/>
    <x v="2"/>
    <m/>
    <m/>
    <x v="15"/>
    <m/>
  </r>
  <r>
    <n v="75"/>
    <n v="65"/>
    <s v="Female"/>
    <s v="Osteoarthritis"/>
    <s v="Physical Therapy and Pain Management"/>
    <n v="4000"/>
    <n v="9"/>
    <s v="No"/>
    <s v="Stable"/>
    <n v="4"/>
    <x v="2"/>
    <m/>
    <m/>
    <x v="15"/>
    <m/>
  </r>
  <r>
    <n v="76"/>
    <n v="55"/>
    <s v="Female"/>
    <s v="Heart Disease"/>
    <s v="Angioplasty"/>
    <n v="15000"/>
    <n v="10"/>
    <s v="Yes"/>
    <s v="Recovered"/>
    <n v="3"/>
    <x v="2"/>
    <m/>
    <m/>
    <x v="15"/>
    <m/>
  </r>
  <r>
    <n v="77"/>
    <n v="62"/>
    <s v="Male"/>
    <s v="Diabetes"/>
    <s v="Insulin Therapy"/>
    <n v="2000"/>
    <n v="8"/>
    <s v="No"/>
    <s v="Stable"/>
    <n v="4"/>
    <x v="2"/>
    <m/>
    <m/>
    <x v="15"/>
    <m/>
  </r>
  <r>
    <n v="78"/>
    <n v="35"/>
    <s v="Female"/>
    <s v="Fractured Arm"/>
    <s v="X-Ray and Splint"/>
    <n v="500"/>
    <n v="6"/>
    <s v="Yes"/>
    <s v="Recovered"/>
    <n v="5"/>
    <x v="0"/>
    <m/>
    <m/>
    <x v="15"/>
    <m/>
  </r>
  <r>
    <n v="79"/>
    <n v="78"/>
    <s v="Male"/>
    <s v="Stroke"/>
    <s v="CT Scan and Medication"/>
    <n v="10000"/>
    <n v="12"/>
    <s v="No"/>
    <s v="Stable"/>
    <n v="2"/>
    <x v="2"/>
    <m/>
    <m/>
    <x v="15"/>
    <m/>
  </r>
  <r>
    <n v="80"/>
    <n v="53"/>
    <s v="Female"/>
    <s v="Cancer"/>
    <s v="Surgery and Chemotherapy"/>
    <n v="25000"/>
    <n v="15"/>
    <s v="Yes"/>
    <s v="Recovered"/>
    <n v="4"/>
    <x v="2"/>
    <m/>
    <m/>
    <x v="15"/>
    <m/>
  </r>
  <r>
    <n v="81"/>
    <n v="72"/>
    <s v="Male"/>
    <s v="Hypertension"/>
    <s v="Medication and Counseling"/>
    <n v="1000"/>
    <n v="7"/>
    <s v="No"/>
    <s v="Stable"/>
    <n v="4"/>
    <x v="0"/>
    <m/>
    <m/>
    <x v="15"/>
    <m/>
  </r>
  <r>
    <n v="82"/>
    <n v="60"/>
    <s v="Female"/>
    <s v="Appendicitis"/>
    <s v="Appendectomy"/>
    <n v="8000"/>
    <n v="9"/>
    <s v="Yes"/>
    <s v="Recovered"/>
    <n v="3"/>
    <x v="2"/>
    <m/>
    <m/>
    <x v="15"/>
    <m/>
  </r>
  <r>
    <n v="83"/>
    <n v="45"/>
    <s v="Male"/>
    <s v="Fractured Leg"/>
    <s v="Cast and Physical Therapy"/>
    <n v="3000"/>
    <n v="11"/>
    <s v="No"/>
    <s v="Recovered"/>
    <n v="4"/>
    <x v="2"/>
    <m/>
    <m/>
    <x v="15"/>
    <m/>
  </r>
  <r>
    <n v="84"/>
    <n v="75"/>
    <s v="Female"/>
    <s v="Heart Attack"/>
    <s v="Cardiac Catheterization"/>
    <n v="18000"/>
    <n v="13"/>
    <s v="Yes"/>
    <s v="Stable"/>
    <n v="2"/>
    <x v="2"/>
    <m/>
    <m/>
    <x v="15"/>
    <m/>
  </r>
  <r>
    <n v="85"/>
    <n v="28"/>
    <s v="Male"/>
    <s v="Allergic Reaction"/>
    <s v="Epinephrine Injection"/>
    <n v="100"/>
    <n v="6"/>
    <s v="No"/>
    <s v="Recovered"/>
    <n v="5"/>
    <x v="0"/>
    <m/>
    <m/>
    <x v="15"/>
    <m/>
  </r>
  <r>
    <n v="86"/>
    <n v="52"/>
    <s v="Female"/>
    <s v="Respiratory Infection"/>
    <s v="Antibiotics and Rest"/>
    <n v="800"/>
    <n v="7"/>
    <s v="No"/>
    <s v="Stable"/>
    <n v="4"/>
    <x v="0"/>
    <m/>
    <m/>
    <x v="15"/>
    <m/>
  </r>
  <r>
    <n v="87"/>
    <n v="67"/>
    <s v="Male"/>
    <s v="Prostate Cancer"/>
    <s v="Radiation Therapy"/>
    <n v="20000"/>
    <n v="14"/>
    <s v="No"/>
    <s v="Recovered"/>
    <n v="3"/>
    <x v="2"/>
    <m/>
    <m/>
    <x v="15"/>
    <m/>
  </r>
  <r>
    <n v="88"/>
    <n v="35"/>
    <s v="Female"/>
    <s v="Childbirth"/>
    <s v="Delivery and Postnatal Care"/>
    <n v="12000"/>
    <n v="8"/>
    <s v="No"/>
    <s v="Recovered"/>
    <n v="4"/>
    <x v="2"/>
    <m/>
    <m/>
    <x v="15"/>
    <m/>
  </r>
  <r>
    <n v="89"/>
    <n v="50"/>
    <s v="Male"/>
    <s v="Kidney Stones"/>
    <s v="Lithotripsy"/>
    <n v="6000"/>
    <n v="9"/>
    <s v="No"/>
    <s v="Recovered"/>
    <n v="3"/>
    <x v="2"/>
    <m/>
    <m/>
    <x v="15"/>
    <m/>
  </r>
  <r>
    <n v="90"/>
    <n v="60"/>
    <s v="Female"/>
    <s v="Osteoarthritis"/>
    <s v="Physical Therapy and Pain Management"/>
    <n v="4000"/>
    <n v="10"/>
    <s v="No"/>
    <s v="Stable"/>
    <n v="4"/>
    <x v="2"/>
    <m/>
    <m/>
    <x v="15"/>
    <m/>
  </r>
  <r>
    <n v="91"/>
    <n v="48"/>
    <s v="Female"/>
    <s v="Heart Disease"/>
    <s v="Angioplasty"/>
    <n v="15000"/>
    <n v="11"/>
    <s v="Yes"/>
    <s v="Recovered"/>
    <n v="4"/>
    <x v="2"/>
    <m/>
    <m/>
    <x v="15"/>
    <m/>
  </r>
  <r>
    <n v="92"/>
    <n v="65"/>
    <s v="Male"/>
    <s v="Diabetes"/>
    <s v="Insulin Therapy"/>
    <n v="2000"/>
    <n v="9"/>
    <s v="No"/>
    <s v="Stable"/>
    <n v="3"/>
    <x v="2"/>
    <m/>
    <m/>
    <x v="15"/>
    <m/>
  </r>
  <r>
    <n v="93"/>
    <n v="30"/>
    <s v="Female"/>
    <s v="Fractured Arm"/>
    <s v="X-Ray and Splint"/>
    <n v="500"/>
    <n v="7"/>
    <s v="No"/>
    <s v="Recovered"/>
    <n v="5"/>
    <x v="0"/>
    <m/>
    <m/>
    <x v="15"/>
    <m/>
  </r>
  <r>
    <n v="94"/>
    <n v="70"/>
    <s v="Male"/>
    <s v="Stroke"/>
    <s v="CT Scan and Medication"/>
    <n v="10000"/>
    <n v="13"/>
    <s v="Yes"/>
    <s v="Stable"/>
    <n v="2"/>
    <x v="2"/>
    <m/>
    <m/>
    <x v="15"/>
    <m/>
  </r>
  <r>
    <n v="95"/>
    <n v="55"/>
    <s v="Female"/>
    <s v="Cancer"/>
    <s v="Surgery and Chemotherapy"/>
    <n v="25000"/>
    <n v="16"/>
    <s v="No"/>
    <s v="Recovered"/>
    <n v="4"/>
    <x v="2"/>
    <m/>
    <m/>
    <x v="15"/>
    <m/>
  </r>
  <r>
    <n v="96"/>
    <n v="68"/>
    <s v="Male"/>
    <s v="Hypertension"/>
    <s v="Medication and Counseling"/>
    <n v="1000"/>
    <n v="8"/>
    <s v="No"/>
    <s v="Stable"/>
    <n v="4"/>
    <x v="2"/>
    <m/>
    <m/>
    <x v="15"/>
    <m/>
  </r>
  <r>
    <n v="97"/>
    <n v="45"/>
    <s v="Female"/>
    <s v="Appendicitis"/>
    <s v="Appendectomy"/>
    <n v="8000"/>
    <n v="10"/>
    <s v="No"/>
    <s v="Recovered"/>
    <n v="3"/>
    <x v="2"/>
    <m/>
    <m/>
    <x v="15"/>
    <m/>
  </r>
  <r>
    <n v="98"/>
    <n v="40"/>
    <s v="Male"/>
    <s v="Fractured Leg"/>
    <s v="Cast and Physical Therapy"/>
    <n v="3000"/>
    <n v="12"/>
    <s v="No"/>
    <s v="Recovered"/>
    <n v="4"/>
    <x v="2"/>
    <m/>
    <m/>
    <x v="15"/>
    <m/>
  </r>
  <r>
    <n v="99"/>
    <n v="78"/>
    <s v="Female"/>
    <s v="Heart Attack"/>
    <s v="Cardiac Catheterization"/>
    <n v="18000"/>
    <n v="14"/>
    <s v="Yes"/>
    <s v="Stable"/>
    <n v="2"/>
    <x v="2"/>
    <m/>
    <m/>
    <x v="15"/>
    <m/>
  </r>
  <r>
    <n v="100"/>
    <n v="25"/>
    <s v="Male"/>
    <s v="Allergic Reaction"/>
    <s v="Epinephrine Injection"/>
    <n v="100"/>
    <n v="7"/>
    <s v="No"/>
    <s v="Recovered"/>
    <n v="5"/>
    <x v="0"/>
    <m/>
    <m/>
    <x v="15"/>
    <m/>
  </r>
  <r>
    <n v="101"/>
    <n v="52"/>
    <s v="Female"/>
    <s v="Respiratory Infection"/>
    <s v="Antibiotics and Rest"/>
    <n v="800"/>
    <n v="8"/>
    <s v="No"/>
    <s v="Stable"/>
    <n v="4"/>
    <x v="2"/>
    <m/>
    <m/>
    <x v="15"/>
    <m/>
  </r>
  <r>
    <n v="102"/>
    <n v="58"/>
    <s v="Male"/>
    <s v="Prostate Cancer"/>
    <s v="Radiation Therapy"/>
    <n v="20000"/>
    <n v="15"/>
    <s v="No"/>
    <s v="Recovered"/>
    <n v="3"/>
    <x v="2"/>
    <m/>
    <m/>
    <x v="15"/>
    <m/>
  </r>
  <r>
    <n v="103"/>
    <n v="32"/>
    <s v="Female"/>
    <s v="Childbirth"/>
    <s v="Delivery and Postnatal Care"/>
    <n v="12000"/>
    <n v="9"/>
    <s v="No"/>
    <s v="Recovered"/>
    <n v="4"/>
    <x v="2"/>
    <m/>
    <m/>
    <x v="15"/>
    <m/>
  </r>
  <r>
    <n v="104"/>
    <n v="55"/>
    <s v="Male"/>
    <s v="Kidney Stones"/>
    <s v="Lithotripsy"/>
    <n v="6000"/>
    <n v="10"/>
    <s v="No"/>
    <s v="Recovered"/>
    <n v="3"/>
    <x v="2"/>
    <m/>
    <m/>
    <x v="15"/>
    <m/>
  </r>
  <r>
    <n v="105"/>
    <n v="65"/>
    <s v="Female"/>
    <s v="Osteoarthritis"/>
    <s v="Physical Therapy and Pain Management"/>
    <n v="4000"/>
    <n v="11"/>
    <s v="No"/>
    <s v="Stable"/>
    <n v="4"/>
    <x v="2"/>
    <m/>
    <m/>
    <x v="15"/>
    <m/>
  </r>
  <r>
    <n v="106"/>
    <n v="55"/>
    <s v="Female"/>
    <s v="Heart Disease"/>
    <s v="Angioplasty"/>
    <n v="15000"/>
    <n v="12"/>
    <s v="Yes"/>
    <s v="Recovered"/>
    <n v="3"/>
    <x v="2"/>
    <m/>
    <m/>
    <x v="15"/>
    <m/>
  </r>
  <r>
    <n v="107"/>
    <n v="62"/>
    <s v="Male"/>
    <s v="Diabetes"/>
    <s v="Insulin Therapy"/>
    <n v="2000"/>
    <n v="10"/>
    <s v="No"/>
    <s v="Stable"/>
    <n v="4"/>
    <x v="2"/>
    <m/>
    <m/>
    <x v="15"/>
    <m/>
  </r>
  <r>
    <n v="108"/>
    <n v="35"/>
    <s v="Female"/>
    <s v="Fractured Arm"/>
    <s v="X-Ray and Splint"/>
    <n v="500"/>
    <n v="8"/>
    <s v="Yes"/>
    <s v="Recovered"/>
    <n v="5"/>
    <x v="2"/>
    <m/>
    <m/>
    <x v="15"/>
    <m/>
  </r>
  <r>
    <n v="109"/>
    <n v="78"/>
    <s v="Male"/>
    <s v="Stroke"/>
    <s v="CT Scan and Medication"/>
    <n v="10000"/>
    <n v="14"/>
    <s v="No"/>
    <s v="Stable"/>
    <n v="2"/>
    <x v="2"/>
    <m/>
    <m/>
    <x v="15"/>
    <m/>
  </r>
  <r>
    <n v="110"/>
    <n v="53"/>
    <s v="Female"/>
    <s v="Cancer"/>
    <s v="Surgery and Chemotherapy"/>
    <n v="25000"/>
    <n v="17"/>
    <s v="Yes"/>
    <s v="Recovered"/>
    <n v="4"/>
    <x v="2"/>
    <m/>
    <m/>
    <x v="15"/>
    <m/>
  </r>
  <r>
    <n v="111"/>
    <n v="72"/>
    <s v="Male"/>
    <s v="Hypertension"/>
    <s v="Medication and Counseling"/>
    <n v="1000"/>
    <n v="9"/>
    <s v="No"/>
    <s v="Stable"/>
    <n v="4"/>
    <x v="2"/>
    <m/>
    <m/>
    <x v="15"/>
    <m/>
  </r>
  <r>
    <n v="112"/>
    <n v="60"/>
    <s v="Female"/>
    <s v="Appendicitis"/>
    <s v="Appendectomy"/>
    <n v="8000"/>
    <n v="11"/>
    <s v="Yes"/>
    <s v="Recovered"/>
    <n v="3"/>
    <x v="2"/>
    <m/>
    <m/>
    <x v="15"/>
    <m/>
  </r>
  <r>
    <n v="113"/>
    <n v="45"/>
    <s v="Male"/>
    <s v="Fractured Leg"/>
    <s v="Cast and Physical Therapy"/>
    <n v="3000"/>
    <n v="13"/>
    <s v="No"/>
    <s v="Recovered"/>
    <n v="4"/>
    <x v="2"/>
    <m/>
    <m/>
    <x v="15"/>
    <m/>
  </r>
  <r>
    <n v="114"/>
    <n v="75"/>
    <s v="Female"/>
    <s v="Heart Attack"/>
    <s v="Cardiac Catheterization"/>
    <n v="18000"/>
    <n v="15"/>
    <s v="Yes"/>
    <s v="Stable"/>
    <n v="2"/>
    <x v="2"/>
    <m/>
    <m/>
    <x v="15"/>
    <m/>
  </r>
  <r>
    <n v="115"/>
    <n v="28"/>
    <s v="Male"/>
    <s v="Allergic Reaction"/>
    <s v="Epinephrine Injection"/>
    <n v="100"/>
    <n v="8"/>
    <s v="No"/>
    <s v="Recovered"/>
    <n v="5"/>
    <x v="2"/>
    <m/>
    <m/>
    <x v="15"/>
    <m/>
  </r>
  <r>
    <n v="116"/>
    <n v="52"/>
    <s v="Female"/>
    <s v="Respiratory Infection"/>
    <s v="Antibiotics and Rest"/>
    <n v="800"/>
    <n v="9"/>
    <s v="No"/>
    <s v="Stable"/>
    <n v="4"/>
    <x v="2"/>
    <m/>
    <m/>
    <x v="15"/>
    <m/>
  </r>
  <r>
    <n v="117"/>
    <n v="67"/>
    <s v="Male"/>
    <s v="Prostate Cancer"/>
    <s v="Radiation Therapy"/>
    <n v="20000"/>
    <n v="16"/>
    <s v="No"/>
    <s v="Recovered"/>
    <n v="3"/>
    <x v="2"/>
    <m/>
    <m/>
    <x v="15"/>
    <m/>
  </r>
  <r>
    <n v="118"/>
    <n v="35"/>
    <s v="Female"/>
    <s v="Childbirth"/>
    <s v="Delivery and Postnatal Care"/>
    <n v="12000"/>
    <n v="10"/>
    <s v="No"/>
    <s v="Recovered"/>
    <n v="4"/>
    <x v="2"/>
    <m/>
    <m/>
    <x v="15"/>
    <m/>
  </r>
  <r>
    <n v="119"/>
    <n v="50"/>
    <s v="Male"/>
    <s v="Kidney Stones"/>
    <s v="Lithotripsy"/>
    <n v="6000"/>
    <n v="11"/>
    <s v="No"/>
    <s v="Recovered"/>
    <n v="3"/>
    <x v="2"/>
    <m/>
    <m/>
    <x v="15"/>
    <m/>
  </r>
  <r>
    <n v="120"/>
    <n v="60"/>
    <s v="Female"/>
    <s v="Osteoarthritis"/>
    <s v="Physical Therapy and Pain Management"/>
    <n v="4000"/>
    <n v="12"/>
    <s v="No"/>
    <s v="Stable"/>
    <n v="4"/>
    <x v="2"/>
    <m/>
    <m/>
    <x v="15"/>
    <m/>
  </r>
  <r>
    <n v="122"/>
    <n v="65"/>
    <s v="Male"/>
    <s v="Diabetes"/>
    <s v="Insulin Therapy"/>
    <n v="2000"/>
    <n v="11"/>
    <s v="No"/>
    <s v="Stable"/>
    <n v="3"/>
    <x v="2"/>
    <m/>
    <m/>
    <x v="15"/>
    <m/>
  </r>
  <r>
    <n v="123"/>
    <n v="30"/>
    <s v="Female"/>
    <s v="Fractured Arm"/>
    <s v="X-Ray and Splint"/>
    <n v="500"/>
    <n v="9"/>
    <s v="No"/>
    <s v="Recovered"/>
    <n v="5"/>
    <x v="2"/>
    <m/>
    <m/>
    <x v="15"/>
    <m/>
  </r>
  <r>
    <n v="124"/>
    <n v="70"/>
    <s v="Male"/>
    <s v="Stroke"/>
    <s v="CT Scan and Medication"/>
    <n v="10000"/>
    <n v="15"/>
    <s v="Yes"/>
    <s v="Stable"/>
    <n v="2"/>
    <x v="2"/>
    <m/>
    <m/>
    <x v="15"/>
    <m/>
  </r>
  <r>
    <n v="125"/>
    <n v="55"/>
    <s v="Female"/>
    <s v="Cancer"/>
    <s v="Surgery and Chemotherapy"/>
    <n v="25000"/>
    <n v="18"/>
    <s v="No"/>
    <s v="Recovered"/>
    <n v="4"/>
    <x v="2"/>
    <m/>
    <m/>
    <x v="15"/>
    <m/>
  </r>
  <r>
    <n v="126"/>
    <n v="68"/>
    <s v="Male"/>
    <s v="Hypertension"/>
    <s v="Medication and Counseling"/>
    <n v="1000"/>
    <n v="10"/>
    <s v="No"/>
    <s v="Stable"/>
    <n v="4"/>
    <x v="2"/>
    <m/>
    <m/>
    <x v="15"/>
    <m/>
  </r>
  <r>
    <n v="127"/>
    <n v="45"/>
    <s v="Female"/>
    <s v="Appendicitis"/>
    <s v="Appendectomy"/>
    <n v="8000"/>
    <n v="12"/>
    <s v="No"/>
    <s v="Recovered"/>
    <n v="3"/>
    <x v="2"/>
    <m/>
    <m/>
    <x v="15"/>
    <m/>
  </r>
  <r>
    <n v="128"/>
    <n v="40"/>
    <s v="Male"/>
    <s v="Fractured Leg"/>
    <s v="Cast and Physical Therapy"/>
    <n v="3000"/>
    <n v="14"/>
    <s v="No"/>
    <s v="Recovered"/>
    <n v="4"/>
    <x v="2"/>
    <m/>
    <m/>
    <x v="15"/>
    <m/>
  </r>
  <r>
    <n v="129"/>
    <n v="78"/>
    <s v="Female"/>
    <s v="Heart Attack"/>
    <s v="Cardiac Catheterization"/>
    <n v="18000"/>
    <n v="16"/>
    <s v="Yes"/>
    <s v="Stable"/>
    <n v="2"/>
    <x v="2"/>
    <m/>
    <m/>
    <x v="15"/>
    <m/>
  </r>
  <r>
    <n v="130"/>
    <n v="25"/>
    <s v="Male"/>
    <s v="Allergic Reaction"/>
    <s v="Epinephrine Injection"/>
    <n v="100"/>
    <n v="9"/>
    <s v="No"/>
    <s v="Recovered"/>
    <n v="5"/>
    <x v="2"/>
    <m/>
    <m/>
    <x v="15"/>
    <m/>
  </r>
  <r>
    <n v="131"/>
    <n v="52"/>
    <s v="Female"/>
    <s v="Respiratory Infection"/>
    <s v="Antibiotics and Rest"/>
    <n v="800"/>
    <n v="10"/>
    <s v="No"/>
    <s v="Stable"/>
    <n v="4"/>
    <x v="2"/>
    <m/>
    <m/>
    <x v="15"/>
    <m/>
  </r>
  <r>
    <n v="132"/>
    <n v="58"/>
    <s v="Male"/>
    <s v="Prostate Cancer"/>
    <s v="Radiation Therapy"/>
    <n v="20000"/>
    <n v="17"/>
    <s v="No"/>
    <s v="Recovered"/>
    <n v="3"/>
    <x v="2"/>
    <m/>
    <m/>
    <x v="15"/>
    <m/>
  </r>
  <r>
    <n v="133"/>
    <n v="32"/>
    <s v="Female"/>
    <s v="Childbirth"/>
    <s v="Delivery and Postnatal Care"/>
    <n v="12000"/>
    <n v="11"/>
    <s v="No"/>
    <s v="Recovered"/>
    <n v="4"/>
    <x v="2"/>
    <m/>
    <m/>
    <x v="15"/>
    <m/>
  </r>
  <r>
    <n v="134"/>
    <n v="55"/>
    <s v="Male"/>
    <s v="Kidney Stones"/>
    <s v="Lithotripsy"/>
    <n v="6000"/>
    <n v="12"/>
    <s v="No"/>
    <s v="Recovered"/>
    <n v="3"/>
    <x v="2"/>
    <m/>
    <m/>
    <x v="15"/>
    <m/>
  </r>
  <r>
    <n v="135"/>
    <n v="65"/>
    <s v="Female"/>
    <s v="Osteoarthritis"/>
    <s v="Physical Therapy and Pain Management"/>
    <n v="4000"/>
    <n v="13"/>
    <s v="No"/>
    <s v="Stable"/>
    <n v="4"/>
    <x v="2"/>
    <m/>
    <m/>
    <x v="15"/>
    <m/>
  </r>
  <r>
    <n v="136"/>
    <n v="55"/>
    <s v="Female"/>
    <s v="Heart Disease"/>
    <s v="Angioplasty"/>
    <n v="15000"/>
    <n v="14"/>
    <s v="Yes"/>
    <s v="Recovered"/>
    <n v="3"/>
    <x v="2"/>
    <m/>
    <m/>
    <x v="15"/>
    <m/>
  </r>
  <r>
    <n v="137"/>
    <n v="62"/>
    <s v="Male"/>
    <s v="Diabetes"/>
    <s v="Insulin Therapy"/>
    <n v="2000"/>
    <n v="12"/>
    <s v="No"/>
    <s v="Stable"/>
    <n v="4"/>
    <x v="2"/>
    <m/>
    <m/>
    <x v="15"/>
    <m/>
  </r>
  <r>
    <n v="138"/>
    <n v="35"/>
    <s v="Female"/>
    <s v="Fractured Arm"/>
    <s v="X-Ray and Splint"/>
    <n v="500"/>
    <n v="10"/>
    <s v="Yes"/>
    <s v="Recovered"/>
    <n v="5"/>
    <x v="2"/>
    <m/>
    <m/>
    <x v="15"/>
    <m/>
  </r>
  <r>
    <n v="139"/>
    <n v="78"/>
    <s v="Male"/>
    <s v="Stroke"/>
    <s v="CT Scan and Medication"/>
    <n v="10000"/>
    <n v="16"/>
    <s v="No"/>
    <s v="Stable"/>
    <n v="2"/>
    <x v="2"/>
    <m/>
    <m/>
    <x v="15"/>
    <m/>
  </r>
  <r>
    <n v="140"/>
    <n v="53"/>
    <s v="Female"/>
    <s v="Cancer"/>
    <s v="Surgery and Chemotherapy"/>
    <n v="25000"/>
    <n v="19"/>
    <s v="Yes"/>
    <s v="Recovered"/>
    <n v="4"/>
    <x v="2"/>
    <m/>
    <m/>
    <x v="15"/>
    <m/>
  </r>
  <r>
    <n v="141"/>
    <n v="72"/>
    <s v="Male"/>
    <s v="Hypertension"/>
    <s v="Medication and Counseling"/>
    <n v="1000"/>
    <n v="11"/>
    <s v="No"/>
    <s v="Stable"/>
    <n v="4"/>
    <x v="2"/>
    <m/>
    <m/>
    <x v="15"/>
    <m/>
  </r>
  <r>
    <n v="142"/>
    <n v="60"/>
    <s v="Female"/>
    <s v="Appendicitis"/>
    <s v="Appendectomy"/>
    <n v="8000"/>
    <n v="13"/>
    <s v="Yes"/>
    <s v="Recovered"/>
    <n v="3"/>
    <x v="2"/>
    <m/>
    <m/>
    <x v="15"/>
    <m/>
  </r>
  <r>
    <n v="143"/>
    <n v="45"/>
    <s v="Male"/>
    <s v="Fractured Leg"/>
    <s v="Cast and Physical Therapy"/>
    <n v="3000"/>
    <n v="15"/>
    <s v="No"/>
    <s v="Recovered"/>
    <n v="4"/>
    <x v="2"/>
    <m/>
    <m/>
    <x v="15"/>
    <m/>
  </r>
  <r>
    <n v="144"/>
    <n v="75"/>
    <s v="Female"/>
    <s v="Heart Attack"/>
    <s v="Cardiac Catheterization"/>
    <n v="18000"/>
    <n v="17"/>
    <s v="Yes"/>
    <s v="Stable"/>
    <n v="2"/>
    <x v="2"/>
    <m/>
    <m/>
    <x v="15"/>
    <m/>
  </r>
  <r>
    <n v="145"/>
    <n v="28"/>
    <s v="Male"/>
    <s v="Allergic Reaction"/>
    <s v="Epinephrine Injection"/>
    <n v="100"/>
    <n v="10"/>
    <s v="No"/>
    <s v="Recovered"/>
    <n v="5"/>
    <x v="2"/>
    <m/>
    <m/>
    <x v="15"/>
    <m/>
  </r>
  <r>
    <n v="146"/>
    <n v="52"/>
    <s v="Female"/>
    <s v="Respiratory Infection"/>
    <s v="Antibiotics and Rest"/>
    <n v="800"/>
    <n v="11"/>
    <s v="No"/>
    <s v="Stable"/>
    <n v="4"/>
    <x v="2"/>
    <m/>
    <m/>
    <x v="15"/>
    <m/>
  </r>
  <r>
    <n v="147"/>
    <n v="67"/>
    <s v="Male"/>
    <s v="Prostate Cancer"/>
    <s v="Radiation Therapy"/>
    <n v="20000"/>
    <n v="18"/>
    <s v="No"/>
    <s v="Recovered"/>
    <n v="3"/>
    <x v="2"/>
    <m/>
    <m/>
    <x v="15"/>
    <m/>
  </r>
  <r>
    <n v="148"/>
    <n v="35"/>
    <s v="Female"/>
    <s v="Childbirth"/>
    <s v="Delivery and Postnatal Care"/>
    <n v="12000"/>
    <n v="12"/>
    <s v="No"/>
    <s v="Recovered"/>
    <n v="4"/>
    <x v="2"/>
    <m/>
    <m/>
    <x v="15"/>
    <m/>
  </r>
  <r>
    <n v="149"/>
    <n v="50"/>
    <s v="Male"/>
    <s v="Kidney Stones"/>
    <s v="Lithotripsy"/>
    <n v="6000"/>
    <n v="13"/>
    <s v="No"/>
    <s v="Recovered"/>
    <n v="3"/>
    <x v="2"/>
    <m/>
    <m/>
    <x v="15"/>
    <m/>
  </r>
  <r>
    <n v="150"/>
    <n v="60"/>
    <s v="Female"/>
    <s v="Osteoarthritis"/>
    <s v="Physical Therapy and Pain Management"/>
    <n v="4000"/>
    <n v="14"/>
    <s v="No"/>
    <s v="Stable"/>
    <n v="4"/>
    <x v="2"/>
    <m/>
    <m/>
    <x v="15"/>
    <m/>
  </r>
  <r>
    <n v="151"/>
    <n v="48"/>
    <s v="Female"/>
    <s v="Heart Disease"/>
    <s v="Angioplasty"/>
    <n v="15000"/>
    <n v="15"/>
    <s v="Yes"/>
    <s v="Recovered"/>
    <n v="4"/>
    <x v="2"/>
    <m/>
    <m/>
    <x v="15"/>
    <m/>
  </r>
  <r>
    <n v="152"/>
    <n v="65"/>
    <s v="Male"/>
    <s v="Diabetes"/>
    <s v="Insulin Therapy"/>
    <n v="2000"/>
    <n v="13"/>
    <s v="No"/>
    <s v="Stable"/>
    <n v="3"/>
    <x v="2"/>
    <m/>
    <m/>
    <x v="15"/>
    <m/>
  </r>
  <r>
    <n v="153"/>
    <n v="30"/>
    <s v="Female"/>
    <s v="Fractured Arm"/>
    <s v="X-Ray and Splint"/>
    <n v="500"/>
    <n v="11"/>
    <s v="No"/>
    <s v="Recovered"/>
    <n v="5"/>
    <x v="2"/>
    <m/>
    <m/>
    <x v="15"/>
    <m/>
  </r>
  <r>
    <n v="154"/>
    <n v="70"/>
    <s v="Male"/>
    <s v="Stroke"/>
    <s v="CT Scan and Medication"/>
    <n v="10000"/>
    <n v="17"/>
    <s v="Yes"/>
    <s v="Stable"/>
    <n v="2"/>
    <x v="2"/>
    <m/>
    <m/>
    <x v="15"/>
    <m/>
  </r>
  <r>
    <n v="155"/>
    <n v="55"/>
    <s v="Female"/>
    <s v="Cancer"/>
    <s v="Surgery and Chemotherapy"/>
    <n v="25000"/>
    <n v="20"/>
    <s v="No"/>
    <s v="Recovered"/>
    <n v="4"/>
    <x v="2"/>
    <m/>
    <m/>
    <x v="15"/>
    <m/>
  </r>
  <r>
    <n v="156"/>
    <n v="68"/>
    <s v="Male"/>
    <s v="Hypertension"/>
    <s v="Medication and Counseling"/>
    <n v="1000"/>
    <n v="12"/>
    <s v="No"/>
    <s v="Stable"/>
    <n v="4"/>
    <x v="2"/>
    <m/>
    <m/>
    <x v="15"/>
    <m/>
  </r>
  <r>
    <n v="157"/>
    <n v="45"/>
    <s v="Female"/>
    <s v="Appendicitis"/>
    <s v="Appendectomy"/>
    <n v="8000"/>
    <n v="14"/>
    <s v="No"/>
    <s v="Recovered"/>
    <n v="3"/>
    <x v="2"/>
    <m/>
    <m/>
    <x v="15"/>
    <m/>
  </r>
  <r>
    <n v="158"/>
    <n v="40"/>
    <s v="Male"/>
    <s v="Fractured Leg"/>
    <s v="Cast and Physical Therapy"/>
    <n v="3000"/>
    <n v="16"/>
    <s v="No"/>
    <s v="Recovered"/>
    <n v="4"/>
    <x v="2"/>
    <m/>
    <m/>
    <x v="15"/>
    <m/>
  </r>
  <r>
    <n v="159"/>
    <n v="78"/>
    <s v="Female"/>
    <s v="Heart Attack"/>
    <s v="Cardiac Catheterization"/>
    <n v="18000"/>
    <n v="18"/>
    <s v="Yes"/>
    <s v="Stable"/>
    <n v="2"/>
    <x v="2"/>
    <m/>
    <m/>
    <x v="15"/>
    <m/>
  </r>
  <r>
    <n v="160"/>
    <n v="25"/>
    <s v="Male"/>
    <s v="Allergic Reaction"/>
    <s v="Epinephrine Injection"/>
    <n v="100"/>
    <n v="11"/>
    <s v="No"/>
    <s v="Recovered"/>
    <n v="5"/>
    <x v="2"/>
    <m/>
    <m/>
    <x v="15"/>
    <m/>
  </r>
  <r>
    <n v="161"/>
    <n v="52"/>
    <s v="Female"/>
    <s v="Respiratory Infection"/>
    <s v="Antibiotics and Rest"/>
    <n v="800"/>
    <n v="12"/>
    <s v="No"/>
    <s v="Stable"/>
    <n v="4"/>
    <x v="2"/>
    <m/>
    <m/>
    <x v="15"/>
    <m/>
  </r>
  <r>
    <n v="162"/>
    <n v="58"/>
    <s v="Male"/>
    <s v="Prostate Cancer"/>
    <s v="Radiation Therapy"/>
    <n v="20000"/>
    <n v="19"/>
    <s v="No"/>
    <s v="Recovered"/>
    <n v="3"/>
    <x v="2"/>
    <m/>
    <m/>
    <x v="15"/>
    <m/>
  </r>
  <r>
    <n v="163"/>
    <n v="32"/>
    <s v="Female"/>
    <s v="Childbirth"/>
    <s v="Delivery and Postnatal Care"/>
    <n v="12000"/>
    <n v="13"/>
    <s v="No"/>
    <s v="Recovered"/>
    <n v="4"/>
    <x v="2"/>
    <m/>
    <m/>
    <x v="15"/>
    <m/>
  </r>
  <r>
    <n v="164"/>
    <n v="55"/>
    <s v="Male"/>
    <s v="Kidney Stones"/>
    <s v="Lithotripsy"/>
    <n v="6000"/>
    <n v="14"/>
    <s v="No"/>
    <s v="Recovered"/>
    <n v="3"/>
    <x v="2"/>
    <m/>
    <m/>
    <x v="15"/>
    <m/>
  </r>
  <r>
    <n v="165"/>
    <n v="65"/>
    <s v="Female"/>
    <s v="Osteoarthritis"/>
    <s v="Physical Therapy and Pain Management"/>
    <n v="4000"/>
    <n v="15"/>
    <s v="No"/>
    <s v="Stable"/>
    <n v="4"/>
    <x v="2"/>
    <m/>
    <m/>
    <x v="15"/>
    <m/>
  </r>
  <r>
    <n v="166"/>
    <n v="55"/>
    <s v="Female"/>
    <s v="Heart Disease"/>
    <s v="Angioplasty"/>
    <n v="15000"/>
    <n v="16"/>
    <s v="Yes"/>
    <s v="Recovered"/>
    <n v="3"/>
    <x v="2"/>
    <m/>
    <m/>
    <x v="15"/>
    <m/>
  </r>
  <r>
    <n v="167"/>
    <n v="62"/>
    <s v="Male"/>
    <s v="Diabetes"/>
    <s v="Insulin Therapy"/>
    <n v="2000"/>
    <n v="14"/>
    <s v="No"/>
    <s v="Stable"/>
    <n v="4"/>
    <x v="2"/>
    <m/>
    <m/>
    <x v="15"/>
    <m/>
  </r>
  <r>
    <n v="168"/>
    <n v="35"/>
    <s v="Female"/>
    <s v="Fractured Arm"/>
    <s v="X-Ray and Splint"/>
    <n v="500"/>
    <n v="12"/>
    <s v="Yes"/>
    <s v="Recovered"/>
    <n v="5"/>
    <x v="2"/>
    <m/>
    <m/>
    <x v="15"/>
    <m/>
  </r>
  <r>
    <n v="169"/>
    <n v="78"/>
    <s v="Male"/>
    <s v="Stroke"/>
    <s v="CT Scan and Medication"/>
    <n v="10000"/>
    <n v="18"/>
    <s v="No"/>
    <s v="Stable"/>
    <n v="2"/>
    <x v="2"/>
    <m/>
    <m/>
    <x v="15"/>
    <m/>
  </r>
  <r>
    <n v="170"/>
    <n v="53"/>
    <s v="Female"/>
    <s v="Cancer"/>
    <s v="Surgery and Chemotherapy"/>
    <n v="25000"/>
    <n v="21"/>
    <s v="Yes"/>
    <s v="Recovered"/>
    <n v="4"/>
    <x v="2"/>
    <m/>
    <m/>
    <x v="15"/>
    <m/>
  </r>
  <r>
    <n v="171"/>
    <n v="72"/>
    <s v="Male"/>
    <s v="Hypertension"/>
    <s v="Medication and Counseling"/>
    <n v="1000"/>
    <n v="13"/>
    <s v="No"/>
    <s v="Stable"/>
    <n v="4"/>
    <x v="2"/>
    <m/>
    <m/>
    <x v="15"/>
    <m/>
  </r>
  <r>
    <n v="172"/>
    <n v="60"/>
    <s v="Female"/>
    <s v="Appendicitis"/>
    <s v="Appendectomy"/>
    <n v="8000"/>
    <n v="15"/>
    <s v="Yes"/>
    <s v="Recovered"/>
    <n v="3"/>
    <x v="2"/>
    <m/>
    <m/>
    <x v="15"/>
    <m/>
  </r>
  <r>
    <n v="173"/>
    <n v="45"/>
    <s v="Male"/>
    <s v="Fractured Leg"/>
    <s v="Cast and Physical Therapy"/>
    <n v="3000"/>
    <n v="17"/>
    <s v="No"/>
    <s v="Recovered"/>
    <n v="4"/>
    <x v="2"/>
    <m/>
    <m/>
    <x v="15"/>
    <m/>
  </r>
  <r>
    <n v="174"/>
    <n v="75"/>
    <s v="Female"/>
    <s v="Heart Attack"/>
    <s v="Cardiac Catheterization"/>
    <n v="18000"/>
    <n v="19"/>
    <s v="Yes"/>
    <s v="Stable"/>
    <n v="2"/>
    <x v="2"/>
    <m/>
    <m/>
    <x v="15"/>
    <m/>
  </r>
  <r>
    <n v="175"/>
    <n v="28"/>
    <s v="Male"/>
    <s v="Allergic Reaction"/>
    <s v="Epinephrine Injection"/>
    <n v="100"/>
    <n v="12"/>
    <s v="No"/>
    <s v="Recovered"/>
    <n v="5"/>
    <x v="2"/>
    <m/>
    <m/>
    <x v="15"/>
    <m/>
  </r>
  <r>
    <n v="176"/>
    <n v="52"/>
    <s v="Female"/>
    <s v="Respiratory Infection"/>
    <s v="Antibiotics and Rest"/>
    <n v="800"/>
    <n v="13"/>
    <s v="No"/>
    <s v="Stable"/>
    <n v="4"/>
    <x v="2"/>
    <m/>
    <m/>
    <x v="15"/>
    <m/>
  </r>
  <r>
    <n v="177"/>
    <n v="67"/>
    <s v="Male"/>
    <s v="Prostate Cancer"/>
    <s v="Radiation Therapy"/>
    <n v="20000"/>
    <n v="20"/>
    <s v="No"/>
    <s v="Recovered"/>
    <n v="3"/>
    <x v="2"/>
    <m/>
    <m/>
    <x v="15"/>
    <m/>
  </r>
  <r>
    <n v="178"/>
    <n v="35"/>
    <s v="Female"/>
    <s v="Childbirth"/>
    <s v="Delivery and Postnatal Care"/>
    <n v="12000"/>
    <n v="14"/>
    <s v="No"/>
    <s v="Recovered"/>
    <n v="4"/>
    <x v="2"/>
    <m/>
    <m/>
    <x v="15"/>
    <m/>
  </r>
  <r>
    <n v="179"/>
    <n v="50"/>
    <s v="Male"/>
    <s v="Kidney Stones"/>
    <s v="Lithotripsy"/>
    <n v="6000"/>
    <n v="15"/>
    <s v="No"/>
    <s v="Recovered"/>
    <n v="3"/>
    <x v="2"/>
    <m/>
    <m/>
    <x v="15"/>
    <m/>
  </r>
  <r>
    <n v="180"/>
    <n v="60"/>
    <s v="Female"/>
    <s v="Osteoarthritis"/>
    <s v="Physical Therapy and Pain Management"/>
    <n v="4000"/>
    <n v="16"/>
    <s v="No"/>
    <s v="Stable"/>
    <n v="4"/>
    <x v="2"/>
    <m/>
    <m/>
    <x v="15"/>
    <m/>
  </r>
  <r>
    <n v="181"/>
    <n v="48"/>
    <s v="Female"/>
    <s v="Heart Disease"/>
    <s v="Angioplasty"/>
    <n v="15000"/>
    <n v="17"/>
    <s v="Yes"/>
    <s v="Recovered"/>
    <n v="4"/>
    <x v="2"/>
    <m/>
    <m/>
    <x v="15"/>
    <m/>
  </r>
  <r>
    <n v="183"/>
    <n v="30"/>
    <s v="Female"/>
    <s v="Fractured Arm"/>
    <s v="X-Ray and Splint"/>
    <n v="500"/>
    <n v="13"/>
    <s v="No"/>
    <s v="Recovered"/>
    <n v="5"/>
    <x v="2"/>
    <m/>
    <m/>
    <x v="15"/>
    <m/>
  </r>
  <r>
    <n v="184"/>
    <n v="70"/>
    <s v="Male"/>
    <s v="Stroke"/>
    <s v="CT Scan and Medication"/>
    <n v="10000"/>
    <n v="19"/>
    <s v="Yes"/>
    <s v="Stable"/>
    <n v="2"/>
    <x v="2"/>
    <m/>
    <m/>
    <x v="15"/>
    <m/>
  </r>
  <r>
    <n v="185"/>
    <n v="55"/>
    <s v="Female"/>
    <s v="Cancer"/>
    <s v="Surgery and Chemotherapy"/>
    <n v="25000"/>
    <n v="22"/>
    <s v="No"/>
    <s v="Recovered"/>
    <n v="4"/>
    <x v="2"/>
    <m/>
    <m/>
    <x v="15"/>
    <m/>
  </r>
  <r>
    <n v="186"/>
    <n v="68"/>
    <s v="Male"/>
    <s v="Hypertension"/>
    <s v="Medication and Counseling"/>
    <n v="1000"/>
    <n v="14"/>
    <s v="No"/>
    <s v="Stable"/>
    <n v="4"/>
    <x v="2"/>
    <m/>
    <m/>
    <x v="15"/>
    <m/>
  </r>
  <r>
    <n v="187"/>
    <n v="45"/>
    <s v="Female"/>
    <s v="Appendicitis"/>
    <s v="Appendectomy"/>
    <n v="8000"/>
    <n v="16"/>
    <s v="No"/>
    <s v="Recovered"/>
    <n v="3"/>
    <x v="2"/>
    <m/>
    <m/>
    <x v="15"/>
    <m/>
  </r>
  <r>
    <n v="188"/>
    <n v="40"/>
    <s v="Male"/>
    <s v="Fractured Leg"/>
    <s v="Cast and Physical Therapy"/>
    <n v="3000"/>
    <n v="18"/>
    <s v="No"/>
    <s v="Recovered"/>
    <n v="4"/>
    <x v="2"/>
    <m/>
    <m/>
    <x v="15"/>
    <m/>
  </r>
  <r>
    <n v="189"/>
    <n v="78"/>
    <s v="Female"/>
    <s v="Heart Attack"/>
    <s v="Cardiac Catheterization"/>
    <n v="18000"/>
    <n v="20"/>
    <s v="Yes"/>
    <s v="Stable"/>
    <n v="2"/>
    <x v="2"/>
    <m/>
    <m/>
    <x v="15"/>
    <m/>
  </r>
  <r>
    <n v="190"/>
    <n v="25"/>
    <s v="Male"/>
    <s v="Allergic Reaction"/>
    <s v="Epinephrine Injection"/>
    <n v="100"/>
    <n v="13"/>
    <s v="No"/>
    <s v="Recovered"/>
    <n v="5"/>
    <x v="2"/>
    <m/>
    <m/>
    <x v="15"/>
    <m/>
  </r>
  <r>
    <n v="191"/>
    <n v="52"/>
    <s v="Female"/>
    <s v="Respiratory Infection"/>
    <s v="Antibiotics and Rest"/>
    <n v="800"/>
    <n v="14"/>
    <s v="No"/>
    <s v="Stable"/>
    <n v="4"/>
    <x v="2"/>
    <m/>
    <m/>
    <x v="15"/>
    <m/>
  </r>
  <r>
    <n v="192"/>
    <n v="58"/>
    <s v="Male"/>
    <s v="Prostate Cancer"/>
    <s v="Radiation Therapy"/>
    <n v="20000"/>
    <n v="21"/>
    <s v="No"/>
    <s v="Recovered"/>
    <n v="3"/>
    <x v="2"/>
    <m/>
    <m/>
    <x v="15"/>
    <m/>
  </r>
  <r>
    <n v="193"/>
    <n v="32"/>
    <s v="Female"/>
    <s v="Childbirth"/>
    <s v="Delivery and Postnatal Care"/>
    <n v="12000"/>
    <n v="15"/>
    <s v="No"/>
    <s v="Recovered"/>
    <n v="4"/>
    <x v="2"/>
    <m/>
    <m/>
    <x v="15"/>
    <m/>
  </r>
  <r>
    <n v="194"/>
    <n v="55"/>
    <s v="Male"/>
    <s v="Kidney Stones"/>
    <s v="Lithotripsy"/>
    <n v="6000"/>
    <n v="16"/>
    <s v="No"/>
    <s v="Recovered"/>
    <n v="3"/>
    <x v="2"/>
    <m/>
    <m/>
    <x v="15"/>
    <m/>
  </r>
  <r>
    <n v="195"/>
    <n v="65"/>
    <s v="Female"/>
    <s v="Osteoarthritis"/>
    <s v="Physical Therapy and Pain Management"/>
    <n v="4000"/>
    <n v="17"/>
    <s v="No"/>
    <s v="Stable"/>
    <n v="4"/>
    <x v="2"/>
    <m/>
    <m/>
    <x v="15"/>
    <m/>
  </r>
  <r>
    <n v="196"/>
    <n v="55"/>
    <s v="Female"/>
    <s v="Heart Disease"/>
    <s v="Angioplasty"/>
    <n v="15000"/>
    <n v="18"/>
    <s v="Yes"/>
    <s v="Recovered"/>
    <n v="3"/>
    <x v="2"/>
    <m/>
    <m/>
    <x v="15"/>
    <m/>
  </r>
  <r>
    <n v="197"/>
    <n v="62"/>
    <s v="Male"/>
    <s v="Diabetes"/>
    <s v="Insulin Therapy"/>
    <n v="2000"/>
    <n v="16"/>
    <s v="No"/>
    <s v="Stable"/>
    <n v="4"/>
    <x v="2"/>
    <m/>
    <m/>
    <x v="15"/>
    <m/>
  </r>
  <r>
    <n v="198"/>
    <n v="35"/>
    <s v="Female"/>
    <s v="Fractured Arm"/>
    <s v="X-Ray and Splint"/>
    <n v="500"/>
    <n v="14"/>
    <s v="Yes"/>
    <s v="Recovered"/>
    <n v="5"/>
    <x v="2"/>
    <m/>
    <m/>
    <x v="15"/>
    <m/>
  </r>
  <r>
    <n v="199"/>
    <n v="78"/>
    <s v="Male"/>
    <s v="Stroke"/>
    <s v="CT Scan and Medication"/>
    <n v="10000"/>
    <n v="20"/>
    <s v="No"/>
    <s v="Stable"/>
    <n v="2"/>
    <x v="2"/>
    <m/>
    <m/>
    <x v="15"/>
    <m/>
  </r>
  <r>
    <n v="200"/>
    <n v="53"/>
    <s v="Female"/>
    <s v="Cancer"/>
    <s v="Surgery and Chemotherapy"/>
    <n v="25000"/>
    <n v="23"/>
    <s v="Yes"/>
    <s v="Recovered"/>
    <n v="4"/>
    <x v="2"/>
    <m/>
    <m/>
    <x v="15"/>
    <m/>
  </r>
  <r>
    <n v="201"/>
    <n v="72"/>
    <s v="Male"/>
    <s v="Hypertension"/>
    <s v="Medication and Counseling"/>
    <n v="1000"/>
    <n v="15"/>
    <s v="No"/>
    <s v="Stable"/>
    <n v="4"/>
    <x v="2"/>
    <m/>
    <m/>
    <x v="15"/>
    <m/>
  </r>
  <r>
    <n v="202"/>
    <n v="60"/>
    <s v="Female"/>
    <s v="Appendicitis"/>
    <s v="Appendectomy"/>
    <n v="8000"/>
    <n v="17"/>
    <s v="Yes"/>
    <s v="Recovered"/>
    <n v="3"/>
    <x v="2"/>
    <m/>
    <m/>
    <x v="15"/>
    <m/>
  </r>
  <r>
    <n v="203"/>
    <n v="45"/>
    <s v="Male"/>
    <s v="Fractured Leg"/>
    <s v="Cast and Physical Therapy"/>
    <n v="3000"/>
    <n v="19"/>
    <s v="No"/>
    <s v="Recovered"/>
    <n v="4"/>
    <x v="2"/>
    <m/>
    <m/>
    <x v="15"/>
    <m/>
  </r>
  <r>
    <n v="204"/>
    <n v="75"/>
    <s v="Female"/>
    <s v="Heart Attack"/>
    <s v="Cardiac Catheterization"/>
    <n v="18000"/>
    <n v="21"/>
    <s v="Yes"/>
    <s v="Stable"/>
    <n v="2"/>
    <x v="2"/>
    <m/>
    <m/>
    <x v="15"/>
    <m/>
  </r>
  <r>
    <n v="205"/>
    <n v="28"/>
    <s v="Male"/>
    <s v="Allergic Reaction"/>
    <s v="Epinephrine Injection"/>
    <n v="100"/>
    <n v="14"/>
    <s v="No"/>
    <s v="Recovered"/>
    <n v="5"/>
    <x v="2"/>
    <m/>
    <m/>
    <x v="15"/>
    <m/>
  </r>
  <r>
    <n v="206"/>
    <n v="52"/>
    <s v="Female"/>
    <s v="Respiratory Infection"/>
    <s v="Antibiotics and Rest"/>
    <n v="800"/>
    <n v="15"/>
    <s v="No"/>
    <s v="Stable"/>
    <n v="4"/>
    <x v="2"/>
    <m/>
    <m/>
    <x v="15"/>
    <m/>
  </r>
  <r>
    <n v="207"/>
    <n v="67"/>
    <s v="Male"/>
    <s v="Prostate Cancer"/>
    <s v="Radiation Therapy"/>
    <n v="20000"/>
    <n v="22"/>
    <s v="No"/>
    <s v="Recovered"/>
    <n v="3"/>
    <x v="2"/>
    <m/>
    <m/>
    <x v="15"/>
    <m/>
  </r>
  <r>
    <n v="208"/>
    <n v="35"/>
    <s v="Female"/>
    <s v="Childbirth"/>
    <s v="Delivery and Postnatal Care"/>
    <n v="12000"/>
    <n v="16"/>
    <s v="No"/>
    <s v="Recovered"/>
    <n v="4"/>
    <x v="2"/>
    <m/>
    <m/>
    <x v="15"/>
    <m/>
  </r>
  <r>
    <n v="209"/>
    <n v="50"/>
    <s v="Male"/>
    <s v="Kidney Stones"/>
    <s v="Lithotripsy"/>
    <n v="6000"/>
    <n v="17"/>
    <s v="No"/>
    <s v="Recovered"/>
    <n v="3"/>
    <x v="2"/>
    <m/>
    <m/>
    <x v="15"/>
    <m/>
  </r>
  <r>
    <n v="210"/>
    <n v="60"/>
    <s v="Female"/>
    <s v="Osteoarthritis"/>
    <s v="Physical Therapy and Pain Management"/>
    <n v="4000"/>
    <n v="18"/>
    <s v="No"/>
    <s v="Stable"/>
    <n v="4"/>
    <x v="2"/>
    <m/>
    <m/>
    <x v="15"/>
    <m/>
  </r>
  <r>
    <n v="211"/>
    <n v="48"/>
    <s v="Female"/>
    <s v="Heart Disease"/>
    <s v="Angioplasty"/>
    <n v="15000"/>
    <n v="19"/>
    <s v="Yes"/>
    <s v="Recovered"/>
    <n v="4"/>
    <x v="2"/>
    <m/>
    <m/>
    <x v="15"/>
    <m/>
  </r>
  <r>
    <n v="212"/>
    <n v="65"/>
    <s v="Male"/>
    <s v="Diabetes"/>
    <s v="Insulin Therapy"/>
    <n v="2000"/>
    <n v="17"/>
    <s v="No"/>
    <s v="Stable"/>
    <n v="3"/>
    <x v="2"/>
    <m/>
    <m/>
    <x v="15"/>
    <m/>
  </r>
  <r>
    <n v="213"/>
    <n v="30"/>
    <s v="Female"/>
    <s v="Fractured Arm"/>
    <s v="X-Ray and Splint"/>
    <n v="500"/>
    <n v="15"/>
    <s v="No"/>
    <s v="Recovered"/>
    <n v="5"/>
    <x v="2"/>
    <m/>
    <m/>
    <x v="15"/>
    <m/>
  </r>
  <r>
    <n v="214"/>
    <n v="70"/>
    <s v="Male"/>
    <s v="Stroke"/>
    <s v="CT Scan and Medication"/>
    <n v="10000"/>
    <n v="21"/>
    <s v="Yes"/>
    <s v="Stable"/>
    <n v="2"/>
    <x v="2"/>
    <m/>
    <m/>
    <x v="15"/>
    <m/>
  </r>
  <r>
    <n v="215"/>
    <n v="55"/>
    <s v="Female"/>
    <s v="Cancer"/>
    <s v="Surgery and Chemotherapy"/>
    <n v="25000"/>
    <n v="24"/>
    <s v="No"/>
    <s v="Recovered"/>
    <n v="4"/>
    <x v="2"/>
    <m/>
    <m/>
    <x v="15"/>
    <m/>
  </r>
  <r>
    <n v="216"/>
    <n v="68"/>
    <s v="Male"/>
    <s v="Hypertension"/>
    <s v="Medication and Counseling"/>
    <n v="1000"/>
    <n v="16"/>
    <s v="No"/>
    <s v="Stable"/>
    <n v="4"/>
    <x v="2"/>
    <m/>
    <m/>
    <x v="15"/>
    <m/>
  </r>
  <r>
    <n v="217"/>
    <n v="45"/>
    <s v="Female"/>
    <s v="Appendicitis"/>
    <s v="Appendectomy"/>
    <n v="8000"/>
    <n v="18"/>
    <s v="No"/>
    <s v="Recovered"/>
    <n v="3"/>
    <x v="2"/>
    <m/>
    <m/>
    <x v="15"/>
    <m/>
  </r>
  <r>
    <n v="218"/>
    <n v="40"/>
    <s v="Male"/>
    <s v="Fractured Leg"/>
    <s v="Cast and Physical Therapy"/>
    <n v="3000"/>
    <n v="20"/>
    <s v="No"/>
    <s v="Recovered"/>
    <n v="4"/>
    <x v="2"/>
    <m/>
    <m/>
    <x v="15"/>
    <m/>
  </r>
  <r>
    <n v="219"/>
    <n v="78"/>
    <s v="Female"/>
    <s v="Heart Attack"/>
    <s v="Cardiac Catheterization"/>
    <n v="18000"/>
    <n v="22"/>
    <s v="Yes"/>
    <s v="Stable"/>
    <n v="2"/>
    <x v="2"/>
    <m/>
    <m/>
    <x v="15"/>
    <m/>
  </r>
  <r>
    <n v="220"/>
    <n v="25"/>
    <s v="Male"/>
    <s v="Allergic Reaction"/>
    <s v="Epinephrine Injection"/>
    <n v="100"/>
    <n v="15"/>
    <s v="No"/>
    <s v="Recovered"/>
    <n v="5"/>
    <x v="2"/>
    <m/>
    <m/>
    <x v="15"/>
    <m/>
  </r>
  <r>
    <n v="221"/>
    <n v="52"/>
    <s v="Female"/>
    <s v="Respiratory Infection"/>
    <s v="Antibiotics and Rest"/>
    <n v="800"/>
    <n v="16"/>
    <s v="No"/>
    <s v="Stable"/>
    <n v="4"/>
    <x v="2"/>
    <m/>
    <m/>
    <x v="15"/>
    <m/>
  </r>
  <r>
    <n v="222"/>
    <n v="58"/>
    <s v="Male"/>
    <s v="Prostate Cancer"/>
    <s v="Radiation Therapy"/>
    <n v="20000"/>
    <n v="23"/>
    <s v="No"/>
    <s v="Recovered"/>
    <n v="3"/>
    <x v="2"/>
    <m/>
    <m/>
    <x v="15"/>
    <m/>
  </r>
  <r>
    <n v="223"/>
    <n v="32"/>
    <s v="Female"/>
    <s v="Childbirth"/>
    <s v="Delivery and Postnatal Care"/>
    <n v="12000"/>
    <n v="17"/>
    <s v="No"/>
    <s v="Recovered"/>
    <n v="4"/>
    <x v="2"/>
    <m/>
    <m/>
    <x v="15"/>
    <m/>
  </r>
  <r>
    <n v="224"/>
    <n v="55"/>
    <s v="Male"/>
    <s v="Kidney Stones"/>
    <s v="Lithotripsy"/>
    <n v="6000"/>
    <n v="18"/>
    <s v="No"/>
    <s v="Recovered"/>
    <n v="3"/>
    <x v="2"/>
    <m/>
    <m/>
    <x v="15"/>
    <m/>
  </r>
  <r>
    <n v="225"/>
    <n v="65"/>
    <s v="Female"/>
    <s v="Osteoarthritis"/>
    <s v="Physical Therapy and Pain Management"/>
    <n v="4000"/>
    <n v="19"/>
    <s v="No"/>
    <s v="Stable"/>
    <n v="4"/>
    <x v="2"/>
    <m/>
    <m/>
    <x v="15"/>
    <m/>
  </r>
  <r>
    <n v="226"/>
    <n v="55"/>
    <s v="Female"/>
    <s v="Heart Disease"/>
    <s v="Angioplasty"/>
    <n v="15000"/>
    <n v="20"/>
    <s v="Yes"/>
    <s v="Recovered"/>
    <n v="3"/>
    <x v="2"/>
    <m/>
    <m/>
    <x v="15"/>
    <m/>
  </r>
  <r>
    <n v="227"/>
    <n v="62"/>
    <s v="Male"/>
    <s v="Diabetes"/>
    <s v="Insulin Therapy"/>
    <n v="2000"/>
    <n v="18"/>
    <s v="No"/>
    <s v="Stable"/>
    <n v="4"/>
    <x v="2"/>
    <m/>
    <m/>
    <x v="15"/>
    <m/>
  </r>
  <r>
    <n v="228"/>
    <n v="35"/>
    <s v="Female"/>
    <s v="Fractured Arm"/>
    <s v="X-Ray and Splint"/>
    <n v="500"/>
    <n v="16"/>
    <s v="Yes"/>
    <s v="Recovered"/>
    <n v="5"/>
    <x v="2"/>
    <m/>
    <m/>
    <x v="15"/>
    <m/>
  </r>
  <r>
    <n v="229"/>
    <n v="78"/>
    <s v="Male"/>
    <s v="Stroke"/>
    <s v="CT Scan and Medication"/>
    <n v="10000"/>
    <n v="22"/>
    <s v="No"/>
    <s v="Stable"/>
    <n v="2"/>
    <x v="2"/>
    <m/>
    <m/>
    <x v="15"/>
    <m/>
  </r>
  <r>
    <n v="230"/>
    <n v="53"/>
    <s v="Female"/>
    <s v="Cancer"/>
    <s v="Surgery and Chemotherapy"/>
    <n v="25000"/>
    <n v="25"/>
    <s v="Yes"/>
    <s v="Recovered"/>
    <n v="4"/>
    <x v="2"/>
    <m/>
    <m/>
    <x v="15"/>
    <m/>
  </r>
  <r>
    <n v="231"/>
    <n v="72"/>
    <s v="Male"/>
    <s v="Hypertension"/>
    <s v="Medication and Counseling"/>
    <n v="1000"/>
    <n v="17"/>
    <s v="No"/>
    <s v="Stable"/>
    <n v="4"/>
    <x v="2"/>
    <m/>
    <m/>
    <x v="15"/>
    <m/>
  </r>
  <r>
    <n v="232"/>
    <n v="60"/>
    <s v="Female"/>
    <s v="Appendicitis"/>
    <s v="Appendectomy"/>
    <n v="8000"/>
    <n v="19"/>
    <s v="Yes"/>
    <s v="Recovered"/>
    <n v="3"/>
    <x v="2"/>
    <m/>
    <m/>
    <x v="15"/>
    <m/>
  </r>
  <r>
    <n v="233"/>
    <n v="45"/>
    <s v="Male"/>
    <s v="Fractured Leg"/>
    <s v="Cast and Physical Therapy"/>
    <n v="3000"/>
    <n v="21"/>
    <s v="No"/>
    <s v="Recovered"/>
    <n v="4"/>
    <x v="2"/>
    <m/>
    <m/>
    <x v="15"/>
    <m/>
  </r>
  <r>
    <n v="234"/>
    <n v="75"/>
    <s v="Female"/>
    <s v="Heart Attack"/>
    <s v="Cardiac Catheterization"/>
    <n v="18000"/>
    <n v="23"/>
    <s v="Yes"/>
    <s v="Stable"/>
    <n v="2"/>
    <x v="2"/>
    <m/>
    <m/>
    <x v="15"/>
    <m/>
  </r>
  <r>
    <n v="235"/>
    <n v="28"/>
    <s v="Male"/>
    <s v="Allergic Reaction"/>
    <s v="Epinephrine Injection"/>
    <n v="100"/>
    <n v="16"/>
    <s v="No"/>
    <s v="Recovered"/>
    <n v="5"/>
    <x v="2"/>
    <m/>
    <m/>
    <x v="15"/>
    <m/>
  </r>
  <r>
    <n v="236"/>
    <n v="52"/>
    <s v="Female"/>
    <s v="Respiratory Infection"/>
    <s v="Antibiotics and Rest"/>
    <n v="800"/>
    <n v="17"/>
    <s v="No"/>
    <s v="Stable"/>
    <n v="4"/>
    <x v="2"/>
    <m/>
    <m/>
    <x v="15"/>
    <m/>
  </r>
  <r>
    <n v="237"/>
    <n v="67"/>
    <s v="Male"/>
    <s v="Prostate Cancer"/>
    <s v="Radiation Therapy"/>
    <n v="20000"/>
    <n v="24"/>
    <s v="No"/>
    <s v="Recovered"/>
    <n v="3"/>
    <x v="2"/>
    <m/>
    <m/>
    <x v="15"/>
    <m/>
  </r>
  <r>
    <n v="238"/>
    <n v="35"/>
    <s v="Female"/>
    <s v="Childbirth"/>
    <s v="Delivery and Postnatal Care"/>
    <n v="12000"/>
    <n v="18"/>
    <s v="No"/>
    <s v="Recovered"/>
    <n v="4"/>
    <x v="2"/>
    <m/>
    <m/>
    <x v="15"/>
    <m/>
  </r>
  <r>
    <n v="239"/>
    <n v="50"/>
    <s v="Male"/>
    <s v="Kidney Stones"/>
    <s v="Lithotripsy"/>
    <n v="6000"/>
    <n v="19"/>
    <s v="No"/>
    <s v="Recovered"/>
    <n v="3"/>
    <x v="2"/>
    <m/>
    <m/>
    <x v="15"/>
    <m/>
  </r>
  <r>
    <n v="240"/>
    <n v="60"/>
    <s v="Female"/>
    <s v="Osteoarthritis"/>
    <s v="Physical Therapy and Pain Management"/>
    <n v="4000"/>
    <n v="20"/>
    <s v="No"/>
    <s v="Stable"/>
    <n v="4"/>
    <x v="2"/>
    <m/>
    <m/>
    <x v="15"/>
    <m/>
  </r>
  <r>
    <n v="241"/>
    <n v="48"/>
    <s v="Female"/>
    <s v="Heart Disease"/>
    <s v="Angioplasty"/>
    <n v="15000"/>
    <n v="21"/>
    <s v="Yes"/>
    <s v="Recovered"/>
    <n v="4"/>
    <x v="2"/>
    <m/>
    <m/>
    <x v="15"/>
    <m/>
  </r>
  <r>
    <n v="242"/>
    <n v="65"/>
    <s v="Male"/>
    <s v="Diabetes"/>
    <s v="Insulin Therapy"/>
    <n v="2000"/>
    <n v="19"/>
    <s v="No"/>
    <s v="Stable"/>
    <n v="3"/>
    <x v="2"/>
    <m/>
    <m/>
    <x v="15"/>
    <m/>
  </r>
  <r>
    <n v="244"/>
    <n v="70"/>
    <s v="Male"/>
    <s v="Stroke"/>
    <s v="CT Scan and Medication"/>
    <n v="10000"/>
    <n v="23"/>
    <s v="Yes"/>
    <s v="Stable"/>
    <n v="2"/>
    <x v="2"/>
    <m/>
    <m/>
    <x v="15"/>
    <m/>
  </r>
  <r>
    <n v="245"/>
    <n v="55"/>
    <s v="Female"/>
    <s v="Cancer"/>
    <s v="Surgery and Chemotherapy"/>
    <n v="25000"/>
    <n v="26"/>
    <s v="No"/>
    <s v="Recovered"/>
    <n v="4"/>
    <x v="2"/>
    <m/>
    <m/>
    <x v="15"/>
    <m/>
  </r>
  <r>
    <n v="246"/>
    <n v="68"/>
    <s v="Male"/>
    <s v="Hypertension"/>
    <s v="Medication and Counseling"/>
    <n v="1000"/>
    <n v="18"/>
    <s v="No"/>
    <s v="Stable"/>
    <n v="4"/>
    <x v="2"/>
    <m/>
    <m/>
    <x v="15"/>
    <m/>
  </r>
  <r>
    <n v="247"/>
    <n v="45"/>
    <s v="Female"/>
    <s v="Appendicitis"/>
    <s v="Appendectomy"/>
    <n v="8000"/>
    <n v="20"/>
    <s v="No"/>
    <s v="Recovered"/>
    <n v="3"/>
    <x v="2"/>
    <m/>
    <m/>
    <x v="15"/>
    <m/>
  </r>
  <r>
    <n v="248"/>
    <n v="40"/>
    <s v="Male"/>
    <s v="Fractured Leg"/>
    <s v="Cast and Physical Therapy"/>
    <n v="3000"/>
    <n v="22"/>
    <s v="No"/>
    <s v="Recovered"/>
    <n v="4"/>
    <x v="2"/>
    <m/>
    <m/>
    <x v="15"/>
    <m/>
  </r>
  <r>
    <n v="249"/>
    <n v="78"/>
    <s v="Female"/>
    <s v="Heart Attack"/>
    <s v="Cardiac Catheterization"/>
    <n v="18000"/>
    <n v="24"/>
    <s v="Yes"/>
    <s v="Stable"/>
    <n v="2"/>
    <x v="2"/>
    <m/>
    <m/>
    <x v="15"/>
    <m/>
  </r>
  <r>
    <n v="250"/>
    <n v="25"/>
    <s v="Male"/>
    <s v="Allergic Reaction"/>
    <s v="Epinephrine Injection"/>
    <n v="100"/>
    <n v="17"/>
    <s v="No"/>
    <s v="Recovered"/>
    <n v="5"/>
    <x v="2"/>
    <m/>
    <m/>
    <x v="15"/>
    <m/>
  </r>
  <r>
    <n v="251"/>
    <n v="52"/>
    <s v="Female"/>
    <s v="Respiratory Infection"/>
    <s v="Antibiotics and Rest"/>
    <n v="800"/>
    <n v="18"/>
    <s v="No"/>
    <s v="Stable"/>
    <n v="4"/>
    <x v="2"/>
    <m/>
    <m/>
    <x v="15"/>
    <m/>
  </r>
  <r>
    <n v="252"/>
    <n v="58"/>
    <s v="Male"/>
    <s v="Prostate Cancer"/>
    <s v="Radiation Therapy"/>
    <n v="20000"/>
    <n v="25"/>
    <s v="No"/>
    <s v="Recovered"/>
    <n v="3"/>
    <x v="2"/>
    <m/>
    <m/>
    <x v="15"/>
    <m/>
  </r>
  <r>
    <n v="253"/>
    <n v="32"/>
    <s v="Female"/>
    <s v="Childbirth"/>
    <s v="Delivery and Postnatal Care"/>
    <n v="12000"/>
    <n v="19"/>
    <s v="No"/>
    <s v="Recovered"/>
    <n v="4"/>
    <x v="2"/>
    <m/>
    <m/>
    <x v="15"/>
    <m/>
  </r>
  <r>
    <n v="254"/>
    <n v="55"/>
    <s v="Male"/>
    <s v="Kidney Stones"/>
    <s v="Lithotripsy"/>
    <n v="6000"/>
    <n v="20"/>
    <s v="No"/>
    <s v="Recovered"/>
    <n v="3"/>
    <x v="2"/>
    <m/>
    <m/>
    <x v="15"/>
    <m/>
  </r>
  <r>
    <n v="255"/>
    <n v="65"/>
    <s v="Female"/>
    <s v="Osteoarthritis"/>
    <s v="Physical Therapy and Pain Management"/>
    <n v="4000"/>
    <n v="21"/>
    <s v="No"/>
    <s v="Stable"/>
    <n v="4"/>
    <x v="2"/>
    <m/>
    <m/>
    <x v="15"/>
    <m/>
  </r>
  <r>
    <n v="256"/>
    <n v="55"/>
    <s v="Female"/>
    <s v="Heart Disease"/>
    <s v="Angioplasty"/>
    <n v="15000"/>
    <n v="22"/>
    <s v="Yes"/>
    <s v="Recovered"/>
    <n v="3"/>
    <x v="2"/>
    <m/>
    <m/>
    <x v="15"/>
    <m/>
  </r>
  <r>
    <n v="257"/>
    <n v="62"/>
    <s v="Male"/>
    <s v="Diabetes"/>
    <s v="Insulin Therapy"/>
    <n v="2000"/>
    <n v="20"/>
    <s v="No"/>
    <s v="Stable"/>
    <n v="4"/>
    <x v="2"/>
    <m/>
    <m/>
    <x v="15"/>
    <m/>
  </r>
  <r>
    <n v="258"/>
    <n v="35"/>
    <s v="Female"/>
    <s v="Fractured Arm"/>
    <s v="X-Ray and Splint"/>
    <n v="500"/>
    <n v="18"/>
    <s v="Yes"/>
    <s v="Recovered"/>
    <n v="5"/>
    <x v="2"/>
    <m/>
    <m/>
    <x v="15"/>
    <m/>
  </r>
  <r>
    <n v="259"/>
    <n v="78"/>
    <s v="Male"/>
    <s v="Stroke"/>
    <s v="CT Scan and Medication"/>
    <n v="10000"/>
    <n v="24"/>
    <s v="No"/>
    <s v="Stable"/>
    <n v="2"/>
    <x v="2"/>
    <m/>
    <m/>
    <x v="15"/>
    <m/>
  </r>
  <r>
    <n v="260"/>
    <n v="53"/>
    <s v="Female"/>
    <s v="Cancer"/>
    <s v="Surgery and Chemotherapy"/>
    <n v="25000"/>
    <n v="27"/>
    <s v="Yes"/>
    <s v="Recovered"/>
    <n v="4"/>
    <x v="2"/>
    <m/>
    <m/>
    <x v="15"/>
    <m/>
  </r>
  <r>
    <n v="261"/>
    <n v="72"/>
    <s v="Male"/>
    <s v="Hypertension"/>
    <s v="Medication and Counseling"/>
    <n v="1000"/>
    <n v="19"/>
    <s v="No"/>
    <s v="Stable"/>
    <n v="4"/>
    <x v="2"/>
    <m/>
    <m/>
    <x v="15"/>
    <m/>
  </r>
  <r>
    <n v="262"/>
    <n v="60"/>
    <s v="Female"/>
    <s v="Appendicitis"/>
    <s v="Appendectomy"/>
    <n v="8000"/>
    <n v="21"/>
    <s v="Yes"/>
    <s v="Recovered"/>
    <n v="3"/>
    <x v="2"/>
    <m/>
    <m/>
    <x v="15"/>
    <m/>
  </r>
  <r>
    <n v="263"/>
    <n v="45"/>
    <s v="Male"/>
    <s v="Fractured Leg"/>
    <s v="Cast and Physical Therapy"/>
    <n v="3000"/>
    <n v="23"/>
    <s v="No"/>
    <s v="Recovered"/>
    <n v="4"/>
    <x v="2"/>
    <m/>
    <m/>
    <x v="15"/>
    <m/>
  </r>
  <r>
    <n v="264"/>
    <n v="75"/>
    <s v="Female"/>
    <s v="Heart Attack"/>
    <s v="Cardiac Catheterization"/>
    <n v="18000"/>
    <n v="25"/>
    <s v="Yes"/>
    <s v="Stable"/>
    <n v="2"/>
    <x v="2"/>
    <m/>
    <m/>
    <x v="15"/>
    <m/>
  </r>
  <r>
    <n v="265"/>
    <n v="28"/>
    <s v="Male"/>
    <s v="Allergic Reaction"/>
    <s v="Epinephrine Injection"/>
    <n v="100"/>
    <n v="18"/>
    <s v="No"/>
    <s v="Recovered"/>
    <n v="5"/>
    <x v="2"/>
    <m/>
    <m/>
    <x v="15"/>
    <m/>
  </r>
  <r>
    <n v="266"/>
    <n v="52"/>
    <s v="Female"/>
    <s v="Respiratory Infection"/>
    <s v="Antibiotics and Rest"/>
    <n v="800"/>
    <n v="19"/>
    <s v="No"/>
    <s v="Stable"/>
    <n v="4"/>
    <x v="2"/>
    <m/>
    <m/>
    <x v="15"/>
    <m/>
  </r>
  <r>
    <n v="267"/>
    <n v="67"/>
    <s v="Male"/>
    <s v="Prostate Cancer"/>
    <s v="Radiation Therapy"/>
    <n v="20000"/>
    <n v="26"/>
    <s v="No"/>
    <s v="Recovered"/>
    <n v="3"/>
    <x v="2"/>
    <m/>
    <m/>
    <x v="15"/>
    <m/>
  </r>
  <r>
    <n v="268"/>
    <n v="35"/>
    <s v="Female"/>
    <s v="Childbirth"/>
    <s v="Delivery and Postnatal Care"/>
    <n v="12000"/>
    <n v="20"/>
    <s v="No"/>
    <s v="Recovered"/>
    <n v="4"/>
    <x v="2"/>
    <m/>
    <m/>
    <x v="15"/>
    <m/>
  </r>
  <r>
    <n v="269"/>
    <n v="50"/>
    <s v="Male"/>
    <s v="Kidney Stones"/>
    <s v="Lithotripsy"/>
    <n v="6000"/>
    <n v="21"/>
    <s v="No"/>
    <s v="Recovered"/>
    <n v="3"/>
    <x v="2"/>
    <m/>
    <m/>
    <x v="15"/>
    <m/>
  </r>
  <r>
    <n v="270"/>
    <n v="60"/>
    <s v="Female"/>
    <s v="Osteoarthritis"/>
    <s v="Physical Therapy and Pain Management"/>
    <n v="4000"/>
    <n v="22"/>
    <s v="No"/>
    <s v="Stable"/>
    <n v="4"/>
    <x v="2"/>
    <m/>
    <m/>
    <x v="15"/>
    <m/>
  </r>
  <r>
    <n v="271"/>
    <n v="48"/>
    <s v="Female"/>
    <s v="Heart Disease"/>
    <s v="Angioplasty"/>
    <n v="15000"/>
    <n v="23"/>
    <s v="Yes"/>
    <s v="Recovered"/>
    <n v="4"/>
    <x v="2"/>
    <m/>
    <m/>
    <x v="15"/>
    <m/>
  </r>
  <r>
    <n v="272"/>
    <n v="65"/>
    <s v="Male"/>
    <s v="Diabetes"/>
    <s v="Insulin Therapy"/>
    <n v="2000"/>
    <n v="21"/>
    <s v="No"/>
    <s v="Stable"/>
    <n v="3"/>
    <x v="2"/>
    <m/>
    <m/>
    <x v="15"/>
    <m/>
  </r>
  <r>
    <n v="273"/>
    <n v="30"/>
    <s v="Female"/>
    <s v="Fractured Arm"/>
    <s v="X-Ray and Splint"/>
    <n v="500"/>
    <n v="19"/>
    <s v="No"/>
    <s v="Recovered"/>
    <n v="5"/>
    <x v="2"/>
    <m/>
    <m/>
    <x v="15"/>
    <m/>
  </r>
  <r>
    <n v="274"/>
    <n v="70"/>
    <s v="Male"/>
    <s v="Stroke"/>
    <s v="CT Scan and Medication"/>
    <n v="10000"/>
    <n v="25"/>
    <s v="Yes"/>
    <s v="Stable"/>
    <n v="2"/>
    <x v="2"/>
    <m/>
    <m/>
    <x v="15"/>
    <m/>
  </r>
  <r>
    <n v="275"/>
    <n v="55"/>
    <s v="Female"/>
    <s v="Cancer"/>
    <s v="Surgery and Chemotherapy"/>
    <n v="25000"/>
    <n v="28"/>
    <s v="No"/>
    <s v="Recovered"/>
    <n v="4"/>
    <x v="2"/>
    <m/>
    <m/>
    <x v="15"/>
    <m/>
  </r>
  <r>
    <n v="276"/>
    <n v="68"/>
    <s v="Male"/>
    <s v="Hypertension"/>
    <s v="Medication and Counseling"/>
    <n v="1000"/>
    <n v="20"/>
    <s v="No"/>
    <s v="Stable"/>
    <n v="4"/>
    <x v="2"/>
    <m/>
    <m/>
    <x v="15"/>
    <m/>
  </r>
  <r>
    <n v="277"/>
    <n v="45"/>
    <s v="Female"/>
    <s v="Appendicitis"/>
    <s v="Appendectomy"/>
    <n v="8000"/>
    <n v="22"/>
    <s v="No"/>
    <s v="Recovered"/>
    <n v="3"/>
    <x v="2"/>
    <m/>
    <m/>
    <x v="15"/>
    <m/>
  </r>
  <r>
    <n v="278"/>
    <n v="40"/>
    <s v="Male"/>
    <s v="Fractured Leg"/>
    <s v="Cast and Physical Therapy"/>
    <n v="3000"/>
    <n v="24"/>
    <s v="No"/>
    <s v="Recovered"/>
    <n v="4"/>
    <x v="2"/>
    <m/>
    <m/>
    <x v="15"/>
    <m/>
  </r>
  <r>
    <n v="279"/>
    <n v="78"/>
    <s v="Female"/>
    <s v="Heart Attack"/>
    <s v="Cardiac Catheterization"/>
    <n v="18000"/>
    <n v="26"/>
    <s v="Yes"/>
    <s v="Stable"/>
    <n v="2"/>
    <x v="2"/>
    <m/>
    <m/>
    <x v="15"/>
    <m/>
  </r>
  <r>
    <n v="280"/>
    <n v="25"/>
    <s v="Male"/>
    <s v="Allergic Reaction"/>
    <s v="Epinephrine Injection"/>
    <n v="100"/>
    <n v="19"/>
    <s v="No"/>
    <s v="Recovered"/>
    <n v="5"/>
    <x v="2"/>
    <m/>
    <m/>
    <x v="15"/>
    <m/>
  </r>
  <r>
    <n v="281"/>
    <n v="52"/>
    <s v="Female"/>
    <s v="Respiratory Infection"/>
    <s v="Antibiotics and Rest"/>
    <n v="800"/>
    <n v="20"/>
    <s v="No"/>
    <s v="Stable"/>
    <n v="4"/>
    <x v="2"/>
    <m/>
    <m/>
    <x v="15"/>
    <m/>
  </r>
  <r>
    <n v="282"/>
    <n v="58"/>
    <s v="Male"/>
    <s v="Prostate Cancer"/>
    <s v="Radiation Therapy"/>
    <n v="20000"/>
    <n v="27"/>
    <s v="No"/>
    <s v="Recovered"/>
    <n v="3"/>
    <x v="2"/>
    <m/>
    <m/>
    <x v="15"/>
    <m/>
  </r>
  <r>
    <n v="283"/>
    <n v="32"/>
    <s v="Female"/>
    <s v="Childbirth"/>
    <s v="Delivery and Postnatal Care"/>
    <n v="12000"/>
    <n v="21"/>
    <s v="No"/>
    <s v="Recovered"/>
    <n v="4"/>
    <x v="2"/>
    <m/>
    <m/>
    <x v="15"/>
    <m/>
  </r>
  <r>
    <n v="284"/>
    <n v="55"/>
    <s v="Male"/>
    <s v="Kidney Stones"/>
    <s v="Lithotripsy"/>
    <n v="6000"/>
    <n v="22"/>
    <s v="No"/>
    <s v="Recovered"/>
    <n v="3"/>
    <x v="2"/>
    <m/>
    <m/>
    <x v="15"/>
    <m/>
  </r>
  <r>
    <n v="285"/>
    <n v="65"/>
    <s v="Female"/>
    <s v="Osteoarthritis"/>
    <s v="Physical Therapy and Pain Management"/>
    <n v="4000"/>
    <n v="23"/>
    <s v="No"/>
    <s v="Stable"/>
    <n v="4"/>
    <x v="2"/>
    <m/>
    <m/>
    <x v="15"/>
    <m/>
  </r>
  <r>
    <n v="286"/>
    <n v="55"/>
    <s v="Female"/>
    <s v="Heart Disease"/>
    <s v="Angioplasty"/>
    <n v="15000"/>
    <n v="24"/>
    <s v="Yes"/>
    <s v="Recovered"/>
    <n v="3"/>
    <x v="2"/>
    <m/>
    <m/>
    <x v="15"/>
    <m/>
  </r>
  <r>
    <n v="287"/>
    <n v="62"/>
    <s v="Male"/>
    <s v="Diabetes"/>
    <s v="Insulin Therapy"/>
    <n v="2000"/>
    <n v="22"/>
    <s v="No"/>
    <s v="Stable"/>
    <n v="4"/>
    <x v="2"/>
    <m/>
    <m/>
    <x v="15"/>
    <m/>
  </r>
  <r>
    <n v="288"/>
    <n v="35"/>
    <s v="Female"/>
    <s v="Fractured Arm"/>
    <s v="X-Ray and Splint"/>
    <n v="500"/>
    <n v="20"/>
    <s v="Yes"/>
    <s v="Recovered"/>
    <n v="5"/>
    <x v="2"/>
    <m/>
    <m/>
    <x v="15"/>
    <m/>
  </r>
  <r>
    <n v="289"/>
    <n v="78"/>
    <s v="Male"/>
    <s v="Stroke"/>
    <s v="CT Scan and Medication"/>
    <n v="10000"/>
    <n v="26"/>
    <s v="No"/>
    <s v="Stable"/>
    <n v="2"/>
    <x v="2"/>
    <m/>
    <m/>
    <x v="15"/>
    <m/>
  </r>
  <r>
    <n v="290"/>
    <n v="53"/>
    <s v="Female"/>
    <s v="Cancer"/>
    <s v="Surgery and Chemotherapy"/>
    <n v="25000"/>
    <n v="29"/>
    <s v="Yes"/>
    <s v="Recovered"/>
    <n v="4"/>
    <x v="2"/>
    <m/>
    <m/>
    <x v="15"/>
    <m/>
  </r>
  <r>
    <n v="291"/>
    <n v="72"/>
    <s v="Male"/>
    <s v="Hypertension"/>
    <s v="Medication and Counseling"/>
    <n v="1000"/>
    <n v="21"/>
    <s v="No"/>
    <s v="Stable"/>
    <n v="4"/>
    <x v="2"/>
    <m/>
    <m/>
    <x v="15"/>
    <m/>
  </r>
  <r>
    <n v="292"/>
    <n v="60"/>
    <s v="Female"/>
    <s v="Appendicitis"/>
    <s v="Appendectomy"/>
    <n v="8000"/>
    <n v="23"/>
    <s v="Yes"/>
    <s v="Recovered"/>
    <n v="3"/>
    <x v="2"/>
    <m/>
    <m/>
    <x v="15"/>
    <m/>
  </r>
  <r>
    <n v="293"/>
    <n v="45"/>
    <s v="Male"/>
    <s v="Fractured Leg"/>
    <s v="Cast and Physical Therapy"/>
    <n v="3000"/>
    <n v="25"/>
    <s v="No"/>
    <s v="Recovered"/>
    <n v="4"/>
    <x v="2"/>
    <m/>
    <m/>
    <x v="15"/>
    <m/>
  </r>
  <r>
    <n v="294"/>
    <n v="75"/>
    <s v="Female"/>
    <s v="Heart Attack"/>
    <s v="Cardiac Catheterization"/>
    <n v="18000"/>
    <n v="27"/>
    <s v="Yes"/>
    <s v="Stable"/>
    <n v="2"/>
    <x v="2"/>
    <m/>
    <m/>
    <x v="15"/>
    <m/>
  </r>
  <r>
    <n v="296"/>
    <n v="52"/>
    <s v="Female"/>
    <s v="Respiratory Infection"/>
    <s v="Antibiotics and Rest"/>
    <n v="800"/>
    <n v="21"/>
    <s v="No"/>
    <s v="Stable"/>
    <n v="4"/>
    <x v="2"/>
    <m/>
    <m/>
    <x v="15"/>
    <m/>
  </r>
  <r>
    <n v="297"/>
    <n v="67"/>
    <s v="Male"/>
    <s v="Prostate Cancer"/>
    <s v="Radiation Therapy"/>
    <n v="20000"/>
    <n v="28"/>
    <s v="No"/>
    <s v="Recovered"/>
    <n v="3"/>
    <x v="2"/>
    <m/>
    <m/>
    <x v="15"/>
    <m/>
  </r>
  <r>
    <n v="298"/>
    <n v="35"/>
    <s v="Female"/>
    <s v="Childbirth"/>
    <s v="Delivery and Postnatal Care"/>
    <n v="12000"/>
    <n v="22"/>
    <s v="No"/>
    <s v="Recovered"/>
    <n v="4"/>
    <x v="2"/>
    <m/>
    <m/>
    <x v="15"/>
    <m/>
  </r>
  <r>
    <n v="299"/>
    <n v="50"/>
    <s v="Male"/>
    <s v="Kidney Stones"/>
    <s v="Lithotripsy"/>
    <n v="6000"/>
    <n v="23"/>
    <s v="No"/>
    <s v="Recovered"/>
    <n v="3"/>
    <x v="2"/>
    <m/>
    <m/>
    <x v="15"/>
    <m/>
  </r>
  <r>
    <n v="300"/>
    <n v="60"/>
    <s v="Female"/>
    <s v="Osteoarthritis"/>
    <s v="Physical Therapy and Pain Management"/>
    <n v="4000"/>
    <n v="24"/>
    <s v="No"/>
    <s v="Stable"/>
    <n v="4"/>
    <x v="2"/>
    <m/>
    <m/>
    <x v="15"/>
    <m/>
  </r>
  <r>
    <n v="301"/>
    <n v="48"/>
    <s v="Female"/>
    <s v="Heart Disease"/>
    <s v="Angioplasty"/>
    <n v="15000"/>
    <n v="25"/>
    <s v="Yes"/>
    <s v="Recovered"/>
    <n v="4"/>
    <x v="2"/>
    <m/>
    <m/>
    <x v="15"/>
    <m/>
  </r>
  <r>
    <n v="302"/>
    <n v="65"/>
    <s v="Male"/>
    <s v="Diabetes"/>
    <s v="Insulin Therapy"/>
    <n v="2000"/>
    <n v="23"/>
    <s v="No"/>
    <s v="Stable"/>
    <n v="3"/>
    <x v="2"/>
    <m/>
    <m/>
    <x v="15"/>
    <m/>
  </r>
  <r>
    <n v="303"/>
    <n v="30"/>
    <s v="Female"/>
    <s v="Fractured Arm"/>
    <s v="X-Ray and Splint"/>
    <n v="500"/>
    <n v="21"/>
    <s v="No"/>
    <s v="Recovered"/>
    <n v="5"/>
    <x v="2"/>
    <m/>
    <m/>
    <x v="15"/>
    <m/>
  </r>
  <r>
    <n v="304"/>
    <n v="70"/>
    <s v="Male"/>
    <s v="Stroke"/>
    <s v="CT Scan and Medication"/>
    <n v="10000"/>
    <n v="27"/>
    <s v="Yes"/>
    <s v="Stable"/>
    <n v="2"/>
    <x v="2"/>
    <m/>
    <m/>
    <x v="15"/>
    <m/>
  </r>
  <r>
    <n v="305"/>
    <n v="55"/>
    <s v="Female"/>
    <s v="Cancer"/>
    <s v="Surgery and Chemotherapy"/>
    <n v="25000"/>
    <n v="30"/>
    <s v="No"/>
    <s v="Recovered"/>
    <n v="4"/>
    <x v="2"/>
    <m/>
    <m/>
    <x v="15"/>
    <m/>
  </r>
  <r>
    <n v="306"/>
    <n v="68"/>
    <s v="Male"/>
    <s v="Hypertension"/>
    <s v="Medication and Counseling"/>
    <n v="1000"/>
    <n v="22"/>
    <s v="No"/>
    <s v="Stable"/>
    <n v="4"/>
    <x v="2"/>
    <m/>
    <m/>
    <x v="15"/>
    <m/>
  </r>
  <r>
    <n v="307"/>
    <n v="45"/>
    <s v="Female"/>
    <s v="Appendicitis"/>
    <s v="Appendectomy"/>
    <n v="8000"/>
    <n v="24"/>
    <s v="No"/>
    <s v="Recovered"/>
    <n v="3"/>
    <x v="2"/>
    <m/>
    <m/>
    <x v="15"/>
    <m/>
  </r>
  <r>
    <n v="308"/>
    <n v="40"/>
    <s v="Male"/>
    <s v="Fractured Leg"/>
    <s v="Cast and Physical Therapy"/>
    <n v="3000"/>
    <n v="26"/>
    <s v="No"/>
    <s v="Recovered"/>
    <n v="4"/>
    <x v="2"/>
    <m/>
    <m/>
    <x v="15"/>
    <m/>
  </r>
  <r>
    <n v="309"/>
    <n v="78"/>
    <s v="Female"/>
    <s v="Heart Attack"/>
    <s v="Cardiac Catheterization"/>
    <n v="18000"/>
    <n v="28"/>
    <s v="Yes"/>
    <s v="Stable"/>
    <n v="2"/>
    <x v="2"/>
    <m/>
    <m/>
    <x v="15"/>
    <m/>
  </r>
  <r>
    <n v="310"/>
    <n v="25"/>
    <s v="Male"/>
    <s v="Allergic Reaction"/>
    <s v="Epinephrine Injection"/>
    <n v="100"/>
    <n v="21"/>
    <s v="No"/>
    <s v="Recovered"/>
    <n v="5"/>
    <x v="2"/>
    <m/>
    <m/>
    <x v="15"/>
    <m/>
  </r>
  <r>
    <n v="311"/>
    <n v="52"/>
    <s v="Female"/>
    <s v="Respiratory Infection"/>
    <s v="Antibiotics and Rest"/>
    <n v="800"/>
    <n v="22"/>
    <s v="No"/>
    <s v="Stable"/>
    <n v="4"/>
    <x v="2"/>
    <m/>
    <m/>
    <x v="15"/>
    <m/>
  </r>
  <r>
    <n v="312"/>
    <n v="58"/>
    <s v="Male"/>
    <s v="Prostate Cancer"/>
    <s v="Radiation Therapy"/>
    <n v="20000"/>
    <n v="29"/>
    <s v="No"/>
    <s v="Recovered"/>
    <n v="3"/>
    <x v="2"/>
    <m/>
    <m/>
    <x v="15"/>
    <m/>
  </r>
  <r>
    <n v="313"/>
    <n v="32"/>
    <s v="Female"/>
    <s v="Childbirth"/>
    <s v="Delivery and Postnatal Care"/>
    <n v="12000"/>
    <n v="23"/>
    <s v="No"/>
    <s v="Recovered"/>
    <n v="4"/>
    <x v="2"/>
    <m/>
    <m/>
    <x v="15"/>
    <m/>
  </r>
  <r>
    <n v="314"/>
    <n v="55"/>
    <s v="Male"/>
    <s v="Kidney Stones"/>
    <s v="Lithotripsy"/>
    <n v="6000"/>
    <n v="24"/>
    <s v="No"/>
    <s v="Recovered"/>
    <n v="3"/>
    <x v="2"/>
    <m/>
    <m/>
    <x v="15"/>
    <m/>
  </r>
  <r>
    <n v="315"/>
    <n v="65"/>
    <s v="Female"/>
    <s v="Osteoarthritis"/>
    <s v="Physical Therapy and Pain Management"/>
    <n v="4000"/>
    <n v="25"/>
    <s v="No"/>
    <s v="Stable"/>
    <n v="4"/>
    <x v="2"/>
    <m/>
    <m/>
    <x v="15"/>
    <m/>
  </r>
  <r>
    <n v="316"/>
    <n v="55"/>
    <s v="Female"/>
    <s v="Heart Disease"/>
    <s v="Angioplasty"/>
    <n v="15000"/>
    <n v="26"/>
    <s v="Yes"/>
    <s v="Recovered"/>
    <n v="3"/>
    <x v="2"/>
    <m/>
    <m/>
    <x v="15"/>
    <m/>
  </r>
  <r>
    <n v="317"/>
    <n v="62"/>
    <s v="Male"/>
    <s v="Diabetes"/>
    <s v="Insulin Therapy"/>
    <n v="2000"/>
    <n v="24"/>
    <s v="No"/>
    <s v="Stable"/>
    <n v="4"/>
    <x v="2"/>
    <m/>
    <m/>
    <x v="15"/>
    <m/>
  </r>
  <r>
    <n v="318"/>
    <n v="35"/>
    <s v="Female"/>
    <s v="Fractured Arm"/>
    <s v="X-Ray and Splint"/>
    <n v="500"/>
    <n v="22"/>
    <s v="Yes"/>
    <s v="Recovered"/>
    <n v="5"/>
    <x v="2"/>
    <m/>
    <m/>
    <x v="15"/>
    <m/>
  </r>
  <r>
    <n v="319"/>
    <n v="78"/>
    <s v="Male"/>
    <s v="Stroke"/>
    <s v="CT Scan and Medication"/>
    <n v="10000"/>
    <n v="28"/>
    <s v="No"/>
    <s v="Stable"/>
    <n v="2"/>
    <x v="2"/>
    <m/>
    <m/>
    <x v="15"/>
    <m/>
  </r>
  <r>
    <n v="320"/>
    <n v="53"/>
    <s v="Female"/>
    <s v="Cancer"/>
    <s v="Surgery and Chemotherapy"/>
    <n v="25000"/>
    <n v="31"/>
    <s v="Yes"/>
    <s v="Recovered"/>
    <n v="4"/>
    <x v="2"/>
    <m/>
    <m/>
    <x v="15"/>
    <m/>
  </r>
  <r>
    <n v="321"/>
    <n v="72"/>
    <s v="Male"/>
    <s v="Hypertension"/>
    <s v="Medication and Counseling"/>
    <n v="1000"/>
    <n v="23"/>
    <s v="No"/>
    <s v="Stable"/>
    <n v="4"/>
    <x v="2"/>
    <m/>
    <m/>
    <x v="15"/>
    <m/>
  </r>
  <r>
    <n v="322"/>
    <n v="60"/>
    <s v="Female"/>
    <s v="Appendicitis"/>
    <s v="Appendectomy"/>
    <n v="8000"/>
    <n v="25"/>
    <s v="Yes"/>
    <s v="Recovered"/>
    <n v="3"/>
    <x v="2"/>
    <m/>
    <m/>
    <x v="15"/>
    <m/>
  </r>
  <r>
    <n v="323"/>
    <n v="45"/>
    <s v="Male"/>
    <s v="Fractured Leg"/>
    <s v="Cast and Physical Therapy"/>
    <n v="3000"/>
    <n v="27"/>
    <s v="No"/>
    <s v="Recovered"/>
    <n v="4"/>
    <x v="2"/>
    <m/>
    <m/>
    <x v="15"/>
    <m/>
  </r>
  <r>
    <n v="324"/>
    <n v="75"/>
    <s v="Female"/>
    <s v="Heart Attack"/>
    <s v="Cardiac Catheterization"/>
    <n v="18000"/>
    <n v="29"/>
    <s v="Yes"/>
    <s v="Stable"/>
    <n v="2"/>
    <x v="2"/>
    <m/>
    <m/>
    <x v="15"/>
    <m/>
  </r>
  <r>
    <n v="325"/>
    <n v="28"/>
    <s v="Male"/>
    <s v="Allergic Reaction"/>
    <s v="Epinephrine Injection"/>
    <n v="100"/>
    <n v="22"/>
    <s v="No"/>
    <s v="Recovered"/>
    <n v="5"/>
    <x v="2"/>
    <m/>
    <m/>
    <x v="15"/>
    <m/>
  </r>
  <r>
    <n v="326"/>
    <n v="52"/>
    <s v="Female"/>
    <s v="Respiratory Infection"/>
    <s v="Antibiotics and Rest"/>
    <n v="800"/>
    <n v="23"/>
    <s v="No"/>
    <s v="Stable"/>
    <n v="4"/>
    <x v="2"/>
    <m/>
    <m/>
    <x v="15"/>
    <m/>
  </r>
  <r>
    <n v="327"/>
    <n v="67"/>
    <s v="Male"/>
    <s v="Prostate Cancer"/>
    <s v="Radiation Therapy"/>
    <n v="20000"/>
    <n v="30"/>
    <s v="No"/>
    <s v="Recovered"/>
    <n v="3"/>
    <x v="2"/>
    <m/>
    <m/>
    <x v="15"/>
    <m/>
  </r>
  <r>
    <n v="328"/>
    <n v="35"/>
    <s v="Female"/>
    <s v="Childbirth"/>
    <s v="Delivery and Postnatal Care"/>
    <n v="12000"/>
    <n v="24"/>
    <s v="No"/>
    <s v="Recovered"/>
    <n v="4"/>
    <x v="2"/>
    <m/>
    <m/>
    <x v="15"/>
    <m/>
  </r>
  <r>
    <n v="329"/>
    <n v="50"/>
    <s v="Male"/>
    <s v="Kidney Stones"/>
    <s v="Lithotripsy"/>
    <n v="6000"/>
    <n v="25"/>
    <s v="No"/>
    <s v="Recovered"/>
    <n v="3"/>
    <x v="2"/>
    <m/>
    <m/>
    <x v="15"/>
    <m/>
  </r>
  <r>
    <n v="330"/>
    <n v="60"/>
    <s v="Female"/>
    <s v="Osteoarthritis"/>
    <s v="Physical Therapy and Pain Management"/>
    <n v="4000"/>
    <n v="26"/>
    <s v="No"/>
    <s v="Stable"/>
    <n v="4"/>
    <x v="2"/>
    <m/>
    <m/>
    <x v="15"/>
    <m/>
  </r>
  <r>
    <n v="331"/>
    <n v="48"/>
    <s v="Female"/>
    <s v="Heart Disease"/>
    <s v="Angioplasty"/>
    <n v="15000"/>
    <n v="27"/>
    <s v="Yes"/>
    <s v="Recovered"/>
    <n v="4"/>
    <x v="2"/>
    <m/>
    <m/>
    <x v="15"/>
    <m/>
  </r>
  <r>
    <n v="332"/>
    <n v="65"/>
    <s v="Male"/>
    <s v="Diabetes"/>
    <s v="Insulin Therapy"/>
    <n v="2000"/>
    <n v="25"/>
    <s v="No"/>
    <s v="Stable"/>
    <n v="3"/>
    <x v="2"/>
    <m/>
    <m/>
    <x v="15"/>
    <m/>
  </r>
  <r>
    <n v="333"/>
    <n v="30"/>
    <s v="Female"/>
    <s v="Fractured Arm"/>
    <s v="X-Ray and Splint"/>
    <n v="500"/>
    <n v="23"/>
    <s v="No"/>
    <s v="Recovered"/>
    <n v="5"/>
    <x v="2"/>
    <m/>
    <m/>
    <x v="15"/>
    <m/>
  </r>
  <r>
    <n v="334"/>
    <n v="70"/>
    <s v="Male"/>
    <s v="Stroke"/>
    <s v="CT Scan and Medication"/>
    <n v="10000"/>
    <n v="29"/>
    <s v="Yes"/>
    <s v="Stable"/>
    <n v="2"/>
    <x v="2"/>
    <m/>
    <m/>
    <x v="15"/>
    <m/>
  </r>
  <r>
    <n v="335"/>
    <n v="55"/>
    <s v="Female"/>
    <s v="Cancer"/>
    <s v="Surgery and Chemotherapy"/>
    <n v="25000"/>
    <n v="32"/>
    <s v="No"/>
    <s v="Recovered"/>
    <n v="4"/>
    <x v="2"/>
    <m/>
    <m/>
    <x v="15"/>
    <m/>
  </r>
  <r>
    <n v="336"/>
    <n v="68"/>
    <s v="Male"/>
    <s v="Hypertension"/>
    <s v="Medication and Counseling"/>
    <n v="1000"/>
    <n v="24"/>
    <s v="No"/>
    <s v="Stable"/>
    <n v="4"/>
    <x v="2"/>
    <m/>
    <m/>
    <x v="15"/>
    <m/>
  </r>
  <r>
    <n v="337"/>
    <n v="45"/>
    <s v="Female"/>
    <s v="Appendicitis"/>
    <s v="Appendectomy"/>
    <n v="8000"/>
    <n v="26"/>
    <s v="No"/>
    <s v="Recovered"/>
    <n v="3"/>
    <x v="2"/>
    <m/>
    <m/>
    <x v="15"/>
    <m/>
  </r>
  <r>
    <n v="338"/>
    <n v="40"/>
    <s v="Male"/>
    <s v="Fractured Leg"/>
    <s v="Cast and Physical Therapy"/>
    <n v="3000"/>
    <n v="28"/>
    <s v="No"/>
    <s v="Recovered"/>
    <n v="4"/>
    <x v="2"/>
    <m/>
    <m/>
    <x v="15"/>
    <m/>
  </r>
  <r>
    <n v="339"/>
    <n v="78"/>
    <s v="Female"/>
    <s v="Heart Attack"/>
    <s v="Cardiac Catheterization"/>
    <n v="18000"/>
    <n v="30"/>
    <s v="Yes"/>
    <s v="Stable"/>
    <n v="2"/>
    <x v="2"/>
    <m/>
    <m/>
    <x v="15"/>
    <m/>
  </r>
  <r>
    <n v="340"/>
    <n v="25"/>
    <s v="Male"/>
    <s v="Allergic Reaction"/>
    <s v="Epinephrine Injection"/>
    <n v="100"/>
    <n v="23"/>
    <s v="No"/>
    <s v="Recovered"/>
    <n v="5"/>
    <x v="2"/>
    <m/>
    <m/>
    <x v="15"/>
    <m/>
  </r>
  <r>
    <n v="341"/>
    <n v="52"/>
    <s v="Female"/>
    <s v="Respiratory Infection"/>
    <s v="Antibiotics and Rest"/>
    <n v="800"/>
    <n v="24"/>
    <s v="No"/>
    <s v="Stable"/>
    <n v="4"/>
    <x v="2"/>
    <m/>
    <m/>
    <x v="15"/>
    <m/>
  </r>
  <r>
    <n v="342"/>
    <n v="58"/>
    <s v="Male"/>
    <s v="Prostate Cancer"/>
    <s v="Radiation Therapy"/>
    <n v="20000"/>
    <n v="31"/>
    <s v="No"/>
    <s v="Recovered"/>
    <n v="3"/>
    <x v="2"/>
    <m/>
    <m/>
    <x v="15"/>
    <m/>
  </r>
  <r>
    <n v="343"/>
    <n v="32"/>
    <s v="Female"/>
    <s v="Childbirth"/>
    <s v="Delivery and Postnatal Care"/>
    <n v="12000"/>
    <n v="25"/>
    <s v="No"/>
    <s v="Recovered"/>
    <n v="4"/>
    <x v="2"/>
    <m/>
    <m/>
    <x v="15"/>
    <m/>
  </r>
  <r>
    <n v="344"/>
    <n v="55"/>
    <s v="Male"/>
    <s v="Kidney Stones"/>
    <s v="Lithotripsy"/>
    <n v="6000"/>
    <n v="26"/>
    <s v="No"/>
    <s v="Recovered"/>
    <n v="3"/>
    <x v="2"/>
    <m/>
    <m/>
    <x v="15"/>
    <m/>
  </r>
  <r>
    <n v="345"/>
    <n v="65"/>
    <s v="Female"/>
    <s v="Osteoarthritis"/>
    <s v="Physical Therapy and Pain Management"/>
    <n v="4000"/>
    <n v="27"/>
    <s v="No"/>
    <s v="Stable"/>
    <n v="4"/>
    <x v="2"/>
    <m/>
    <m/>
    <x v="15"/>
    <m/>
  </r>
  <r>
    <n v="346"/>
    <n v="55"/>
    <s v="Female"/>
    <s v="Heart Disease"/>
    <s v="Angioplasty"/>
    <n v="15000"/>
    <n v="28"/>
    <s v="Yes"/>
    <s v="Recovered"/>
    <n v="3"/>
    <x v="2"/>
    <m/>
    <m/>
    <x v="15"/>
    <m/>
  </r>
  <r>
    <n v="347"/>
    <n v="62"/>
    <s v="Male"/>
    <s v="Diabetes"/>
    <s v="Insulin Therapy"/>
    <n v="2000"/>
    <n v="26"/>
    <s v="No"/>
    <s v="Stable"/>
    <n v="4"/>
    <x v="2"/>
    <m/>
    <m/>
    <x v="15"/>
    <m/>
  </r>
  <r>
    <n v="348"/>
    <n v="35"/>
    <s v="Female"/>
    <s v="Fractured Arm"/>
    <s v="X-Ray and Splint"/>
    <n v="500"/>
    <n v="24"/>
    <s v="Yes"/>
    <s v="Recovered"/>
    <n v="5"/>
    <x v="2"/>
    <m/>
    <m/>
    <x v="15"/>
    <m/>
  </r>
  <r>
    <n v="349"/>
    <n v="78"/>
    <s v="Male"/>
    <s v="Stroke"/>
    <s v="CT Scan and Medication"/>
    <n v="10000"/>
    <n v="30"/>
    <s v="No"/>
    <s v="Stable"/>
    <n v="2"/>
    <x v="2"/>
    <m/>
    <m/>
    <x v="15"/>
    <m/>
  </r>
  <r>
    <n v="350"/>
    <n v="53"/>
    <s v="Female"/>
    <s v="Cancer"/>
    <s v="Surgery and Chemotherapy"/>
    <n v="25000"/>
    <n v="33"/>
    <s v="Yes"/>
    <s v="Recovered"/>
    <n v="4"/>
    <x v="2"/>
    <m/>
    <m/>
    <x v="15"/>
    <m/>
  </r>
  <r>
    <n v="351"/>
    <n v="72"/>
    <s v="Male"/>
    <s v="Hypertension"/>
    <s v="Medication and Counseling"/>
    <n v="1000"/>
    <n v="25"/>
    <s v="No"/>
    <s v="Stable"/>
    <n v="4"/>
    <x v="2"/>
    <m/>
    <m/>
    <x v="15"/>
    <m/>
  </r>
  <r>
    <n v="352"/>
    <n v="60"/>
    <s v="Female"/>
    <s v="Appendicitis"/>
    <s v="Appendectomy"/>
    <n v="8000"/>
    <n v="27"/>
    <s v="Yes"/>
    <s v="Recovered"/>
    <n v="3"/>
    <x v="2"/>
    <m/>
    <m/>
    <x v="15"/>
    <m/>
  </r>
  <r>
    <n v="353"/>
    <n v="45"/>
    <s v="Male"/>
    <s v="Fractured Leg"/>
    <s v="Cast and Physical Therapy"/>
    <n v="3000"/>
    <n v="29"/>
    <s v="No"/>
    <s v="Recovered"/>
    <n v="4"/>
    <x v="2"/>
    <m/>
    <m/>
    <x v="15"/>
    <m/>
  </r>
  <r>
    <n v="354"/>
    <n v="75"/>
    <s v="Female"/>
    <s v="Heart Attack"/>
    <s v="Cardiac Catheterization"/>
    <n v="18000"/>
    <n v="31"/>
    <s v="Yes"/>
    <s v="Stable"/>
    <n v="2"/>
    <x v="2"/>
    <m/>
    <m/>
    <x v="15"/>
    <m/>
  </r>
  <r>
    <n v="355"/>
    <n v="28"/>
    <s v="Male"/>
    <s v="Allergic Reaction"/>
    <s v="Epinephrine Injection"/>
    <n v="100"/>
    <n v="24"/>
    <s v="No"/>
    <s v="Recovered"/>
    <n v="5"/>
    <x v="2"/>
    <m/>
    <m/>
    <x v="15"/>
    <m/>
  </r>
  <r>
    <n v="357"/>
    <n v="67"/>
    <s v="Male"/>
    <s v="Prostate Cancer"/>
    <s v="Radiation Therapy"/>
    <n v="20000"/>
    <n v="32"/>
    <s v="No"/>
    <s v="Recovered"/>
    <n v="3"/>
    <x v="2"/>
    <m/>
    <m/>
    <x v="15"/>
    <m/>
  </r>
  <r>
    <n v="358"/>
    <n v="35"/>
    <s v="Female"/>
    <s v="Childbirth"/>
    <s v="Delivery and Postnatal Care"/>
    <n v="12000"/>
    <n v="26"/>
    <s v="No"/>
    <s v="Recovered"/>
    <n v="4"/>
    <x v="2"/>
    <m/>
    <m/>
    <x v="15"/>
    <m/>
  </r>
  <r>
    <n v="359"/>
    <n v="50"/>
    <s v="Male"/>
    <s v="Kidney Stones"/>
    <s v="Lithotripsy"/>
    <n v="6000"/>
    <n v="27"/>
    <s v="No"/>
    <s v="Recovered"/>
    <n v="3"/>
    <x v="2"/>
    <m/>
    <m/>
    <x v="15"/>
    <m/>
  </r>
  <r>
    <n v="360"/>
    <n v="60"/>
    <s v="Female"/>
    <s v="Osteoarthritis"/>
    <s v="Physical Therapy and Pain Management"/>
    <n v="4000"/>
    <n v="28"/>
    <s v="No"/>
    <s v="Stable"/>
    <n v="4"/>
    <x v="2"/>
    <m/>
    <m/>
    <x v="15"/>
    <m/>
  </r>
  <r>
    <n v="361"/>
    <n v="48"/>
    <s v="Female"/>
    <s v="Heart Disease"/>
    <s v="Angioplasty"/>
    <n v="15000"/>
    <n v="29"/>
    <s v="Yes"/>
    <s v="Recovered"/>
    <n v="4"/>
    <x v="2"/>
    <m/>
    <m/>
    <x v="15"/>
    <m/>
  </r>
  <r>
    <n v="362"/>
    <n v="65"/>
    <s v="Male"/>
    <s v="Diabetes"/>
    <s v="Insulin Therapy"/>
    <n v="2000"/>
    <n v="27"/>
    <s v="No"/>
    <s v="Stable"/>
    <n v="3"/>
    <x v="2"/>
    <m/>
    <m/>
    <x v="15"/>
    <m/>
  </r>
  <r>
    <n v="363"/>
    <n v="30"/>
    <s v="Female"/>
    <s v="Fractured Arm"/>
    <s v="X-Ray and Splint"/>
    <n v="500"/>
    <n v="25"/>
    <s v="No"/>
    <s v="Recovered"/>
    <n v="5"/>
    <x v="2"/>
    <m/>
    <m/>
    <x v="15"/>
    <m/>
  </r>
  <r>
    <n v="364"/>
    <n v="70"/>
    <s v="Male"/>
    <s v="Stroke"/>
    <s v="CT Scan and Medication"/>
    <n v="10000"/>
    <n v="31"/>
    <s v="Yes"/>
    <s v="Stable"/>
    <n v="2"/>
    <x v="2"/>
    <m/>
    <m/>
    <x v="15"/>
    <m/>
  </r>
  <r>
    <n v="365"/>
    <n v="55"/>
    <s v="Female"/>
    <s v="Cancer"/>
    <s v="Surgery and Chemotherapy"/>
    <n v="25000"/>
    <n v="34"/>
    <s v="No"/>
    <s v="Recovered"/>
    <n v="4"/>
    <x v="2"/>
    <m/>
    <m/>
    <x v="15"/>
    <m/>
  </r>
  <r>
    <n v="366"/>
    <n v="68"/>
    <s v="Male"/>
    <s v="Hypertension"/>
    <s v="Medication and Counseling"/>
    <n v="1000"/>
    <n v="26"/>
    <s v="No"/>
    <s v="Stable"/>
    <n v="4"/>
    <x v="2"/>
    <m/>
    <m/>
    <x v="15"/>
    <m/>
  </r>
  <r>
    <n v="367"/>
    <n v="45"/>
    <s v="Female"/>
    <s v="Appendicitis"/>
    <s v="Appendectomy"/>
    <n v="8000"/>
    <n v="28"/>
    <s v="No"/>
    <s v="Recovered"/>
    <n v="3"/>
    <x v="2"/>
    <m/>
    <m/>
    <x v="15"/>
    <m/>
  </r>
  <r>
    <n v="368"/>
    <n v="40"/>
    <s v="Male"/>
    <s v="Fractured Leg"/>
    <s v="Cast and Physical Therapy"/>
    <n v="3000"/>
    <n v="30"/>
    <s v="No"/>
    <s v="Recovered"/>
    <n v="4"/>
    <x v="2"/>
    <m/>
    <m/>
    <x v="15"/>
    <m/>
  </r>
  <r>
    <n v="369"/>
    <n v="78"/>
    <s v="Female"/>
    <s v="Heart Attack"/>
    <s v="Cardiac Catheterization"/>
    <n v="18000"/>
    <n v="32"/>
    <s v="Yes"/>
    <s v="Stable"/>
    <n v="2"/>
    <x v="2"/>
    <m/>
    <m/>
    <x v="15"/>
    <m/>
  </r>
  <r>
    <n v="370"/>
    <n v="25"/>
    <s v="Male"/>
    <s v="Allergic Reaction"/>
    <s v="Epinephrine Injection"/>
    <n v="100"/>
    <n v="25"/>
    <s v="No"/>
    <s v="Recovered"/>
    <n v="5"/>
    <x v="2"/>
    <m/>
    <m/>
    <x v="15"/>
    <m/>
  </r>
  <r>
    <n v="371"/>
    <n v="52"/>
    <s v="Female"/>
    <s v="Respiratory Infection"/>
    <s v="Antibiotics and Rest"/>
    <n v="800"/>
    <n v="26"/>
    <s v="No"/>
    <s v="Stable"/>
    <n v="4"/>
    <x v="2"/>
    <m/>
    <m/>
    <x v="15"/>
    <m/>
  </r>
  <r>
    <n v="372"/>
    <n v="58"/>
    <s v="Male"/>
    <s v="Prostate Cancer"/>
    <s v="Radiation Therapy"/>
    <n v="20000"/>
    <n v="33"/>
    <s v="No"/>
    <s v="Recovered"/>
    <n v="3"/>
    <x v="2"/>
    <m/>
    <m/>
    <x v="15"/>
    <m/>
  </r>
  <r>
    <n v="373"/>
    <n v="32"/>
    <s v="Female"/>
    <s v="Childbirth"/>
    <s v="Delivery and Postnatal Care"/>
    <n v="12000"/>
    <n v="27"/>
    <s v="No"/>
    <s v="Recovered"/>
    <n v="4"/>
    <x v="2"/>
    <m/>
    <m/>
    <x v="15"/>
    <m/>
  </r>
  <r>
    <n v="374"/>
    <n v="55"/>
    <s v="Male"/>
    <s v="Kidney Stones"/>
    <s v="Lithotripsy"/>
    <n v="6000"/>
    <n v="28"/>
    <s v="No"/>
    <s v="Recovered"/>
    <n v="3"/>
    <x v="2"/>
    <m/>
    <m/>
    <x v="15"/>
    <m/>
  </r>
  <r>
    <n v="375"/>
    <n v="65"/>
    <s v="Female"/>
    <s v="Osteoarthritis"/>
    <s v="Physical Therapy and Pain Management"/>
    <n v="4000"/>
    <n v="29"/>
    <s v="No"/>
    <s v="Stable"/>
    <n v="4"/>
    <x v="2"/>
    <m/>
    <m/>
    <x v="15"/>
    <m/>
  </r>
  <r>
    <n v="376"/>
    <n v="55"/>
    <s v="Female"/>
    <s v="Heart Disease"/>
    <s v="Angioplasty"/>
    <n v="15000"/>
    <n v="30"/>
    <s v="Yes"/>
    <s v="Recovered"/>
    <n v="3"/>
    <x v="2"/>
    <m/>
    <m/>
    <x v="15"/>
    <m/>
  </r>
  <r>
    <n v="377"/>
    <n v="62"/>
    <s v="Male"/>
    <s v="Diabetes"/>
    <s v="Insulin Therapy"/>
    <n v="2000"/>
    <n v="28"/>
    <s v="No"/>
    <s v="Stable"/>
    <n v="4"/>
    <x v="2"/>
    <m/>
    <m/>
    <x v="15"/>
    <m/>
  </r>
  <r>
    <n v="378"/>
    <n v="35"/>
    <s v="Female"/>
    <s v="Fractured Arm"/>
    <s v="X-Ray and Splint"/>
    <n v="500"/>
    <n v="26"/>
    <s v="Yes"/>
    <s v="Recovered"/>
    <n v="5"/>
    <x v="2"/>
    <m/>
    <m/>
    <x v="15"/>
    <m/>
  </r>
  <r>
    <n v="379"/>
    <n v="78"/>
    <s v="Male"/>
    <s v="Stroke"/>
    <s v="CT Scan and Medication"/>
    <n v="10000"/>
    <n v="33"/>
    <s v="No"/>
    <s v="Stable"/>
    <n v="2"/>
    <x v="2"/>
    <m/>
    <m/>
    <x v="15"/>
    <m/>
  </r>
  <r>
    <n v="380"/>
    <n v="53"/>
    <s v="Female"/>
    <s v="Cancer"/>
    <s v="Surgery and Chemotherapy"/>
    <n v="25000"/>
    <n v="35"/>
    <s v="Yes"/>
    <s v="Recovered"/>
    <n v="4"/>
    <x v="2"/>
    <m/>
    <m/>
    <x v="15"/>
    <m/>
  </r>
  <r>
    <n v="381"/>
    <n v="72"/>
    <s v="Male"/>
    <s v="Hypertension"/>
    <s v="Medication and Counseling"/>
    <n v="1000"/>
    <n v="27"/>
    <s v="No"/>
    <s v="Stable"/>
    <n v="4"/>
    <x v="2"/>
    <m/>
    <m/>
    <x v="15"/>
    <m/>
  </r>
  <r>
    <n v="382"/>
    <n v="60"/>
    <s v="Female"/>
    <s v="Appendicitis"/>
    <s v="Appendectomy"/>
    <n v="8000"/>
    <n v="29"/>
    <s v="Yes"/>
    <s v="Recovered"/>
    <n v="3"/>
    <x v="2"/>
    <m/>
    <m/>
    <x v="15"/>
    <m/>
  </r>
  <r>
    <n v="383"/>
    <n v="45"/>
    <s v="Male"/>
    <s v="Fractured Leg"/>
    <s v="Cast and Physical Therapy"/>
    <n v="3000"/>
    <n v="31"/>
    <s v="No"/>
    <s v="Recovered"/>
    <n v="4"/>
    <x v="2"/>
    <m/>
    <m/>
    <x v="15"/>
    <m/>
  </r>
  <r>
    <n v="384"/>
    <n v="75"/>
    <s v="Female"/>
    <s v="Heart Attack"/>
    <s v="Cardiac Catheterization"/>
    <n v="18000"/>
    <n v="33"/>
    <s v="Yes"/>
    <s v="Stable"/>
    <n v="2"/>
    <x v="2"/>
    <m/>
    <m/>
    <x v="15"/>
    <m/>
  </r>
  <r>
    <n v="385"/>
    <n v="28"/>
    <s v="Male"/>
    <s v="Allergic Reaction"/>
    <s v="Epinephrine Injection"/>
    <n v="100"/>
    <n v="26"/>
    <s v="No"/>
    <s v="Recovered"/>
    <n v="5"/>
    <x v="2"/>
    <m/>
    <m/>
    <x v="15"/>
    <m/>
  </r>
  <r>
    <n v="386"/>
    <n v="52"/>
    <s v="Female"/>
    <s v="Respiratory Infection"/>
    <s v="Antibiotics and Rest"/>
    <n v="800"/>
    <n v="27"/>
    <s v="No"/>
    <s v="Stable"/>
    <n v="4"/>
    <x v="2"/>
    <m/>
    <m/>
    <x v="15"/>
    <m/>
  </r>
  <r>
    <n v="387"/>
    <n v="67"/>
    <s v="Male"/>
    <s v="Prostate Cancer"/>
    <s v="Radiation Therapy"/>
    <n v="20000"/>
    <n v="34"/>
    <s v="No"/>
    <s v="Recovered"/>
    <n v="3"/>
    <x v="2"/>
    <m/>
    <m/>
    <x v="15"/>
    <m/>
  </r>
  <r>
    <n v="388"/>
    <n v="35"/>
    <s v="Female"/>
    <s v="Childbirth"/>
    <s v="Delivery and Postnatal Care"/>
    <n v="12000"/>
    <n v="28"/>
    <s v="No"/>
    <s v="Recovered"/>
    <n v="4"/>
    <x v="2"/>
    <m/>
    <m/>
    <x v="15"/>
    <m/>
  </r>
  <r>
    <n v="389"/>
    <n v="50"/>
    <s v="Male"/>
    <s v="Kidney Stones"/>
    <s v="Lithotripsy"/>
    <n v="6000"/>
    <n v="29"/>
    <s v="No"/>
    <s v="Recovered"/>
    <n v="3"/>
    <x v="2"/>
    <m/>
    <m/>
    <x v="15"/>
    <m/>
  </r>
  <r>
    <n v="390"/>
    <n v="60"/>
    <s v="Female"/>
    <s v="Osteoarthritis"/>
    <s v="Physical Therapy and Pain Management"/>
    <n v="4000"/>
    <n v="30"/>
    <s v="No"/>
    <s v="Stable"/>
    <n v="4"/>
    <x v="2"/>
    <m/>
    <m/>
    <x v="15"/>
    <m/>
  </r>
  <r>
    <n v="391"/>
    <n v="48"/>
    <s v="Female"/>
    <s v="Heart Disease"/>
    <s v="Angioplasty"/>
    <n v="15000"/>
    <n v="31"/>
    <s v="Yes"/>
    <s v="Recovered"/>
    <n v="4"/>
    <x v="2"/>
    <m/>
    <m/>
    <x v="15"/>
    <m/>
  </r>
  <r>
    <n v="392"/>
    <n v="65"/>
    <s v="Male"/>
    <s v="Diabetes"/>
    <s v="Insulin Therapy"/>
    <n v="2000"/>
    <n v="29"/>
    <s v="No"/>
    <s v="Stable"/>
    <n v="3"/>
    <x v="2"/>
    <m/>
    <m/>
    <x v="15"/>
    <m/>
  </r>
  <r>
    <n v="393"/>
    <n v="30"/>
    <s v="Female"/>
    <s v="Fractured Arm"/>
    <s v="X-Ray and Splint"/>
    <n v="500"/>
    <n v="27"/>
    <s v="No"/>
    <s v="Recovered"/>
    <n v="5"/>
    <x v="2"/>
    <m/>
    <m/>
    <x v="15"/>
    <m/>
  </r>
  <r>
    <n v="394"/>
    <n v="70"/>
    <s v="Male"/>
    <s v="Stroke"/>
    <s v="CT Scan and Medication"/>
    <n v="10000"/>
    <n v="34"/>
    <s v="Yes"/>
    <s v="Stable"/>
    <n v="2"/>
    <x v="2"/>
    <m/>
    <m/>
    <x v="15"/>
    <m/>
  </r>
  <r>
    <n v="395"/>
    <n v="55"/>
    <s v="Female"/>
    <s v="Cancer"/>
    <s v="Surgery and Chemotherapy"/>
    <n v="25000"/>
    <n v="36"/>
    <s v="No"/>
    <s v="Recovered"/>
    <n v="4"/>
    <x v="2"/>
    <m/>
    <m/>
    <x v="15"/>
    <m/>
  </r>
  <r>
    <n v="396"/>
    <n v="68"/>
    <s v="Male"/>
    <s v="Hypertension"/>
    <s v="Medication and Counseling"/>
    <n v="1000"/>
    <n v="28"/>
    <s v="No"/>
    <s v="Stable"/>
    <n v="4"/>
    <x v="2"/>
    <m/>
    <m/>
    <x v="15"/>
    <m/>
  </r>
  <r>
    <n v="397"/>
    <n v="45"/>
    <s v="Female"/>
    <s v="Appendicitis"/>
    <s v="Appendectomy"/>
    <n v="8000"/>
    <n v="30"/>
    <s v="No"/>
    <s v="Recovered"/>
    <n v="3"/>
    <x v="2"/>
    <m/>
    <m/>
    <x v="15"/>
    <m/>
  </r>
  <r>
    <n v="398"/>
    <n v="40"/>
    <s v="Male"/>
    <s v="Fractured Leg"/>
    <s v="Cast and Physical Therapy"/>
    <n v="3000"/>
    <n v="32"/>
    <s v="No"/>
    <s v="Recovered"/>
    <n v="4"/>
    <x v="2"/>
    <m/>
    <m/>
    <x v="15"/>
    <m/>
  </r>
  <r>
    <n v="399"/>
    <n v="78"/>
    <s v="Female"/>
    <s v="Heart Attack"/>
    <s v="Cardiac Catheterization"/>
    <n v="18000"/>
    <n v="34"/>
    <s v="Yes"/>
    <s v="Stable"/>
    <n v="2"/>
    <x v="2"/>
    <m/>
    <m/>
    <x v="15"/>
    <m/>
  </r>
  <r>
    <n v="400"/>
    <n v="25"/>
    <s v="Male"/>
    <s v="Allergic Reaction"/>
    <s v="Epinephrine Injection"/>
    <n v="100"/>
    <n v="27"/>
    <s v="No"/>
    <s v="Recovered"/>
    <n v="5"/>
    <x v="2"/>
    <m/>
    <m/>
    <x v="15"/>
    <m/>
  </r>
  <r>
    <n v="401"/>
    <n v="52"/>
    <s v="Female"/>
    <s v="Respiratory Infection"/>
    <s v="Antibiotics and Rest"/>
    <n v="800"/>
    <n v="28"/>
    <s v="No"/>
    <s v="Stable"/>
    <n v="4"/>
    <x v="2"/>
    <m/>
    <m/>
    <x v="15"/>
    <m/>
  </r>
  <r>
    <n v="402"/>
    <n v="58"/>
    <s v="Male"/>
    <s v="Prostate Cancer"/>
    <s v="Radiation Therapy"/>
    <n v="20000"/>
    <n v="35"/>
    <s v="No"/>
    <s v="Recovered"/>
    <n v="3"/>
    <x v="2"/>
    <m/>
    <m/>
    <x v="15"/>
    <m/>
  </r>
  <r>
    <n v="403"/>
    <n v="32"/>
    <s v="Female"/>
    <s v="Childbirth"/>
    <s v="Delivery and Postnatal Care"/>
    <n v="12000"/>
    <n v="29"/>
    <s v="No"/>
    <s v="Recovered"/>
    <n v="4"/>
    <x v="2"/>
    <m/>
    <m/>
    <x v="15"/>
    <m/>
  </r>
  <r>
    <n v="404"/>
    <n v="55"/>
    <s v="Male"/>
    <s v="Kidney Stones"/>
    <s v="Lithotripsy"/>
    <n v="6000"/>
    <n v="30"/>
    <s v="No"/>
    <s v="Recovered"/>
    <n v="3"/>
    <x v="2"/>
    <m/>
    <m/>
    <x v="15"/>
    <m/>
  </r>
  <r>
    <n v="405"/>
    <n v="65"/>
    <s v="Female"/>
    <s v="Osteoarthritis"/>
    <s v="Physical Therapy and Pain Management"/>
    <n v="4000"/>
    <n v="31"/>
    <s v="No"/>
    <s v="Stable"/>
    <n v="4"/>
    <x v="2"/>
    <m/>
    <m/>
    <x v="15"/>
    <m/>
  </r>
  <r>
    <n v="406"/>
    <n v="55"/>
    <s v="Female"/>
    <s v="Heart Disease"/>
    <s v="Angioplasty"/>
    <n v="15000"/>
    <n v="32"/>
    <s v="Yes"/>
    <s v="Recovered"/>
    <n v="3"/>
    <x v="2"/>
    <m/>
    <m/>
    <x v="15"/>
    <m/>
  </r>
  <r>
    <n v="407"/>
    <n v="62"/>
    <s v="Male"/>
    <s v="Diabetes"/>
    <s v="Insulin Therapy"/>
    <n v="2000"/>
    <n v="30"/>
    <s v="No"/>
    <s v="Stable"/>
    <n v="4"/>
    <x v="2"/>
    <m/>
    <m/>
    <x v="15"/>
    <m/>
  </r>
  <r>
    <n v="408"/>
    <n v="35"/>
    <s v="Female"/>
    <s v="Fractured Arm"/>
    <s v="X-Ray and Splint"/>
    <n v="500"/>
    <n v="28"/>
    <s v="Yes"/>
    <s v="Recovered"/>
    <n v="5"/>
    <x v="2"/>
    <m/>
    <m/>
    <x v="15"/>
    <m/>
  </r>
  <r>
    <n v="409"/>
    <n v="78"/>
    <s v="Male"/>
    <s v="Stroke"/>
    <s v="CT Scan and Medication"/>
    <n v="10000"/>
    <n v="35"/>
    <s v="No"/>
    <s v="Stable"/>
    <n v="2"/>
    <x v="2"/>
    <m/>
    <m/>
    <x v="15"/>
    <m/>
  </r>
  <r>
    <n v="410"/>
    <n v="53"/>
    <s v="Female"/>
    <s v="Cancer"/>
    <s v="Surgery and Chemotherapy"/>
    <n v="25000"/>
    <n v="37"/>
    <s v="Yes"/>
    <s v="Recovered"/>
    <n v="4"/>
    <x v="2"/>
    <m/>
    <m/>
    <x v="15"/>
    <m/>
  </r>
  <r>
    <n v="411"/>
    <n v="72"/>
    <s v="Male"/>
    <s v="Hypertension"/>
    <s v="Medication and Counseling"/>
    <n v="1000"/>
    <n v="29"/>
    <s v="No"/>
    <s v="Stable"/>
    <n v="4"/>
    <x v="2"/>
    <m/>
    <m/>
    <x v="15"/>
    <m/>
  </r>
  <r>
    <n v="412"/>
    <n v="60"/>
    <s v="Female"/>
    <s v="Appendicitis"/>
    <s v="Appendectomy"/>
    <n v="8000"/>
    <n v="31"/>
    <s v="Yes"/>
    <s v="Recovered"/>
    <n v="3"/>
    <x v="2"/>
    <m/>
    <m/>
    <x v="15"/>
    <m/>
  </r>
  <r>
    <n v="413"/>
    <n v="45"/>
    <s v="Male"/>
    <s v="Fractured Leg"/>
    <s v="Cast and Physical Therapy"/>
    <n v="3000"/>
    <n v="33"/>
    <s v="No"/>
    <s v="Recovered"/>
    <n v="4"/>
    <x v="2"/>
    <m/>
    <m/>
    <x v="15"/>
    <m/>
  </r>
  <r>
    <n v="414"/>
    <n v="75"/>
    <s v="Female"/>
    <s v="Heart Attack"/>
    <s v="Cardiac Catheterization"/>
    <n v="18000"/>
    <n v="35"/>
    <s v="Yes"/>
    <s v="Stable"/>
    <n v="2"/>
    <x v="2"/>
    <m/>
    <m/>
    <x v="15"/>
    <m/>
  </r>
  <r>
    <n v="415"/>
    <n v="28"/>
    <s v="Male"/>
    <s v="Allergic Reaction"/>
    <s v="Epinephrine Injection"/>
    <n v="100"/>
    <n v="28"/>
    <s v="No"/>
    <s v="Recovered"/>
    <n v="5"/>
    <x v="2"/>
    <m/>
    <m/>
    <x v="15"/>
    <m/>
  </r>
  <r>
    <n v="416"/>
    <n v="52"/>
    <s v="Female"/>
    <s v="Respiratory Infection"/>
    <s v="Antibiotics and Rest"/>
    <n v="800"/>
    <n v="29"/>
    <s v="No"/>
    <s v="Stable"/>
    <n v="4"/>
    <x v="2"/>
    <m/>
    <m/>
    <x v="15"/>
    <m/>
  </r>
  <r>
    <n v="418"/>
    <n v="35"/>
    <s v="Female"/>
    <s v="Childbirth"/>
    <s v="Delivery and Postnatal Care"/>
    <n v="12000"/>
    <n v="30"/>
    <s v="No"/>
    <s v="Recovered"/>
    <n v="4"/>
    <x v="2"/>
    <m/>
    <m/>
    <x v="15"/>
    <m/>
  </r>
  <r>
    <n v="419"/>
    <n v="50"/>
    <s v="Male"/>
    <s v="Kidney Stones"/>
    <s v="Lithotripsy"/>
    <n v="6000"/>
    <n v="31"/>
    <s v="No"/>
    <s v="Recovered"/>
    <n v="3"/>
    <x v="2"/>
    <m/>
    <m/>
    <x v="15"/>
    <m/>
  </r>
  <r>
    <n v="420"/>
    <n v="60"/>
    <s v="Female"/>
    <s v="Osteoarthritis"/>
    <s v="Physical Therapy and Pain Management"/>
    <n v="4000"/>
    <n v="32"/>
    <s v="No"/>
    <s v="Stable"/>
    <n v="4"/>
    <x v="2"/>
    <m/>
    <m/>
    <x v="15"/>
    <m/>
  </r>
  <r>
    <n v="421"/>
    <n v="48"/>
    <s v="Female"/>
    <s v="Heart Disease"/>
    <s v="Angioplasty"/>
    <n v="15000"/>
    <n v="33"/>
    <s v="Yes"/>
    <s v="Recovered"/>
    <n v="4"/>
    <x v="2"/>
    <m/>
    <m/>
    <x v="15"/>
    <m/>
  </r>
  <r>
    <n v="422"/>
    <n v="65"/>
    <s v="Male"/>
    <s v="Diabetes"/>
    <s v="Insulin Therapy"/>
    <n v="2000"/>
    <n v="31"/>
    <s v="No"/>
    <s v="Stable"/>
    <n v="3"/>
    <x v="2"/>
    <m/>
    <m/>
    <x v="15"/>
    <m/>
  </r>
  <r>
    <n v="423"/>
    <n v="30"/>
    <s v="Female"/>
    <s v="Fractured Arm"/>
    <s v="X-Ray and Splint"/>
    <n v="500"/>
    <n v="29"/>
    <s v="No"/>
    <s v="Recovered"/>
    <n v="5"/>
    <x v="2"/>
    <m/>
    <m/>
    <x v="15"/>
    <m/>
  </r>
  <r>
    <n v="424"/>
    <n v="70"/>
    <s v="Male"/>
    <s v="Stroke"/>
    <s v="CT Scan and Medication"/>
    <n v="10000"/>
    <n v="36"/>
    <s v="Yes"/>
    <s v="Stable"/>
    <n v="2"/>
    <x v="2"/>
    <m/>
    <m/>
    <x v="15"/>
    <m/>
  </r>
  <r>
    <n v="425"/>
    <n v="55"/>
    <s v="Female"/>
    <s v="Cancer"/>
    <s v="Surgery and Chemotherapy"/>
    <n v="25000"/>
    <n v="38"/>
    <s v="No"/>
    <s v="Recovered"/>
    <n v="4"/>
    <x v="2"/>
    <m/>
    <m/>
    <x v="15"/>
    <m/>
  </r>
  <r>
    <n v="426"/>
    <n v="68"/>
    <s v="Male"/>
    <s v="Hypertension"/>
    <s v="Medication and Counseling"/>
    <n v="1000"/>
    <n v="30"/>
    <s v="No"/>
    <s v="Stable"/>
    <n v="4"/>
    <x v="2"/>
    <m/>
    <m/>
    <x v="15"/>
    <m/>
  </r>
  <r>
    <n v="427"/>
    <n v="45"/>
    <s v="Female"/>
    <s v="Appendicitis"/>
    <s v="Appendectomy"/>
    <n v="8000"/>
    <n v="32"/>
    <s v="No"/>
    <s v="Recovered"/>
    <n v="3"/>
    <x v="2"/>
    <m/>
    <m/>
    <x v="15"/>
    <m/>
  </r>
  <r>
    <n v="428"/>
    <n v="40"/>
    <s v="Male"/>
    <s v="Fractured Leg"/>
    <s v="Cast and Physical Therapy"/>
    <n v="3000"/>
    <n v="34"/>
    <s v="No"/>
    <s v="Recovered"/>
    <n v="4"/>
    <x v="2"/>
    <m/>
    <m/>
    <x v="15"/>
    <m/>
  </r>
  <r>
    <n v="429"/>
    <n v="78"/>
    <s v="Female"/>
    <s v="Heart Attack"/>
    <s v="Cardiac Catheterization"/>
    <n v="18000"/>
    <n v="36"/>
    <s v="Yes"/>
    <s v="Stable"/>
    <n v="2"/>
    <x v="2"/>
    <m/>
    <m/>
    <x v="15"/>
    <m/>
  </r>
  <r>
    <n v="430"/>
    <n v="25"/>
    <s v="Male"/>
    <s v="Allergic Reaction"/>
    <s v="Epinephrine Injection"/>
    <n v="100"/>
    <n v="29"/>
    <s v="No"/>
    <s v="Recovered"/>
    <n v="5"/>
    <x v="2"/>
    <m/>
    <m/>
    <x v="15"/>
    <m/>
  </r>
  <r>
    <n v="431"/>
    <n v="52"/>
    <s v="Female"/>
    <s v="Respiratory Infection"/>
    <s v="Antibiotics and Rest"/>
    <n v="800"/>
    <n v="30"/>
    <s v="No"/>
    <s v="Stable"/>
    <n v="4"/>
    <x v="2"/>
    <m/>
    <m/>
    <x v="15"/>
    <m/>
  </r>
  <r>
    <n v="432"/>
    <n v="58"/>
    <s v="Male"/>
    <s v="Prostate Cancer"/>
    <s v="Radiation Therapy"/>
    <n v="20000"/>
    <n v="37"/>
    <s v="No"/>
    <s v="Recovered"/>
    <n v="3"/>
    <x v="2"/>
    <m/>
    <m/>
    <x v="15"/>
    <m/>
  </r>
  <r>
    <n v="433"/>
    <n v="32"/>
    <s v="Female"/>
    <s v="Childbirth"/>
    <s v="Delivery and Postnatal Care"/>
    <n v="12000"/>
    <n v="31"/>
    <s v="No"/>
    <s v="Recovered"/>
    <n v="4"/>
    <x v="2"/>
    <m/>
    <m/>
    <x v="15"/>
    <m/>
  </r>
  <r>
    <n v="434"/>
    <n v="55"/>
    <s v="Male"/>
    <s v="Kidney Stones"/>
    <s v="Lithotripsy"/>
    <n v="6000"/>
    <n v="32"/>
    <s v="No"/>
    <s v="Recovered"/>
    <n v="3"/>
    <x v="2"/>
    <m/>
    <m/>
    <x v="15"/>
    <m/>
  </r>
  <r>
    <n v="435"/>
    <n v="65"/>
    <s v="Female"/>
    <s v="Osteoarthritis"/>
    <s v="Physical Therapy and Pain Management"/>
    <n v="4000"/>
    <n v="33"/>
    <s v="No"/>
    <s v="Stable"/>
    <n v="4"/>
    <x v="2"/>
    <m/>
    <m/>
    <x v="15"/>
    <m/>
  </r>
  <r>
    <n v="436"/>
    <n v="55"/>
    <s v="Female"/>
    <s v="Heart Disease"/>
    <s v="Angioplasty"/>
    <n v="15000"/>
    <n v="34"/>
    <s v="Yes"/>
    <s v="Recovered"/>
    <n v="3"/>
    <x v="2"/>
    <m/>
    <m/>
    <x v="15"/>
    <m/>
  </r>
  <r>
    <n v="437"/>
    <n v="62"/>
    <s v="Male"/>
    <s v="Diabetes"/>
    <s v="Insulin Therapy"/>
    <n v="2000"/>
    <n v="32"/>
    <s v="No"/>
    <s v="Stable"/>
    <n v="4"/>
    <x v="2"/>
    <m/>
    <m/>
    <x v="15"/>
    <m/>
  </r>
  <r>
    <n v="438"/>
    <n v="35"/>
    <s v="Female"/>
    <s v="Fractured Arm"/>
    <s v="X-Ray and Splint"/>
    <n v="500"/>
    <n v="30"/>
    <s v="Yes"/>
    <s v="Recovered"/>
    <n v="5"/>
    <x v="2"/>
    <m/>
    <m/>
    <x v="15"/>
    <m/>
  </r>
  <r>
    <n v="439"/>
    <n v="78"/>
    <s v="Male"/>
    <s v="Stroke"/>
    <s v="CT Scan and Medication"/>
    <n v="10000"/>
    <n v="37"/>
    <s v="No"/>
    <s v="Stable"/>
    <n v="2"/>
    <x v="2"/>
    <m/>
    <m/>
    <x v="15"/>
    <m/>
  </r>
  <r>
    <n v="440"/>
    <n v="53"/>
    <s v="Female"/>
    <s v="Cancer"/>
    <s v="Surgery and Chemotherapy"/>
    <n v="25000"/>
    <n v="39"/>
    <s v="Yes"/>
    <s v="Recovered"/>
    <n v="4"/>
    <x v="2"/>
    <m/>
    <m/>
    <x v="15"/>
    <m/>
  </r>
  <r>
    <n v="441"/>
    <n v="72"/>
    <s v="Male"/>
    <s v="Hypertension"/>
    <s v="Medication and Counseling"/>
    <n v="1000"/>
    <n v="31"/>
    <s v="No"/>
    <s v="Stable"/>
    <n v="4"/>
    <x v="2"/>
    <m/>
    <m/>
    <x v="15"/>
    <m/>
  </r>
  <r>
    <n v="442"/>
    <n v="60"/>
    <s v="Female"/>
    <s v="Appendicitis"/>
    <s v="Appendectomy"/>
    <n v="8000"/>
    <n v="33"/>
    <s v="Yes"/>
    <s v="Recovered"/>
    <n v="3"/>
    <x v="2"/>
    <m/>
    <m/>
    <x v="15"/>
    <m/>
  </r>
  <r>
    <n v="443"/>
    <n v="45"/>
    <s v="Male"/>
    <s v="Fractured Leg"/>
    <s v="Cast and Physical Therapy"/>
    <n v="3000"/>
    <n v="35"/>
    <s v="No"/>
    <s v="Recovered"/>
    <n v="4"/>
    <x v="2"/>
    <m/>
    <m/>
    <x v="15"/>
    <m/>
  </r>
  <r>
    <n v="444"/>
    <n v="75"/>
    <s v="Female"/>
    <s v="Heart Attack"/>
    <s v="Cardiac Catheterization"/>
    <n v="18000"/>
    <n v="37"/>
    <s v="Yes"/>
    <s v="Stable"/>
    <n v="2"/>
    <x v="2"/>
    <m/>
    <m/>
    <x v="15"/>
    <m/>
  </r>
  <r>
    <n v="445"/>
    <n v="28"/>
    <s v="Male"/>
    <s v="Allergic Reaction"/>
    <s v="Epinephrine Injection"/>
    <n v="100"/>
    <n v="30"/>
    <s v="No"/>
    <s v="Recovered"/>
    <n v="5"/>
    <x v="2"/>
    <m/>
    <m/>
    <x v="15"/>
    <m/>
  </r>
  <r>
    <n v="446"/>
    <n v="52"/>
    <s v="Female"/>
    <s v="Respiratory Infection"/>
    <s v="Antibiotics and Rest"/>
    <n v="800"/>
    <n v="31"/>
    <s v="No"/>
    <s v="Stable"/>
    <n v="4"/>
    <x v="2"/>
    <m/>
    <m/>
    <x v="15"/>
    <m/>
  </r>
  <r>
    <n v="447"/>
    <n v="67"/>
    <s v="Male"/>
    <s v="Prostate Cancer"/>
    <s v="Radiation Therapy"/>
    <n v="20000"/>
    <n v="38"/>
    <s v="No"/>
    <s v="Recovered"/>
    <n v="3"/>
    <x v="2"/>
    <m/>
    <m/>
    <x v="15"/>
    <m/>
  </r>
  <r>
    <n v="448"/>
    <n v="35"/>
    <s v="Female"/>
    <s v="Childbirth"/>
    <s v="Delivery and Postnatal Care"/>
    <n v="12000"/>
    <n v="32"/>
    <s v="No"/>
    <s v="Recovered"/>
    <n v="4"/>
    <x v="2"/>
    <m/>
    <m/>
    <x v="15"/>
    <m/>
  </r>
  <r>
    <n v="449"/>
    <n v="50"/>
    <s v="Male"/>
    <s v="Kidney Stones"/>
    <s v="Lithotripsy"/>
    <n v="6000"/>
    <n v="33"/>
    <s v="No"/>
    <s v="Recovered"/>
    <n v="3"/>
    <x v="2"/>
    <m/>
    <m/>
    <x v="15"/>
    <m/>
  </r>
  <r>
    <n v="450"/>
    <n v="60"/>
    <s v="Female"/>
    <s v="Osteoarthritis"/>
    <s v="Physical Therapy and Pain Management"/>
    <n v="4000"/>
    <n v="34"/>
    <s v="No"/>
    <s v="Stable"/>
    <n v="4"/>
    <x v="2"/>
    <m/>
    <m/>
    <x v="15"/>
    <m/>
  </r>
  <r>
    <n v="451"/>
    <n v="48"/>
    <s v="Female"/>
    <s v="Heart Disease"/>
    <s v="Angioplasty"/>
    <n v="15000"/>
    <n v="35"/>
    <s v="Yes"/>
    <s v="Recovered"/>
    <n v="4"/>
    <x v="2"/>
    <m/>
    <m/>
    <x v="15"/>
    <m/>
  </r>
  <r>
    <n v="452"/>
    <n v="65"/>
    <s v="Male"/>
    <s v="Diabetes"/>
    <s v="Insulin Therapy"/>
    <n v="2000"/>
    <n v="33"/>
    <s v="No"/>
    <s v="Stable"/>
    <n v="3"/>
    <x v="2"/>
    <m/>
    <m/>
    <x v="15"/>
    <m/>
  </r>
  <r>
    <n v="453"/>
    <n v="30"/>
    <s v="Female"/>
    <s v="Fractured Arm"/>
    <s v="X-Ray and Splint"/>
    <n v="500"/>
    <n v="31"/>
    <s v="No"/>
    <s v="Recovered"/>
    <n v="5"/>
    <x v="2"/>
    <m/>
    <m/>
    <x v="15"/>
    <m/>
  </r>
  <r>
    <n v="454"/>
    <n v="70"/>
    <s v="Male"/>
    <s v="Stroke"/>
    <s v="CT Scan and Medication"/>
    <n v="10000"/>
    <n v="38"/>
    <s v="Yes"/>
    <s v="Stable"/>
    <n v="2"/>
    <x v="2"/>
    <m/>
    <m/>
    <x v="15"/>
    <m/>
  </r>
  <r>
    <n v="455"/>
    <n v="55"/>
    <s v="Female"/>
    <s v="Cancer"/>
    <s v="Surgery and Chemotherapy"/>
    <n v="25000"/>
    <n v="40"/>
    <s v="No"/>
    <s v="Recovered"/>
    <n v="4"/>
    <x v="2"/>
    <m/>
    <m/>
    <x v="15"/>
    <m/>
  </r>
  <r>
    <n v="456"/>
    <n v="68"/>
    <s v="Male"/>
    <s v="Hypertension"/>
    <s v="Medication and Counseling"/>
    <n v="1000"/>
    <n v="32"/>
    <s v="No"/>
    <s v="Stable"/>
    <n v="4"/>
    <x v="2"/>
    <m/>
    <m/>
    <x v="15"/>
    <m/>
  </r>
  <r>
    <n v="457"/>
    <n v="45"/>
    <s v="Female"/>
    <s v="Appendicitis"/>
    <s v="Appendectomy"/>
    <n v="8000"/>
    <n v="34"/>
    <s v="No"/>
    <s v="Recovered"/>
    <n v="3"/>
    <x v="2"/>
    <m/>
    <m/>
    <x v="15"/>
    <m/>
  </r>
  <r>
    <n v="458"/>
    <n v="40"/>
    <s v="Male"/>
    <s v="Fractured Leg"/>
    <s v="Cast and Physical Therapy"/>
    <n v="3000"/>
    <n v="36"/>
    <s v="No"/>
    <s v="Recovered"/>
    <n v="4"/>
    <x v="2"/>
    <m/>
    <m/>
    <x v="15"/>
    <m/>
  </r>
  <r>
    <n v="459"/>
    <n v="78"/>
    <s v="Female"/>
    <s v="Heart Attack"/>
    <s v="Cardiac Catheterization"/>
    <n v="18000"/>
    <n v="38"/>
    <s v="Yes"/>
    <s v="Stable"/>
    <n v="2"/>
    <x v="2"/>
    <m/>
    <m/>
    <x v="15"/>
    <m/>
  </r>
  <r>
    <n v="460"/>
    <n v="25"/>
    <s v="Male"/>
    <s v="Allergic Reaction"/>
    <s v="Epinephrine Injection"/>
    <n v="100"/>
    <n v="31"/>
    <s v="No"/>
    <s v="Recovered"/>
    <n v="5"/>
    <x v="2"/>
    <m/>
    <m/>
    <x v="15"/>
    <m/>
  </r>
  <r>
    <n v="461"/>
    <n v="52"/>
    <s v="Female"/>
    <s v="Respiratory Infection"/>
    <s v="Antibiotics and Rest"/>
    <n v="800"/>
    <n v="32"/>
    <s v="No"/>
    <s v="Stable"/>
    <n v="4"/>
    <x v="2"/>
    <m/>
    <m/>
    <x v="15"/>
    <m/>
  </r>
  <r>
    <n v="462"/>
    <n v="58"/>
    <s v="Male"/>
    <s v="Prostate Cancer"/>
    <s v="Radiation Therapy"/>
    <n v="20000"/>
    <n v="39"/>
    <s v="No"/>
    <s v="Recovered"/>
    <n v="3"/>
    <x v="2"/>
    <m/>
    <m/>
    <x v="15"/>
    <m/>
  </r>
  <r>
    <n v="463"/>
    <n v="32"/>
    <s v="Female"/>
    <s v="Childbirth"/>
    <s v="Delivery and Postnatal Care"/>
    <n v="12000"/>
    <n v="33"/>
    <s v="No"/>
    <s v="Recovered"/>
    <n v="4"/>
    <x v="2"/>
    <m/>
    <m/>
    <x v="15"/>
    <m/>
  </r>
  <r>
    <n v="464"/>
    <n v="55"/>
    <s v="Male"/>
    <s v="Kidney Stones"/>
    <s v="Lithotripsy"/>
    <n v="6000"/>
    <n v="34"/>
    <s v="No"/>
    <s v="Recovered"/>
    <n v="3"/>
    <x v="2"/>
    <m/>
    <m/>
    <x v="15"/>
    <m/>
  </r>
  <r>
    <n v="465"/>
    <n v="65"/>
    <s v="Female"/>
    <s v="Osteoarthritis"/>
    <s v="Physical Therapy and Pain Management"/>
    <n v="4000"/>
    <n v="35"/>
    <s v="No"/>
    <s v="Stable"/>
    <n v="4"/>
    <x v="2"/>
    <m/>
    <m/>
    <x v="15"/>
    <m/>
  </r>
  <r>
    <n v="466"/>
    <n v="55"/>
    <s v="Female"/>
    <s v="Heart Disease"/>
    <s v="Angioplasty"/>
    <n v="15000"/>
    <n v="36"/>
    <s v="Yes"/>
    <s v="Recovered"/>
    <n v="3"/>
    <x v="2"/>
    <m/>
    <m/>
    <x v="15"/>
    <m/>
  </r>
  <r>
    <n v="467"/>
    <n v="62"/>
    <s v="Male"/>
    <s v="Diabetes"/>
    <s v="Insulin Therapy"/>
    <n v="2000"/>
    <n v="34"/>
    <s v="No"/>
    <s v="Stable"/>
    <n v="4"/>
    <x v="2"/>
    <m/>
    <m/>
    <x v="15"/>
    <m/>
  </r>
  <r>
    <n v="468"/>
    <n v="35"/>
    <s v="Female"/>
    <s v="Fractured Arm"/>
    <s v="X-Ray and Splint"/>
    <n v="500"/>
    <n v="32"/>
    <s v="Yes"/>
    <s v="Recovered"/>
    <n v="5"/>
    <x v="2"/>
    <m/>
    <m/>
    <x v="15"/>
    <m/>
  </r>
  <r>
    <n v="469"/>
    <n v="78"/>
    <s v="Male"/>
    <s v="Stroke"/>
    <s v="CT Scan and Medication"/>
    <n v="10000"/>
    <n v="39"/>
    <s v="No"/>
    <s v="Stable"/>
    <n v="2"/>
    <x v="2"/>
    <m/>
    <m/>
    <x v="15"/>
    <m/>
  </r>
  <r>
    <n v="470"/>
    <n v="53"/>
    <s v="Female"/>
    <s v="Cancer"/>
    <s v="Surgery and Chemotherapy"/>
    <n v="25000"/>
    <n v="41"/>
    <s v="Yes"/>
    <s v="Recovered"/>
    <n v="4"/>
    <x v="2"/>
    <m/>
    <m/>
    <x v="15"/>
    <m/>
  </r>
  <r>
    <n v="471"/>
    <n v="72"/>
    <s v="Male"/>
    <s v="Hypertension"/>
    <s v="Medication and Counseling"/>
    <n v="1000"/>
    <n v="33"/>
    <s v="No"/>
    <s v="Stable"/>
    <n v="4"/>
    <x v="2"/>
    <m/>
    <m/>
    <x v="15"/>
    <m/>
  </r>
  <r>
    <n v="472"/>
    <n v="60"/>
    <s v="Female"/>
    <s v="Appendicitis"/>
    <s v="Appendectomy"/>
    <n v="8000"/>
    <n v="35"/>
    <s v="Yes"/>
    <s v="Recovered"/>
    <n v="3"/>
    <x v="2"/>
    <m/>
    <m/>
    <x v="15"/>
    <m/>
  </r>
  <r>
    <n v="473"/>
    <n v="45"/>
    <s v="Male"/>
    <s v="Fractured Leg"/>
    <s v="Cast and Physical Therapy"/>
    <n v="3000"/>
    <n v="37"/>
    <s v="No"/>
    <s v="Recovered"/>
    <n v="4"/>
    <x v="2"/>
    <m/>
    <m/>
    <x v="15"/>
    <m/>
  </r>
  <r>
    <n v="474"/>
    <n v="75"/>
    <s v="Female"/>
    <s v="Heart Attack"/>
    <s v="Cardiac Catheterization"/>
    <n v="18000"/>
    <n v="39"/>
    <s v="Yes"/>
    <s v="Stable"/>
    <n v="2"/>
    <x v="2"/>
    <m/>
    <m/>
    <x v="15"/>
    <m/>
  </r>
  <r>
    <n v="475"/>
    <n v="28"/>
    <s v="Male"/>
    <s v="Allergic Reaction"/>
    <s v="Epinephrine Injection"/>
    <n v="100"/>
    <n v="32"/>
    <s v="No"/>
    <s v="Recovered"/>
    <n v="5"/>
    <x v="2"/>
    <m/>
    <m/>
    <x v="15"/>
    <m/>
  </r>
  <r>
    <n v="476"/>
    <n v="52"/>
    <s v="Female"/>
    <s v="Respiratory Infection"/>
    <s v="Antibiotics and Rest"/>
    <n v="800"/>
    <n v="33"/>
    <s v="No"/>
    <s v="Stable"/>
    <n v="4"/>
    <x v="2"/>
    <m/>
    <m/>
    <x v="15"/>
    <m/>
  </r>
  <r>
    <n v="477"/>
    <n v="67"/>
    <s v="Male"/>
    <s v="Prostate Cancer"/>
    <s v="Radiation Therapy"/>
    <n v="20000"/>
    <n v="40"/>
    <s v="No"/>
    <s v="Recovered"/>
    <n v="3"/>
    <x v="2"/>
    <m/>
    <m/>
    <x v="15"/>
    <m/>
  </r>
  <r>
    <n v="479"/>
    <n v="50"/>
    <s v="Male"/>
    <s v="Kidney Stones"/>
    <s v="Lithotripsy"/>
    <n v="6000"/>
    <n v="35"/>
    <s v="No"/>
    <s v="Recovered"/>
    <n v="3"/>
    <x v="2"/>
    <m/>
    <m/>
    <x v="15"/>
    <m/>
  </r>
  <r>
    <n v="480"/>
    <n v="60"/>
    <s v="Female"/>
    <s v="Osteoarthritis"/>
    <s v="Physical Therapy and Pain Management"/>
    <n v="4000"/>
    <n v="36"/>
    <s v="No"/>
    <s v="Stable"/>
    <n v="4"/>
    <x v="2"/>
    <m/>
    <m/>
    <x v="15"/>
    <m/>
  </r>
  <r>
    <n v="481"/>
    <n v="48"/>
    <s v="Female"/>
    <s v="Heart Disease"/>
    <s v="Angioplasty"/>
    <n v="15000"/>
    <n v="37"/>
    <s v="Yes"/>
    <s v="Recovered"/>
    <n v="4"/>
    <x v="2"/>
    <m/>
    <m/>
    <x v="15"/>
    <m/>
  </r>
  <r>
    <n v="482"/>
    <n v="65"/>
    <s v="Male"/>
    <s v="Diabetes"/>
    <s v="Insulin Therapy"/>
    <n v="2000"/>
    <n v="35"/>
    <s v="No"/>
    <s v="Stable"/>
    <n v="3"/>
    <x v="2"/>
    <m/>
    <m/>
    <x v="15"/>
    <m/>
  </r>
  <r>
    <n v="483"/>
    <n v="30"/>
    <s v="Female"/>
    <s v="Fractured Arm"/>
    <s v="X-Ray and Splint"/>
    <n v="500"/>
    <n v="33"/>
    <s v="No"/>
    <s v="Recovered"/>
    <n v="5"/>
    <x v="2"/>
    <m/>
    <m/>
    <x v="15"/>
    <m/>
  </r>
  <r>
    <n v="484"/>
    <n v="70"/>
    <s v="Male"/>
    <s v="Stroke"/>
    <s v="CT Scan and Medication"/>
    <n v="10000"/>
    <n v="40"/>
    <s v="Yes"/>
    <s v="Stable"/>
    <n v="2"/>
    <x v="2"/>
    <m/>
    <m/>
    <x v="15"/>
    <m/>
  </r>
  <r>
    <n v="485"/>
    <n v="55"/>
    <s v="Female"/>
    <s v="Cancer"/>
    <s v="Surgery and Chemotherapy"/>
    <n v="25000"/>
    <n v="42"/>
    <s v="No"/>
    <s v="Recovered"/>
    <n v="4"/>
    <x v="2"/>
    <m/>
    <m/>
    <x v="15"/>
    <m/>
  </r>
  <r>
    <n v="486"/>
    <n v="68"/>
    <s v="Male"/>
    <s v="Hypertension"/>
    <s v="Medication and Counseling"/>
    <n v="1000"/>
    <n v="34"/>
    <s v="No"/>
    <s v="Stable"/>
    <n v="4"/>
    <x v="2"/>
    <m/>
    <m/>
    <x v="15"/>
    <m/>
  </r>
  <r>
    <n v="487"/>
    <n v="45"/>
    <s v="Female"/>
    <s v="Appendicitis"/>
    <s v="Appendectomy"/>
    <n v="8000"/>
    <n v="36"/>
    <s v="No"/>
    <s v="Recovered"/>
    <n v="3"/>
    <x v="2"/>
    <m/>
    <m/>
    <x v="15"/>
    <m/>
  </r>
  <r>
    <n v="488"/>
    <n v="40"/>
    <s v="Male"/>
    <s v="Fractured Leg"/>
    <s v="Cast and Physical Therapy"/>
    <n v="3000"/>
    <n v="38"/>
    <s v="No"/>
    <s v="Recovered"/>
    <n v="4"/>
    <x v="2"/>
    <m/>
    <m/>
    <x v="15"/>
    <m/>
  </r>
  <r>
    <n v="489"/>
    <n v="78"/>
    <s v="Female"/>
    <s v="Heart Attack"/>
    <s v="Cardiac Catheterization"/>
    <n v="18000"/>
    <n v="40"/>
    <s v="Yes"/>
    <s v="Stable"/>
    <n v="2"/>
    <x v="2"/>
    <m/>
    <m/>
    <x v="15"/>
    <m/>
  </r>
  <r>
    <n v="490"/>
    <n v="25"/>
    <s v="Male"/>
    <s v="Allergic Reaction"/>
    <s v="Epinephrine Injection"/>
    <n v="100"/>
    <n v="33"/>
    <s v="No"/>
    <s v="Recovered"/>
    <n v="5"/>
    <x v="2"/>
    <m/>
    <m/>
    <x v="15"/>
    <m/>
  </r>
  <r>
    <n v="491"/>
    <n v="52"/>
    <s v="Female"/>
    <s v="Respiratory Infection"/>
    <s v="Antibiotics and Rest"/>
    <n v="800"/>
    <n v="34"/>
    <s v="No"/>
    <s v="Stable"/>
    <n v="4"/>
    <x v="2"/>
    <m/>
    <m/>
    <x v="15"/>
    <m/>
  </r>
  <r>
    <n v="492"/>
    <n v="58"/>
    <s v="Male"/>
    <s v="Prostate Cancer"/>
    <s v="Radiation Therapy"/>
    <n v="20000"/>
    <n v="41"/>
    <s v="No"/>
    <s v="Recovered"/>
    <n v="3"/>
    <x v="2"/>
    <m/>
    <m/>
    <x v="15"/>
    <m/>
  </r>
  <r>
    <n v="493"/>
    <n v="32"/>
    <s v="Female"/>
    <s v="Childbirth"/>
    <s v="Delivery and Postnatal Care"/>
    <n v="12000"/>
    <n v="35"/>
    <s v="No"/>
    <s v="Recovered"/>
    <n v="4"/>
    <x v="2"/>
    <m/>
    <m/>
    <x v="15"/>
    <m/>
  </r>
  <r>
    <n v="494"/>
    <n v="55"/>
    <s v="Male"/>
    <s v="Kidney Stones"/>
    <s v="Lithotripsy"/>
    <n v="6000"/>
    <n v="36"/>
    <s v="No"/>
    <s v="Recovered"/>
    <n v="3"/>
    <x v="2"/>
    <m/>
    <m/>
    <x v="15"/>
    <m/>
  </r>
  <r>
    <n v="495"/>
    <n v="65"/>
    <s v="Female"/>
    <s v="Osteoarthritis"/>
    <s v="Physical Therapy and Pain Management"/>
    <n v="4000"/>
    <n v="37"/>
    <s v="No"/>
    <s v="Stable"/>
    <n v="4"/>
    <x v="2"/>
    <m/>
    <m/>
    <x v="15"/>
    <m/>
  </r>
  <r>
    <n v="496"/>
    <n v="55"/>
    <s v="Female"/>
    <s v="Heart Disease"/>
    <s v="Angioplasty"/>
    <n v="15000"/>
    <n v="38"/>
    <s v="Yes"/>
    <s v="Recovered"/>
    <n v="3"/>
    <x v="2"/>
    <m/>
    <m/>
    <x v="15"/>
    <m/>
  </r>
  <r>
    <n v="497"/>
    <n v="62"/>
    <s v="Male"/>
    <s v="Diabetes"/>
    <s v="Insulin Therapy"/>
    <n v="2000"/>
    <n v="36"/>
    <s v="No"/>
    <s v="Stable"/>
    <n v="4"/>
    <x v="2"/>
    <m/>
    <m/>
    <x v="15"/>
    <m/>
  </r>
  <r>
    <n v="498"/>
    <n v="35"/>
    <s v="Female"/>
    <s v="Fractured Arm"/>
    <s v="X-Ray and Splint"/>
    <n v="500"/>
    <n v="34"/>
    <s v="Yes"/>
    <s v="Recovered"/>
    <n v="5"/>
    <x v="2"/>
    <m/>
    <m/>
    <x v="15"/>
    <m/>
  </r>
  <r>
    <n v="499"/>
    <n v="78"/>
    <s v="Male"/>
    <s v="Stroke"/>
    <s v="CT Scan and Medication"/>
    <n v="10000"/>
    <n v="41"/>
    <s v="No"/>
    <s v="Stable"/>
    <n v="2"/>
    <x v="2"/>
    <m/>
    <m/>
    <x v="15"/>
    <m/>
  </r>
  <r>
    <n v="500"/>
    <n v="53"/>
    <s v="Female"/>
    <s v="Cancer"/>
    <s v="Surgery and Chemotherapy"/>
    <n v="25000"/>
    <n v="43"/>
    <s v="Yes"/>
    <s v="Recovered"/>
    <n v="4"/>
    <x v="2"/>
    <m/>
    <m/>
    <x v="15"/>
    <m/>
  </r>
  <r>
    <n v="501"/>
    <n v="72"/>
    <s v="Male"/>
    <s v="Hypertension"/>
    <s v="Medication and Counseling"/>
    <n v="1000"/>
    <n v="35"/>
    <s v="No"/>
    <s v="Stable"/>
    <n v="4"/>
    <x v="2"/>
    <m/>
    <m/>
    <x v="15"/>
    <m/>
  </r>
  <r>
    <n v="502"/>
    <n v="60"/>
    <s v="Female"/>
    <s v="Appendicitis"/>
    <s v="Appendectomy"/>
    <n v="8000"/>
    <n v="37"/>
    <s v="Yes"/>
    <s v="Recovered"/>
    <n v="3"/>
    <x v="2"/>
    <m/>
    <m/>
    <x v="15"/>
    <m/>
  </r>
  <r>
    <n v="503"/>
    <n v="45"/>
    <s v="Male"/>
    <s v="Fractured Leg"/>
    <s v="Cast and Physical Therapy"/>
    <n v="3000"/>
    <n v="39"/>
    <s v="No"/>
    <s v="Recovered"/>
    <n v="4"/>
    <x v="2"/>
    <m/>
    <m/>
    <x v="15"/>
    <m/>
  </r>
  <r>
    <n v="504"/>
    <n v="75"/>
    <s v="Female"/>
    <s v="Heart Attack"/>
    <s v="Cardiac Catheterization"/>
    <n v="18000"/>
    <n v="41"/>
    <s v="Yes"/>
    <s v="Stable"/>
    <n v="2"/>
    <x v="2"/>
    <m/>
    <m/>
    <x v="15"/>
    <m/>
  </r>
  <r>
    <n v="505"/>
    <n v="28"/>
    <s v="Male"/>
    <s v="Allergic Reaction"/>
    <s v="Epinephrine Injection"/>
    <n v="100"/>
    <n v="34"/>
    <s v="No"/>
    <s v="Recovered"/>
    <n v="5"/>
    <x v="2"/>
    <m/>
    <m/>
    <x v="15"/>
    <m/>
  </r>
  <r>
    <n v="506"/>
    <n v="52"/>
    <s v="Female"/>
    <s v="Respiratory Infection"/>
    <s v="Antibiotics and Rest"/>
    <n v="800"/>
    <n v="35"/>
    <s v="No"/>
    <s v="Stable"/>
    <n v="4"/>
    <x v="2"/>
    <m/>
    <m/>
    <x v="15"/>
    <m/>
  </r>
  <r>
    <n v="507"/>
    <n v="67"/>
    <s v="Male"/>
    <s v="Prostate Cancer"/>
    <s v="Radiation Therapy"/>
    <n v="20000"/>
    <n v="42"/>
    <s v="No"/>
    <s v="Recovered"/>
    <n v="3"/>
    <x v="2"/>
    <m/>
    <m/>
    <x v="15"/>
    <m/>
  </r>
  <r>
    <n v="508"/>
    <n v="35"/>
    <s v="Female"/>
    <s v="Childbirth"/>
    <s v="Delivery and Postnatal Care"/>
    <n v="12000"/>
    <n v="36"/>
    <s v="No"/>
    <s v="Recovered"/>
    <n v="4"/>
    <x v="2"/>
    <m/>
    <m/>
    <x v="15"/>
    <m/>
  </r>
  <r>
    <n v="509"/>
    <n v="50"/>
    <s v="Male"/>
    <s v="Kidney Stones"/>
    <s v="Lithotripsy"/>
    <n v="6000"/>
    <n v="37"/>
    <s v="No"/>
    <s v="Recovered"/>
    <n v="3"/>
    <x v="2"/>
    <m/>
    <m/>
    <x v="15"/>
    <m/>
  </r>
  <r>
    <n v="510"/>
    <n v="60"/>
    <s v="Female"/>
    <s v="Osteoarthritis"/>
    <s v="Physical Therapy and Pain Management"/>
    <n v="4000"/>
    <n v="38"/>
    <s v="No"/>
    <s v="Stable"/>
    <n v="4"/>
    <x v="2"/>
    <m/>
    <m/>
    <x v="15"/>
    <m/>
  </r>
  <r>
    <n v="511"/>
    <n v="48"/>
    <s v="Female"/>
    <s v="Heart Disease"/>
    <s v="Angioplasty"/>
    <n v="15000"/>
    <n v="39"/>
    <s v="Yes"/>
    <s v="Recovered"/>
    <n v="4"/>
    <x v="2"/>
    <m/>
    <m/>
    <x v="15"/>
    <m/>
  </r>
  <r>
    <n v="512"/>
    <n v="65"/>
    <s v="Male"/>
    <s v="Diabetes"/>
    <s v="Insulin Therapy"/>
    <n v="2000"/>
    <n v="37"/>
    <s v="No"/>
    <s v="Stable"/>
    <n v="3"/>
    <x v="2"/>
    <m/>
    <m/>
    <x v="15"/>
    <m/>
  </r>
  <r>
    <n v="513"/>
    <n v="30"/>
    <s v="Female"/>
    <s v="Fractured Arm"/>
    <s v="X-Ray and Splint"/>
    <n v="500"/>
    <n v="35"/>
    <s v="No"/>
    <s v="Recovered"/>
    <n v="5"/>
    <x v="2"/>
    <m/>
    <m/>
    <x v="15"/>
    <m/>
  </r>
  <r>
    <n v="514"/>
    <n v="70"/>
    <s v="Male"/>
    <s v="Stroke"/>
    <s v="CT Scan and Medication"/>
    <n v="10000"/>
    <n v="42"/>
    <s v="Yes"/>
    <s v="Stable"/>
    <n v="2"/>
    <x v="2"/>
    <m/>
    <m/>
    <x v="15"/>
    <m/>
  </r>
  <r>
    <n v="515"/>
    <n v="55"/>
    <s v="Female"/>
    <s v="Cancer"/>
    <s v="Surgery and Chemotherapy"/>
    <n v="25000"/>
    <n v="44"/>
    <s v="No"/>
    <s v="Recovered"/>
    <n v="4"/>
    <x v="2"/>
    <m/>
    <m/>
    <x v="15"/>
    <m/>
  </r>
  <r>
    <n v="516"/>
    <n v="68"/>
    <s v="Male"/>
    <s v="Hypertension"/>
    <s v="Medication and Counseling"/>
    <n v="1000"/>
    <n v="36"/>
    <s v="No"/>
    <s v="Stable"/>
    <n v="4"/>
    <x v="2"/>
    <m/>
    <m/>
    <x v="15"/>
    <m/>
  </r>
  <r>
    <n v="517"/>
    <n v="45"/>
    <s v="Female"/>
    <s v="Appendicitis"/>
    <s v="Appendectomy"/>
    <n v="8000"/>
    <n v="38"/>
    <s v="No"/>
    <s v="Recovered"/>
    <n v="3"/>
    <x v="2"/>
    <m/>
    <m/>
    <x v="15"/>
    <m/>
  </r>
  <r>
    <n v="518"/>
    <n v="40"/>
    <s v="Male"/>
    <s v="Fractured Leg"/>
    <s v="Cast and Physical Therapy"/>
    <n v="3000"/>
    <n v="40"/>
    <s v="No"/>
    <s v="Recovered"/>
    <n v="4"/>
    <x v="2"/>
    <m/>
    <m/>
    <x v="15"/>
    <m/>
  </r>
  <r>
    <n v="519"/>
    <n v="78"/>
    <s v="Female"/>
    <s v="Heart Attack"/>
    <s v="Cardiac Catheterization"/>
    <n v="18000"/>
    <n v="42"/>
    <s v="Yes"/>
    <s v="Stable"/>
    <n v="2"/>
    <x v="2"/>
    <m/>
    <m/>
    <x v="15"/>
    <m/>
  </r>
  <r>
    <n v="520"/>
    <n v="25"/>
    <s v="Male"/>
    <s v="Allergic Reaction"/>
    <s v="Epinephrine Injection"/>
    <n v="100"/>
    <n v="35"/>
    <s v="No"/>
    <s v="Recovered"/>
    <n v="5"/>
    <x v="2"/>
    <m/>
    <m/>
    <x v="15"/>
    <m/>
  </r>
  <r>
    <n v="521"/>
    <n v="52"/>
    <s v="Female"/>
    <s v="Respiratory Infection"/>
    <s v="Antibiotics and Rest"/>
    <n v="800"/>
    <n v="36"/>
    <s v="No"/>
    <s v="Stable"/>
    <n v="4"/>
    <x v="2"/>
    <m/>
    <m/>
    <x v="15"/>
    <m/>
  </r>
  <r>
    <n v="522"/>
    <n v="58"/>
    <s v="Male"/>
    <s v="Prostate Cancer"/>
    <s v="Radiation Therapy"/>
    <n v="20000"/>
    <n v="43"/>
    <s v="No"/>
    <s v="Recovered"/>
    <n v="3"/>
    <x v="2"/>
    <m/>
    <m/>
    <x v="15"/>
    <m/>
  </r>
  <r>
    <n v="523"/>
    <n v="32"/>
    <s v="Female"/>
    <s v="Childbirth"/>
    <s v="Delivery and Postnatal Care"/>
    <n v="12000"/>
    <n v="37"/>
    <s v="No"/>
    <s v="Recovered"/>
    <n v="4"/>
    <x v="2"/>
    <m/>
    <m/>
    <x v="15"/>
    <m/>
  </r>
  <r>
    <n v="524"/>
    <n v="55"/>
    <s v="Male"/>
    <s v="Kidney Stones"/>
    <s v="Lithotripsy"/>
    <n v="6000"/>
    <n v="38"/>
    <s v="No"/>
    <s v="Recovered"/>
    <n v="3"/>
    <x v="2"/>
    <m/>
    <m/>
    <x v="15"/>
    <m/>
  </r>
  <r>
    <n v="525"/>
    <n v="65"/>
    <s v="Female"/>
    <s v="Osteoarthritis"/>
    <s v="Physical Therapy and Pain Management"/>
    <n v="4000"/>
    <n v="39"/>
    <s v="No"/>
    <s v="Stable"/>
    <n v="4"/>
    <x v="2"/>
    <m/>
    <m/>
    <x v="15"/>
    <m/>
  </r>
  <r>
    <n v="526"/>
    <n v="55"/>
    <s v="Female"/>
    <s v="Heart Disease"/>
    <s v="Angioplasty"/>
    <n v="15000"/>
    <n v="40"/>
    <s v="Yes"/>
    <s v="Recovered"/>
    <n v="3"/>
    <x v="2"/>
    <m/>
    <m/>
    <x v="15"/>
    <m/>
  </r>
  <r>
    <n v="527"/>
    <n v="62"/>
    <s v="Male"/>
    <s v="Diabetes"/>
    <s v="Insulin Therapy"/>
    <n v="2000"/>
    <n v="38"/>
    <s v="No"/>
    <s v="Stable"/>
    <n v="4"/>
    <x v="2"/>
    <m/>
    <m/>
    <x v="15"/>
    <m/>
  </r>
  <r>
    <n v="528"/>
    <n v="35"/>
    <s v="Female"/>
    <s v="Fractured Arm"/>
    <s v="X-Ray and Splint"/>
    <n v="500"/>
    <n v="36"/>
    <s v="Yes"/>
    <s v="Recovered"/>
    <n v="5"/>
    <x v="2"/>
    <m/>
    <m/>
    <x v="15"/>
    <m/>
  </r>
  <r>
    <n v="529"/>
    <n v="78"/>
    <s v="Male"/>
    <s v="Stroke"/>
    <s v="CT Scan and Medication"/>
    <n v="10000"/>
    <n v="43"/>
    <s v="No"/>
    <s v="Stable"/>
    <n v="2"/>
    <x v="2"/>
    <m/>
    <m/>
    <x v="15"/>
    <m/>
  </r>
  <r>
    <n v="530"/>
    <n v="53"/>
    <s v="Female"/>
    <s v="Cancer"/>
    <s v="Surgery and Chemotherapy"/>
    <n v="25000"/>
    <n v="45"/>
    <s v="Yes"/>
    <s v="Recovered"/>
    <n v="4"/>
    <x v="2"/>
    <m/>
    <m/>
    <x v="15"/>
    <m/>
  </r>
  <r>
    <n v="531"/>
    <n v="72"/>
    <s v="Male"/>
    <s v="Hypertension"/>
    <s v="Medication and Counseling"/>
    <n v="1000"/>
    <n v="38"/>
    <s v="No"/>
    <s v="Stable"/>
    <n v="4"/>
    <x v="2"/>
    <m/>
    <m/>
    <x v="15"/>
    <m/>
  </r>
  <r>
    <n v="532"/>
    <n v="60"/>
    <s v="Female"/>
    <s v="Appendicitis"/>
    <s v="Appendectomy"/>
    <n v="8000"/>
    <n v="39"/>
    <s v="Yes"/>
    <s v="Recovered"/>
    <n v="3"/>
    <x v="2"/>
    <m/>
    <m/>
    <x v="15"/>
    <m/>
  </r>
  <r>
    <n v="533"/>
    <n v="45"/>
    <s v="Male"/>
    <s v="Fractured Leg"/>
    <s v="Cast and Physical Therapy"/>
    <n v="3000"/>
    <n v="41"/>
    <s v="No"/>
    <s v="Recovered"/>
    <n v="4"/>
    <x v="2"/>
    <m/>
    <m/>
    <x v="15"/>
    <m/>
  </r>
  <r>
    <n v="534"/>
    <n v="75"/>
    <s v="Female"/>
    <s v="Heart Attack"/>
    <s v="Cardiac Catheterization"/>
    <n v="18000"/>
    <n v="43"/>
    <s v="Yes"/>
    <s v="Stable"/>
    <n v="2"/>
    <x v="2"/>
    <m/>
    <m/>
    <x v="15"/>
    <m/>
  </r>
  <r>
    <n v="535"/>
    <n v="28"/>
    <s v="Male"/>
    <s v="Allergic Reaction"/>
    <s v="Epinephrine Injection"/>
    <n v="100"/>
    <n v="36"/>
    <s v="No"/>
    <s v="Recovered"/>
    <n v="5"/>
    <x v="2"/>
    <m/>
    <m/>
    <x v="15"/>
    <m/>
  </r>
  <r>
    <n v="536"/>
    <n v="52"/>
    <s v="Female"/>
    <s v="Respiratory Infection"/>
    <s v="Antibiotics and Rest"/>
    <n v="800"/>
    <n v="37"/>
    <s v="No"/>
    <s v="Stable"/>
    <n v="4"/>
    <x v="2"/>
    <m/>
    <m/>
    <x v="15"/>
    <m/>
  </r>
  <r>
    <n v="537"/>
    <n v="67"/>
    <s v="Male"/>
    <s v="Prostate Cancer"/>
    <s v="Radiation Therapy"/>
    <n v="20000"/>
    <n v="44"/>
    <s v="No"/>
    <s v="Recovered"/>
    <n v="3"/>
    <x v="2"/>
    <m/>
    <m/>
    <x v="15"/>
    <m/>
  </r>
  <r>
    <n v="538"/>
    <n v="35"/>
    <s v="Female"/>
    <s v="Childbirth"/>
    <s v="Delivery and Postnatal Care"/>
    <n v="12000"/>
    <n v="38"/>
    <s v="No"/>
    <s v="Recovered"/>
    <n v="4"/>
    <x v="2"/>
    <m/>
    <m/>
    <x v="15"/>
    <m/>
  </r>
  <r>
    <n v="540"/>
    <n v="60"/>
    <s v="Female"/>
    <s v="Osteoarthritis"/>
    <s v="Physical Therapy and Pain Management"/>
    <n v="4000"/>
    <n v="40"/>
    <s v="No"/>
    <s v="Stable"/>
    <n v="4"/>
    <x v="2"/>
    <m/>
    <m/>
    <x v="15"/>
    <m/>
  </r>
  <r>
    <n v="541"/>
    <n v="48"/>
    <s v="Female"/>
    <s v="Heart Disease"/>
    <s v="Angioplasty"/>
    <n v="15000"/>
    <n v="41"/>
    <s v="Yes"/>
    <s v="Recovered"/>
    <n v="4"/>
    <x v="2"/>
    <m/>
    <m/>
    <x v="15"/>
    <m/>
  </r>
  <r>
    <n v="542"/>
    <n v="65"/>
    <s v="Male"/>
    <s v="Diabetes"/>
    <s v="Insulin Therapy"/>
    <n v="2000"/>
    <n v="39"/>
    <s v="No"/>
    <s v="Stable"/>
    <n v="3"/>
    <x v="2"/>
    <m/>
    <m/>
    <x v="15"/>
    <m/>
  </r>
  <r>
    <n v="543"/>
    <n v="30"/>
    <s v="Female"/>
    <s v="Fractured Arm"/>
    <s v="X-Ray and Splint"/>
    <n v="500"/>
    <n v="37"/>
    <s v="No"/>
    <s v="Recovered"/>
    <n v="5"/>
    <x v="2"/>
    <m/>
    <m/>
    <x v="15"/>
    <m/>
  </r>
  <r>
    <n v="544"/>
    <n v="70"/>
    <s v="Male"/>
    <s v="Stroke"/>
    <s v="CT Scan and Medication"/>
    <n v="10000"/>
    <n v="44"/>
    <s v="Yes"/>
    <s v="Stable"/>
    <n v="2"/>
    <x v="2"/>
    <m/>
    <m/>
    <x v="15"/>
    <m/>
  </r>
  <r>
    <n v="545"/>
    <n v="55"/>
    <s v="Female"/>
    <s v="Cancer"/>
    <s v="Surgery and Chemotherapy"/>
    <n v="25000"/>
    <n v="46"/>
    <s v="No"/>
    <s v="Recovered"/>
    <n v="4"/>
    <x v="2"/>
    <m/>
    <m/>
    <x v="15"/>
    <m/>
  </r>
  <r>
    <n v="546"/>
    <n v="68"/>
    <s v="Male"/>
    <s v="Hypertension"/>
    <s v="Medication and Counseling"/>
    <n v="1000"/>
    <n v="40"/>
    <s v="No"/>
    <s v="Stable"/>
    <n v="4"/>
    <x v="2"/>
    <m/>
    <m/>
    <x v="15"/>
    <m/>
  </r>
  <r>
    <n v="547"/>
    <n v="45"/>
    <s v="Female"/>
    <s v="Appendicitis"/>
    <s v="Appendectomy"/>
    <n v="8000"/>
    <n v="42"/>
    <s v="No"/>
    <s v="Recovered"/>
    <n v="3"/>
    <x v="2"/>
    <m/>
    <m/>
    <x v="15"/>
    <m/>
  </r>
  <r>
    <n v="548"/>
    <n v="40"/>
    <s v="Male"/>
    <s v="Fractured Leg"/>
    <s v="Cast and Physical Therapy"/>
    <n v="3000"/>
    <n v="42"/>
    <s v="No"/>
    <s v="Recovered"/>
    <n v="4"/>
    <x v="2"/>
    <m/>
    <m/>
    <x v="15"/>
    <m/>
  </r>
  <r>
    <n v="549"/>
    <n v="78"/>
    <s v="Female"/>
    <s v="Heart Attack"/>
    <s v="Cardiac Catheterization"/>
    <n v="18000"/>
    <n v="44"/>
    <s v="Yes"/>
    <s v="Stable"/>
    <n v="2"/>
    <x v="2"/>
    <m/>
    <m/>
    <x v="15"/>
    <m/>
  </r>
  <r>
    <n v="550"/>
    <n v="25"/>
    <s v="Male"/>
    <s v="Allergic Reaction"/>
    <s v="Epinephrine Injection"/>
    <n v="100"/>
    <n v="37"/>
    <s v="No"/>
    <s v="Recovered"/>
    <n v="5"/>
    <x v="2"/>
    <m/>
    <m/>
    <x v="15"/>
    <m/>
  </r>
  <r>
    <n v="551"/>
    <n v="52"/>
    <s v="Female"/>
    <s v="Respiratory Infection"/>
    <s v="Antibiotics and Rest"/>
    <n v="800"/>
    <n v="38"/>
    <s v="No"/>
    <s v="Stable"/>
    <n v="4"/>
    <x v="2"/>
    <m/>
    <m/>
    <x v="15"/>
    <m/>
  </r>
  <r>
    <n v="552"/>
    <n v="58"/>
    <s v="Male"/>
    <s v="Prostate Cancer"/>
    <s v="Radiation Therapy"/>
    <n v="20000"/>
    <n v="45"/>
    <s v="No"/>
    <s v="Recovered"/>
    <n v="3"/>
    <x v="2"/>
    <m/>
    <m/>
    <x v="15"/>
    <m/>
  </r>
  <r>
    <n v="553"/>
    <n v="32"/>
    <s v="Female"/>
    <s v="Childbirth"/>
    <s v="Delivery and Postnatal Care"/>
    <n v="12000"/>
    <n v="39"/>
    <s v="No"/>
    <s v="Recovered"/>
    <n v="4"/>
    <x v="2"/>
    <m/>
    <m/>
    <x v="15"/>
    <m/>
  </r>
  <r>
    <n v="554"/>
    <n v="55"/>
    <s v="Male"/>
    <s v="Kidney Stones"/>
    <s v="Lithotripsy"/>
    <n v="6000"/>
    <n v="40"/>
    <s v="No"/>
    <s v="Recovered"/>
    <n v="3"/>
    <x v="2"/>
    <m/>
    <m/>
    <x v="15"/>
    <m/>
  </r>
  <r>
    <n v="555"/>
    <n v="65"/>
    <s v="Female"/>
    <s v="Osteoarthritis"/>
    <s v="Physical Therapy and Pain Management"/>
    <n v="4000"/>
    <n v="41"/>
    <s v="No"/>
    <s v="Stable"/>
    <n v="4"/>
    <x v="2"/>
    <m/>
    <m/>
    <x v="15"/>
    <m/>
  </r>
  <r>
    <n v="556"/>
    <n v="55"/>
    <s v="Female"/>
    <s v="Heart Disease"/>
    <s v="Angioplasty"/>
    <n v="15000"/>
    <n v="42"/>
    <s v="Yes"/>
    <s v="Recovered"/>
    <n v="3"/>
    <x v="2"/>
    <m/>
    <m/>
    <x v="15"/>
    <m/>
  </r>
  <r>
    <n v="557"/>
    <n v="62"/>
    <s v="Male"/>
    <s v="Diabetes"/>
    <s v="Insulin Therapy"/>
    <n v="2000"/>
    <n v="40"/>
    <s v="No"/>
    <s v="Stable"/>
    <n v="4"/>
    <x v="2"/>
    <m/>
    <m/>
    <x v="15"/>
    <m/>
  </r>
  <r>
    <n v="558"/>
    <n v="35"/>
    <s v="Female"/>
    <s v="Fractured Arm"/>
    <s v="X-Ray and Splint"/>
    <n v="500"/>
    <n v="38"/>
    <s v="Yes"/>
    <s v="Recovered"/>
    <n v="5"/>
    <x v="2"/>
    <m/>
    <m/>
    <x v="15"/>
    <m/>
  </r>
  <r>
    <n v="559"/>
    <n v="78"/>
    <s v="Male"/>
    <s v="Stroke"/>
    <s v="CT Scan and Medication"/>
    <n v="10000"/>
    <n v="45"/>
    <s v="No"/>
    <s v="Stable"/>
    <n v="2"/>
    <x v="2"/>
    <m/>
    <m/>
    <x v="15"/>
    <m/>
  </r>
  <r>
    <n v="560"/>
    <n v="53"/>
    <s v="Female"/>
    <s v="Cancer"/>
    <s v="Surgery and Chemotherapy"/>
    <n v="25000"/>
    <n v="47"/>
    <s v="Yes"/>
    <s v="Recovered"/>
    <n v="4"/>
    <x v="2"/>
    <m/>
    <m/>
    <x v="15"/>
    <m/>
  </r>
  <r>
    <n v="561"/>
    <n v="72"/>
    <s v="Male"/>
    <s v="Hypertension"/>
    <s v="Medication and Counseling"/>
    <n v="1000"/>
    <n v="41"/>
    <s v="No"/>
    <s v="Stable"/>
    <n v="4"/>
    <x v="2"/>
    <m/>
    <m/>
    <x v="15"/>
    <m/>
  </r>
  <r>
    <n v="562"/>
    <n v="60"/>
    <s v="Female"/>
    <s v="Appendicitis"/>
    <s v="Appendectomy"/>
    <n v="8000"/>
    <n v="43"/>
    <s v="Yes"/>
    <s v="Recovered"/>
    <n v="3"/>
    <x v="2"/>
    <m/>
    <m/>
    <x v="15"/>
    <m/>
  </r>
  <r>
    <n v="563"/>
    <n v="45"/>
    <s v="Male"/>
    <s v="Fractured Leg"/>
    <s v="Cast and Physical Therapy"/>
    <n v="3000"/>
    <n v="43"/>
    <s v="No"/>
    <s v="Recovered"/>
    <n v="4"/>
    <x v="2"/>
    <m/>
    <m/>
    <x v="15"/>
    <m/>
  </r>
  <r>
    <n v="564"/>
    <n v="75"/>
    <s v="Female"/>
    <s v="Heart Attack"/>
    <s v="Cardiac Catheterization"/>
    <n v="18000"/>
    <n v="45"/>
    <s v="Yes"/>
    <s v="Stable"/>
    <n v="2"/>
    <x v="2"/>
    <m/>
    <m/>
    <x v="15"/>
    <m/>
  </r>
  <r>
    <n v="565"/>
    <n v="28"/>
    <s v="Male"/>
    <s v="Allergic Reaction"/>
    <s v="Epinephrine Injection"/>
    <n v="100"/>
    <n v="38"/>
    <s v="No"/>
    <s v="Recovered"/>
    <n v="5"/>
    <x v="2"/>
    <m/>
    <m/>
    <x v="15"/>
    <m/>
  </r>
  <r>
    <n v="566"/>
    <n v="52"/>
    <s v="Female"/>
    <s v="Respiratory Infection"/>
    <s v="Antibiotics and Rest"/>
    <n v="800"/>
    <n v="39"/>
    <s v="No"/>
    <s v="Stable"/>
    <n v="4"/>
    <x v="2"/>
    <m/>
    <m/>
    <x v="15"/>
    <m/>
  </r>
  <r>
    <n v="567"/>
    <n v="67"/>
    <s v="Male"/>
    <s v="Prostate Cancer"/>
    <s v="Radiation Therapy"/>
    <n v="20000"/>
    <n v="46"/>
    <s v="No"/>
    <s v="Recovered"/>
    <n v="3"/>
    <x v="2"/>
    <m/>
    <m/>
    <x v="15"/>
    <m/>
  </r>
  <r>
    <n v="568"/>
    <n v="35"/>
    <s v="Female"/>
    <s v="Childbirth"/>
    <s v="Delivery and Postnatal Care"/>
    <n v="12000"/>
    <n v="40"/>
    <s v="No"/>
    <s v="Recovered"/>
    <n v="4"/>
    <x v="2"/>
    <m/>
    <m/>
    <x v="15"/>
    <m/>
  </r>
  <r>
    <n v="569"/>
    <n v="50"/>
    <s v="Male"/>
    <s v="Kidney Stones"/>
    <s v="Lithotripsy"/>
    <n v="6000"/>
    <n v="41"/>
    <s v="No"/>
    <s v="Recovered"/>
    <n v="3"/>
    <x v="2"/>
    <m/>
    <m/>
    <x v="15"/>
    <m/>
  </r>
  <r>
    <n v="570"/>
    <n v="60"/>
    <s v="Female"/>
    <s v="Osteoarthritis"/>
    <s v="Physical Therapy and Pain Management"/>
    <n v="4000"/>
    <n v="42"/>
    <s v="No"/>
    <s v="Stable"/>
    <n v="4"/>
    <x v="2"/>
    <m/>
    <m/>
    <x v="15"/>
    <m/>
  </r>
  <r>
    <n v="571"/>
    <n v="48"/>
    <s v="Female"/>
    <s v="Heart Disease"/>
    <s v="Angioplasty"/>
    <n v="15000"/>
    <n v="43"/>
    <s v="Yes"/>
    <s v="Recovered"/>
    <n v="4"/>
    <x v="2"/>
    <m/>
    <m/>
    <x v="15"/>
    <m/>
  </r>
  <r>
    <n v="572"/>
    <n v="65"/>
    <s v="Male"/>
    <s v="Diabetes"/>
    <s v="Insulin Therapy"/>
    <n v="2000"/>
    <n v="41"/>
    <s v="No"/>
    <s v="Stable"/>
    <n v="3"/>
    <x v="2"/>
    <m/>
    <m/>
    <x v="15"/>
    <m/>
  </r>
  <r>
    <n v="573"/>
    <n v="30"/>
    <s v="Female"/>
    <s v="Fractured Arm"/>
    <s v="X-Ray and Splint"/>
    <n v="500"/>
    <n v="39"/>
    <s v="No"/>
    <s v="Recovered"/>
    <n v="5"/>
    <x v="2"/>
    <m/>
    <m/>
    <x v="15"/>
    <m/>
  </r>
  <r>
    <n v="574"/>
    <n v="70"/>
    <s v="Male"/>
    <s v="Stroke"/>
    <s v="CT Scan and Medication"/>
    <n v="10000"/>
    <n v="46"/>
    <s v="Yes"/>
    <s v="Stable"/>
    <n v="2"/>
    <x v="2"/>
    <m/>
    <m/>
    <x v="15"/>
    <m/>
  </r>
  <r>
    <n v="575"/>
    <n v="55"/>
    <s v="Female"/>
    <s v="Cancer"/>
    <s v="Surgery and Chemotherapy"/>
    <n v="25000"/>
    <n v="48"/>
    <s v="No"/>
    <s v="Recovered"/>
    <n v="4"/>
    <x v="2"/>
    <m/>
    <m/>
    <x v="15"/>
    <m/>
  </r>
  <r>
    <n v="576"/>
    <n v="68"/>
    <s v="Male"/>
    <s v="Hypertension"/>
    <s v="Medication and Counseling"/>
    <n v="1000"/>
    <n v="42"/>
    <s v="No"/>
    <s v="Stable"/>
    <n v="4"/>
    <x v="2"/>
    <m/>
    <m/>
    <x v="15"/>
    <m/>
  </r>
  <r>
    <n v="577"/>
    <n v="45"/>
    <s v="Female"/>
    <s v="Appendicitis"/>
    <s v="Appendectomy"/>
    <n v="8000"/>
    <n v="44"/>
    <s v="No"/>
    <s v="Recovered"/>
    <n v="3"/>
    <x v="2"/>
    <m/>
    <m/>
    <x v="15"/>
    <m/>
  </r>
  <r>
    <n v="578"/>
    <n v="40"/>
    <s v="Male"/>
    <s v="Fractured Leg"/>
    <s v="Cast and Physical Therapy"/>
    <n v="3000"/>
    <n v="44"/>
    <s v="No"/>
    <s v="Recovered"/>
    <n v="4"/>
    <x v="2"/>
    <m/>
    <m/>
    <x v="15"/>
    <m/>
  </r>
  <r>
    <n v="579"/>
    <n v="78"/>
    <s v="Female"/>
    <s v="Heart Attack"/>
    <s v="Cardiac Catheterization"/>
    <n v="18000"/>
    <n v="46"/>
    <s v="Yes"/>
    <s v="Stable"/>
    <n v="2"/>
    <x v="2"/>
    <m/>
    <m/>
    <x v="15"/>
    <m/>
  </r>
  <r>
    <n v="580"/>
    <n v="25"/>
    <s v="Male"/>
    <s v="Allergic Reaction"/>
    <s v="Epinephrine Injection"/>
    <n v="100"/>
    <n v="39"/>
    <s v="No"/>
    <s v="Recovered"/>
    <n v="5"/>
    <x v="2"/>
    <m/>
    <m/>
    <x v="15"/>
    <m/>
  </r>
  <r>
    <n v="581"/>
    <n v="52"/>
    <s v="Female"/>
    <s v="Respiratory Infection"/>
    <s v="Antibiotics and Rest"/>
    <n v="800"/>
    <n v="40"/>
    <s v="No"/>
    <s v="Stable"/>
    <n v="4"/>
    <x v="2"/>
    <m/>
    <m/>
    <x v="15"/>
    <m/>
  </r>
  <r>
    <n v="582"/>
    <n v="58"/>
    <s v="Male"/>
    <s v="Prostate Cancer"/>
    <s v="Radiation Therapy"/>
    <n v="20000"/>
    <n v="47"/>
    <s v="No"/>
    <s v="Recovered"/>
    <n v="3"/>
    <x v="2"/>
    <m/>
    <m/>
    <x v="15"/>
    <m/>
  </r>
  <r>
    <n v="583"/>
    <n v="32"/>
    <s v="Female"/>
    <s v="Childbirth"/>
    <s v="Delivery and Postnatal Care"/>
    <n v="12000"/>
    <n v="41"/>
    <s v="No"/>
    <s v="Recovered"/>
    <n v="4"/>
    <x v="2"/>
    <m/>
    <m/>
    <x v="15"/>
    <m/>
  </r>
  <r>
    <n v="584"/>
    <n v="55"/>
    <s v="Male"/>
    <s v="Kidney Stones"/>
    <s v="Lithotripsy"/>
    <n v="6000"/>
    <n v="42"/>
    <s v="No"/>
    <s v="Recovered"/>
    <n v="3"/>
    <x v="2"/>
    <m/>
    <m/>
    <x v="15"/>
    <m/>
  </r>
  <r>
    <n v="585"/>
    <n v="65"/>
    <s v="Female"/>
    <s v="Osteoarthritis"/>
    <s v="Physical Therapy and Pain Management"/>
    <n v="4000"/>
    <n v="43"/>
    <s v="No"/>
    <s v="Stable"/>
    <n v="4"/>
    <x v="2"/>
    <m/>
    <m/>
    <x v="15"/>
    <m/>
  </r>
  <r>
    <n v="586"/>
    <n v="55"/>
    <s v="Female"/>
    <s v="Heart Disease"/>
    <s v="Angioplasty"/>
    <n v="15000"/>
    <n v="44"/>
    <s v="Yes"/>
    <s v="Recovered"/>
    <n v="3"/>
    <x v="2"/>
    <m/>
    <m/>
    <x v="15"/>
    <m/>
  </r>
  <r>
    <n v="587"/>
    <n v="62"/>
    <s v="Male"/>
    <s v="Diabetes"/>
    <s v="Insulin Therapy"/>
    <n v="2000"/>
    <n v="42"/>
    <s v="No"/>
    <s v="Stable"/>
    <n v="4"/>
    <x v="2"/>
    <m/>
    <m/>
    <x v="15"/>
    <m/>
  </r>
  <r>
    <n v="588"/>
    <n v="35"/>
    <s v="Female"/>
    <s v="Fractured Arm"/>
    <s v="X-Ray and Splint"/>
    <n v="500"/>
    <n v="40"/>
    <s v="Yes"/>
    <s v="Recovered"/>
    <n v="5"/>
    <x v="2"/>
    <m/>
    <m/>
    <x v="15"/>
    <m/>
  </r>
  <r>
    <n v="589"/>
    <n v="78"/>
    <s v="Male"/>
    <s v="Stroke"/>
    <s v="CT Scan and Medication"/>
    <n v="10000"/>
    <n v="47"/>
    <s v="No"/>
    <s v="Stable"/>
    <n v="2"/>
    <x v="2"/>
    <m/>
    <m/>
    <x v="15"/>
    <m/>
  </r>
  <r>
    <n v="590"/>
    <n v="53"/>
    <s v="Female"/>
    <s v="Cancer"/>
    <s v="Surgery and Chemotherapy"/>
    <n v="25000"/>
    <n v="49"/>
    <s v="Yes"/>
    <s v="Recovered"/>
    <n v="4"/>
    <x v="2"/>
    <m/>
    <m/>
    <x v="15"/>
    <m/>
  </r>
  <r>
    <n v="591"/>
    <n v="72"/>
    <s v="Male"/>
    <s v="Hypertension"/>
    <s v="Medication and Counseling"/>
    <n v="1000"/>
    <n v="43"/>
    <s v="No"/>
    <s v="Stable"/>
    <n v="4"/>
    <x v="2"/>
    <m/>
    <m/>
    <x v="15"/>
    <m/>
  </r>
  <r>
    <n v="592"/>
    <n v="60"/>
    <s v="Female"/>
    <s v="Appendicitis"/>
    <s v="Appendectomy"/>
    <n v="8000"/>
    <n v="45"/>
    <s v="Yes"/>
    <s v="Recovered"/>
    <n v="3"/>
    <x v="2"/>
    <m/>
    <m/>
    <x v="15"/>
    <m/>
  </r>
  <r>
    <n v="593"/>
    <n v="45"/>
    <s v="Male"/>
    <s v="Fractured Leg"/>
    <s v="Cast and Physical Therapy"/>
    <n v="3000"/>
    <n v="45"/>
    <s v="No"/>
    <s v="Recovered"/>
    <n v="4"/>
    <x v="2"/>
    <m/>
    <m/>
    <x v="15"/>
    <m/>
  </r>
  <r>
    <n v="594"/>
    <n v="75"/>
    <s v="Female"/>
    <s v="Heart Attack"/>
    <s v="Cardiac Catheterization"/>
    <n v="18000"/>
    <n v="47"/>
    <s v="Yes"/>
    <s v="Stable"/>
    <n v="2"/>
    <x v="2"/>
    <m/>
    <m/>
    <x v="15"/>
    <m/>
  </r>
  <r>
    <n v="595"/>
    <n v="28"/>
    <s v="Male"/>
    <s v="Allergic Reaction"/>
    <s v="Epinephrine Injection"/>
    <n v="100"/>
    <n v="40"/>
    <s v="No"/>
    <s v="Recovered"/>
    <n v="5"/>
    <x v="2"/>
    <m/>
    <m/>
    <x v="15"/>
    <m/>
  </r>
  <r>
    <n v="596"/>
    <n v="52"/>
    <s v="Female"/>
    <s v="Respiratory Infection"/>
    <s v="Antibiotics and Rest"/>
    <n v="800"/>
    <n v="41"/>
    <s v="No"/>
    <s v="Stable"/>
    <n v="4"/>
    <x v="2"/>
    <m/>
    <m/>
    <x v="15"/>
    <m/>
  </r>
  <r>
    <n v="597"/>
    <n v="67"/>
    <s v="Male"/>
    <s v="Prostate Cancer"/>
    <s v="Radiation Therapy"/>
    <n v="20000"/>
    <n v="48"/>
    <s v="No"/>
    <s v="Recovered"/>
    <n v="3"/>
    <x v="2"/>
    <m/>
    <m/>
    <x v="15"/>
    <m/>
  </r>
  <r>
    <n v="598"/>
    <n v="35"/>
    <s v="Female"/>
    <s v="Childbirth"/>
    <s v="Delivery and Postnatal Care"/>
    <n v="12000"/>
    <n v="42"/>
    <s v="No"/>
    <s v="Recovered"/>
    <n v="4"/>
    <x v="2"/>
    <m/>
    <m/>
    <x v="15"/>
    <m/>
  </r>
  <r>
    <n v="599"/>
    <n v="50"/>
    <s v="Male"/>
    <s v="Kidney Stones"/>
    <s v="Lithotripsy"/>
    <n v="6000"/>
    <n v="43"/>
    <s v="No"/>
    <s v="Recovered"/>
    <n v="3"/>
    <x v="2"/>
    <m/>
    <m/>
    <x v="15"/>
    <m/>
  </r>
  <r>
    <n v="601"/>
    <n v="48"/>
    <s v="Female"/>
    <s v="Heart Disease"/>
    <s v="Angioplasty"/>
    <n v="15000"/>
    <n v="45"/>
    <s v="Yes"/>
    <s v="Recovered"/>
    <n v="4"/>
    <x v="2"/>
    <m/>
    <m/>
    <x v="15"/>
    <m/>
  </r>
  <r>
    <n v="602"/>
    <n v="65"/>
    <s v="Male"/>
    <s v="Diabetes"/>
    <s v="Insulin Therapy"/>
    <n v="2000"/>
    <n v="43"/>
    <s v="No"/>
    <s v="Stable"/>
    <n v="3"/>
    <x v="2"/>
    <m/>
    <m/>
    <x v="15"/>
    <m/>
  </r>
  <r>
    <n v="603"/>
    <n v="30"/>
    <s v="Female"/>
    <s v="Fractured Arm"/>
    <s v="X-Ray and Splint"/>
    <n v="500"/>
    <n v="41"/>
    <s v="No"/>
    <s v="Recovered"/>
    <n v="5"/>
    <x v="2"/>
    <m/>
    <m/>
    <x v="15"/>
    <m/>
  </r>
  <r>
    <n v="604"/>
    <n v="70"/>
    <s v="Male"/>
    <s v="Stroke"/>
    <s v="CT Scan and Medication"/>
    <n v="10000"/>
    <n v="48"/>
    <s v="Yes"/>
    <s v="Stable"/>
    <n v="2"/>
    <x v="2"/>
    <m/>
    <m/>
    <x v="15"/>
    <m/>
  </r>
  <r>
    <n v="605"/>
    <n v="55"/>
    <s v="Female"/>
    <s v="Cancer"/>
    <s v="Surgery and Chemotherapy"/>
    <n v="25000"/>
    <n v="50"/>
    <s v="No"/>
    <s v="Recovered"/>
    <n v="4"/>
    <x v="2"/>
    <m/>
    <m/>
    <x v="15"/>
    <m/>
  </r>
  <r>
    <n v="606"/>
    <n v="68"/>
    <s v="Male"/>
    <s v="Hypertension"/>
    <s v="Medication and Counseling"/>
    <n v="1000"/>
    <n v="44"/>
    <s v="No"/>
    <s v="Stable"/>
    <n v="4"/>
    <x v="2"/>
    <m/>
    <m/>
    <x v="15"/>
    <m/>
  </r>
  <r>
    <n v="607"/>
    <n v="45"/>
    <s v="Female"/>
    <s v="Appendicitis"/>
    <s v="Appendectomy"/>
    <n v="8000"/>
    <n v="46"/>
    <s v="No"/>
    <s v="Recovered"/>
    <n v="3"/>
    <x v="2"/>
    <m/>
    <m/>
    <x v="15"/>
    <m/>
  </r>
  <r>
    <n v="608"/>
    <n v="40"/>
    <s v="Male"/>
    <s v="Fractured Leg"/>
    <s v="Cast and Physical Therapy"/>
    <n v="3000"/>
    <n v="46"/>
    <s v="No"/>
    <s v="Recovered"/>
    <n v="4"/>
    <x v="2"/>
    <m/>
    <m/>
    <x v="15"/>
    <m/>
  </r>
  <r>
    <n v="609"/>
    <n v="78"/>
    <s v="Female"/>
    <s v="Heart Attack"/>
    <s v="Cardiac Catheterization"/>
    <n v="18000"/>
    <n v="48"/>
    <s v="Yes"/>
    <s v="Stable"/>
    <n v="2"/>
    <x v="2"/>
    <m/>
    <m/>
    <x v="15"/>
    <m/>
  </r>
  <r>
    <n v="610"/>
    <n v="25"/>
    <s v="Male"/>
    <s v="Allergic Reaction"/>
    <s v="Epinephrine Injection"/>
    <n v="100"/>
    <n v="41"/>
    <s v="No"/>
    <s v="Recovered"/>
    <n v="5"/>
    <x v="2"/>
    <m/>
    <m/>
    <x v="15"/>
    <m/>
  </r>
  <r>
    <n v="611"/>
    <n v="52"/>
    <s v="Female"/>
    <s v="Respiratory Infection"/>
    <s v="Antibiotics and Rest"/>
    <n v="800"/>
    <n v="42"/>
    <s v="No"/>
    <s v="Stable"/>
    <n v="4"/>
    <x v="2"/>
    <m/>
    <m/>
    <x v="15"/>
    <m/>
  </r>
  <r>
    <n v="612"/>
    <n v="58"/>
    <s v="Male"/>
    <s v="Prostate Cancer"/>
    <s v="Radiation Therapy"/>
    <n v="20000"/>
    <n v="49"/>
    <s v="No"/>
    <s v="Recovered"/>
    <n v="3"/>
    <x v="2"/>
    <m/>
    <m/>
    <x v="15"/>
    <m/>
  </r>
  <r>
    <n v="613"/>
    <n v="32"/>
    <s v="Female"/>
    <s v="Childbirth"/>
    <s v="Delivery and Postnatal Care"/>
    <n v="12000"/>
    <n v="43"/>
    <s v="No"/>
    <s v="Recovered"/>
    <n v="4"/>
    <x v="2"/>
    <m/>
    <m/>
    <x v="15"/>
    <m/>
  </r>
  <r>
    <n v="614"/>
    <n v="55"/>
    <s v="Male"/>
    <s v="Kidney Stones"/>
    <s v="Lithotripsy"/>
    <n v="6000"/>
    <n v="44"/>
    <s v="No"/>
    <s v="Recovered"/>
    <n v="3"/>
    <x v="2"/>
    <m/>
    <m/>
    <x v="15"/>
    <m/>
  </r>
  <r>
    <n v="615"/>
    <n v="65"/>
    <s v="Female"/>
    <s v="Osteoarthritis"/>
    <s v="Physical Therapy and Pain Management"/>
    <n v="4000"/>
    <n v="45"/>
    <s v="No"/>
    <s v="Stable"/>
    <n v="4"/>
    <x v="2"/>
    <m/>
    <m/>
    <x v="15"/>
    <m/>
  </r>
  <r>
    <n v="616"/>
    <n v="55"/>
    <s v="Female"/>
    <s v="Heart Disease"/>
    <s v="Angioplasty"/>
    <n v="15000"/>
    <n v="46"/>
    <s v="Yes"/>
    <s v="Recovered"/>
    <n v="3"/>
    <x v="2"/>
    <m/>
    <m/>
    <x v="15"/>
    <m/>
  </r>
  <r>
    <n v="617"/>
    <n v="62"/>
    <s v="Male"/>
    <s v="Diabetes"/>
    <s v="Insulin Therapy"/>
    <n v="2000"/>
    <n v="44"/>
    <s v="No"/>
    <s v="Stable"/>
    <n v="4"/>
    <x v="2"/>
    <m/>
    <m/>
    <x v="15"/>
    <m/>
  </r>
  <r>
    <n v="618"/>
    <n v="35"/>
    <s v="Female"/>
    <s v="Fractured Arm"/>
    <s v="X-Ray and Splint"/>
    <n v="500"/>
    <n v="42"/>
    <s v="Yes"/>
    <s v="Recovered"/>
    <n v="5"/>
    <x v="2"/>
    <m/>
    <m/>
    <x v="15"/>
    <m/>
  </r>
  <r>
    <n v="619"/>
    <n v="78"/>
    <s v="Male"/>
    <s v="Stroke"/>
    <s v="CT Scan and Medication"/>
    <n v="10000"/>
    <n v="49"/>
    <s v="No"/>
    <s v="Stable"/>
    <n v="2"/>
    <x v="2"/>
    <m/>
    <m/>
    <x v="15"/>
    <m/>
  </r>
  <r>
    <n v="620"/>
    <n v="53"/>
    <s v="Female"/>
    <s v="Cancer"/>
    <s v="Surgery and Chemotherapy"/>
    <n v="25000"/>
    <n v="51"/>
    <s v="Yes"/>
    <s v="Recovered"/>
    <n v="4"/>
    <x v="2"/>
    <m/>
    <m/>
    <x v="15"/>
    <m/>
  </r>
  <r>
    <n v="621"/>
    <n v="72"/>
    <s v="Male"/>
    <s v="Hypertension"/>
    <s v="Medication and Counseling"/>
    <n v="1000"/>
    <n v="45"/>
    <s v="No"/>
    <s v="Stable"/>
    <n v="4"/>
    <x v="2"/>
    <m/>
    <m/>
    <x v="15"/>
    <m/>
  </r>
  <r>
    <n v="622"/>
    <n v="60"/>
    <s v="Female"/>
    <s v="Appendicitis"/>
    <s v="Appendectomy"/>
    <n v="8000"/>
    <n v="47"/>
    <s v="Yes"/>
    <s v="Recovered"/>
    <n v="3"/>
    <x v="2"/>
    <m/>
    <m/>
    <x v="15"/>
    <m/>
  </r>
  <r>
    <n v="623"/>
    <n v="45"/>
    <s v="Male"/>
    <s v="Fractured Leg"/>
    <s v="Cast and Physical Therapy"/>
    <n v="3000"/>
    <n v="47"/>
    <s v="No"/>
    <s v="Recovered"/>
    <n v="4"/>
    <x v="2"/>
    <m/>
    <m/>
    <x v="15"/>
    <m/>
  </r>
  <r>
    <n v="624"/>
    <n v="75"/>
    <s v="Female"/>
    <s v="Heart Attack"/>
    <s v="Cardiac Catheterization"/>
    <n v="18000"/>
    <n v="49"/>
    <s v="Yes"/>
    <s v="Stable"/>
    <n v="2"/>
    <x v="2"/>
    <m/>
    <m/>
    <x v="15"/>
    <m/>
  </r>
  <r>
    <n v="625"/>
    <n v="28"/>
    <s v="Male"/>
    <s v="Allergic Reaction"/>
    <s v="Epinephrine Injection"/>
    <n v="100"/>
    <n v="42"/>
    <s v="No"/>
    <s v="Recovered"/>
    <n v="5"/>
    <x v="2"/>
    <m/>
    <m/>
    <x v="15"/>
    <m/>
  </r>
  <r>
    <n v="626"/>
    <n v="52"/>
    <s v="Female"/>
    <s v="Respiratory Infection"/>
    <s v="Antibiotics and Rest"/>
    <n v="800"/>
    <n v="43"/>
    <s v="No"/>
    <s v="Stable"/>
    <n v="4"/>
    <x v="2"/>
    <m/>
    <m/>
    <x v="15"/>
    <m/>
  </r>
  <r>
    <n v="627"/>
    <n v="67"/>
    <s v="Male"/>
    <s v="Prostate Cancer"/>
    <s v="Radiation Therapy"/>
    <n v="20000"/>
    <n v="50"/>
    <s v="No"/>
    <s v="Recovered"/>
    <n v="3"/>
    <x v="2"/>
    <m/>
    <m/>
    <x v="15"/>
    <m/>
  </r>
  <r>
    <n v="628"/>
    <n v="35"/>
    <s v="Female"/>
    <s v="Childbirth"/>
    <s v="Delivery and Postnatal Care"/>
    <n v="12000"/>
    <n v="44"/>
    <s v="No"/>
    <s v="Recovered"/>
    <n v="4"/>
    <x v="2"/>
    <m/>
    <m/>
    <x v="15"/>
    <m/>
  </r>
  <r>
    <n v="629"/>
    <n v="50"/>
    <s v="Male"/>
    <s v="Kidney Stones"/>
    <s v="Lithotripsy"/>
    <n v="6000"/>
    <n v="45"/>
    <s v="No"/>
    <s v="Recovered"/>
    <n v="3"/>
    <x v="2"/>
    <m/>
    <m/>
    <x v="15"/>
    <m/>
  </r>
  <r>
    <n v="630"/>
    <n v="60"/>
    <s v="Female"/>
    <s v="Osteoarthritis"/>
    <s v="Physical Therapy and Pain Management"/>
    <n v="4000"/>
    <n v="46"/>
    <s v="No"/>
    <s v="Stable"/>
    <n v="4"/>
    <x v="2"/>
    <m/>
    <m/>
    <x v="15"/>
    <m/>
  </r>
  <r>
    <n v="631"/>
    <n v="48"/>
    <s v="Female"/>
    <s v="Heart Disease"/>
    <s v="Angioplasty"/>
    <n v="15000"/>
    <n v="47"/>
    <s v="Yes"/>
    <s v="Recovered"/>
    <n v="4"/>
    <x v="2"/>
    <m/>
    <m/>
    <x v="15"/>
    <m/>
  </r>
  <r>
    <n v="632"/>
    <n v="65"/>
    <s v="Male"/>
    <s v="Diabetes"/>
    <s v="Insulin Therapy"/>
    <n v="2000"/>
    <n v="45"/>
    <s v="No"/>
    <s v="Stable"/>
    <n v="3"/>
    <x v="2"/>
    <m/>
    <m/>
    <x v="15"/>
    <m/>
  </r>
  <r>
    <n v="633"/>
    <n v="30"/>
    <s v="Female"/>
    <s v="Fractured Arm"/>
    <s v="X-Ray and Splint"/>
    <n v="500"/>
    <n v="43"/>
    <s v="No"/>
    <s v="Recovered"/>
    <n v="5"/>
    <x v="2"/>
    <m/>
    <m/>
    <x v="15"/>
    <m/>
  </r>
  <r>
    <n v="634"/>
    <n v="70"/>
    <s v="Male"/>
    <s v="Stroke"/>
    <s v="CT Scan and Medication"/>
    <n v="10000"/>
    <n v="50"/>
    <s v="Yes"/>
    <s v="Stable"/>
    <n v="2"/>
    <x v="2"/>
    <m/>
    <m/>
    <x v="15"/>
    <m/>
  </r>
  <r>
    <n v="635"/>
    <n v="55"/>
    <s v="Female"/>
    <s v="Cancer"/>
    <s v="Surgery and Chemotherapy"/>
    <n v="25000"/>
    <n v="52"/>
    <s v="No"/>
    <s v="Recovered"/>
    <n v="4"/>
    <x v="2"/>
    <m/>
    <m/>
    <x v="15"/>
    <m/>
  </r>
  <r>
    <n v="636"/>
    <n v="68"/>
    <s v="Male"/>
    <s v="Hypertension"/>
    <s v="Medication and Counseling"/>
    <n v="1000"/>
    <n v="46"/>
    <s v="No"/>
    <s v="Stable"/>
    <n v="4"/>
    <x v="2"/>
    <m/>
    <m/>
    <x v="15"/>
    <m/>
  </r>
  <r>
    <n v="637"/>
    <n v="45"/>
    <s v="Female"/>
    <s v="Appendicitis"/>
    <s v="Appendectomy"/>
    <n v="8000"/>
    <n v="48"/>
    <s v="No"/>
    <s v="Recovered"/>
    <n v="3"/>
    <x v="2"/>
    <m/>
    <m/>
    <x v="15"/>
    <m/>
  </r>
  <r>
    <n v="638"/>
    <n v="40"/>
    <s v="Male"/>
    <s v="Fractured Leg"/>
    <s v="Cast and Physical Therapy"/>
    <n v="3000"/>
    <n v="48"/>
    <s v="No"/>
    <s v="Recovered"/>
    <n v="4"/>
    <x v="2"/>
    <m/>
    <m/>
    <x v="15"/>
    <m/>
  </r>
  <r>
    <n v="639"/>
    <n v="78"/>
    <s v="Female"/>
    <s v="Heart Attack"/>
    <s v="Cardiac Catheterization"/>
    <n v="18000"/>
    <n v="50"/>
    <s v="Yes"/>
    <s v="Stable"/>
    <n v="2"/>
    <x v="2"/>
    <m/>
    <m/>
    <x v="15"/>
    <m/>
  </r>
  <r>
    <n v="640"/>
    <n v="25"/>
    <s v="Male"/>
    <s v="Allergic Reaction"/>
    <s v="Epinephrine Injection"/>
    <n v="100"/>
    <n v="43"/>
    <s v="No"/>
    <s v="Recovered"/>
    <n v="5"/>
    <x v="2"/>
    <m/>
    <m/>
    <x v="15"/>
    <m/>
  </r>
  <r>
    <n v="641"/>
    <n v="52"/>
    <s v="Female"/>
    <s v="Respiratory Infection"/>
    <s v="Antibiotics and Rest"/>
    <n v="800"/>
    <n v="44"/>
    <s v="No"/>
    <s v="Stable"/>
    <n v="4"/>
    <x v="2"/>
    <m/>
    <m/>
    <x v="15"/>
    <m/>
  </r>
  <r>
    <n v="642"/>
    <n v="58"/>
    <s v="Male"/>
    <s v="Prostate Cancer"/>
    <s v="Radiation Therapy"/>
    <n v="20000"/>
    <n v="51"/>
    <s v="No"/>
    <s v="Recovered"/>
    <n v="3"/>
    <x v="2"/>
    <m/>
    <m/>
    <x v="15"/>
    <m/>
  </r>
  <r>
    <n v="643"/>
    <n v="32"/>
    <s v="Female"/>
    <s v="Childbirth"/>
    <s v="Delivery and Postnatal Care"/>
    <n v="12000"/>
    <n v="45"/>
    <s v="No"/>
    <s v="Recovered"/>
    <n v="4"/>
    <x v="2"/>
    <m/>
    <m/>
    <x v="15"/>
    <m/>
  </r>
  <r>
    <n v="644"/>
    <n v="55"/>
    <s v="Male"/>
    <s v="Kidney Stones"/>
    <s v="Lithotripsy"/>
    <n v="6000"/>
    <n v="46"/>
    <s v="No"/>
    <s v="Recovered"/>
    <n v="3"/>
    <x v="2"/>
    <m/>
    <m/>
    <x v="15"/>
    <m/>
  </r>
  <r>
    <n v="645"/>
    <n v="65"/>
    <s v="Female"/>
    <s v="Osteoarthritis"/>
    <s v="Physical Therapy and Pain Management"/>
    <n v="4000"/>
    <n v="47"/>
    <s v="No"/>
    <s v="Stable"/>
    <n v="4"/>
    <x v="2"/>
    <m/>
    <m/>
    <x v="15"/>
    <m/>
  </r>
  <r>
    <n v="646"/>
    <n v="55"/>
    <s v="Female"/>
    <s v="Heart Disease"/>
    <s v="Angioplasty"/>
    <n v="15000"/>
    <n v="48"/>
    <s v="Yes"/>
    <s v="Recovered"/>
    <n v="3"/>
    <x v="2"/>
    <m/>
    <m/>
    <x v="15"/>
    <m/>
  </r>
  <r>
    <n v="647"/>
    <n v="62"/>
    <s v="Male"/>
    <s v="Diabetes"/>
    <s v="Insulin Therapy"/>
    <n v="2000"/>
    <n v="46"/>
    <s v="No"/>
    <s v="Stable"/>
    <n v="4"/>
    <x v="2"/>
    <m/>
    <m/>
    <x v="15"/>
    <m/>
  </r>
  <r>
    <n v="648"/>
    <n v="35"/>
    <s v="Female"/>
    <s v="Fractured Arm"/>
    <s v="X-Ray and Splint"/>
    <n v="500"/>
    <n v="44"/>
    <s v="Yes"/>
    <s v="Recovered"/>
    <n v="5"/>
    <x v="2"/>
    <m/>
    <m/>
    <x v="15"/>
    <m/>
  </r>
  <r>
    <n v="649"/>
    <n v="78"/>
    <s v="Male"/>
    <s v="Stroke"/>
    <s v="CT Scan and Medication"/>
    <n v="10000"/>
    <n v="51"/>
    <s v="No"/>
    <s v="Stable"/>
    <n v="2"/>
    <x v="2"/>
    <m/>
    <m/>
    <x v="15"/>
    <m/>
  </r>
  <r>
    <n v="650"/>
    <n v="53"/>
    <s v="Female"/>
    <s v="Cancer"/>
    <s v="Surgery and Chemotherapy"/>
    <n v="25000"/>
    <n v="53"/>
    <s v="Yes"/>
    <s v="Recovered"/>
    <n v="4"/>
    <x v="2"/>
    <m/>
    <m/>
    <x v="15"/>
    <m/>
  </r>
  <r>
    <n v="651"/>
    <n v="72"/>
    <s v="Male"/>
    <s v="Hypertension"/>
    <s v="Medication and Counseling"/>
    <n v="1000"/>
    <n v="47"/>
    <s v="No"/>
    <s v="Stable"/>
    <n v="4"/>
    <x v="2"/>
    <m/>
    <m/>
    <x v="15"/>
    <m/>
  </r>
  <r>
    <n v="652"/>
    <n v="60"/>
    <s v="Female"/>
    <s v="Appendicitis"/>
    <s v="Appendectomy"/>
    <n v="8000"/>
    <n v="49"/>
    <s v="Yes"/>
    <s v="Recovered"/>
    <n v="3"/>
    <x v="2"/>
    <m/>
    <m/>
    <x v="15"/>
    <m/>
  </r>
  <r>
    <n v="653"/>
    <n v="45"/>
    <s v="Male"/>
    <s v="Fractured Leg"/>
    <s v="Cast and Physical Therapy"/>
    <n v="3000"/>
    <n v="49"/>
    <s v="No"/>
    <s v="Recovered"/>
    <n v="4"/>
    <x v="2"/>
    <m/>
    <m/>
    <x v="15"/>
    <m/>
  </r>
  <r>
    <n v="654"/>
    <n v="75"/>
    <s v="Female"/>
    <s v="Heart Attack"/>
    <s v="Cardiac Catheterization"/>
    <n v="18000"/>
    <n v="51"/>
    <s v="Yes"/>
    <s v="Stable"/>
    <n v="2"/>
    <x v="2"/>
    <m/>
    <m/>
    <x v="15"/>
    <m/>
  </r>
  <r>
    <n v="655"/>
    <n v="28"/>
    <s v="Male"/>
    <s v="Allergic Reaction"/>
    <s v="Epinephrine Injection"/>
    <n v="100"/>
    <n v="44"/>
    <s v="No"/>
    <s v="Recovered"/>
    <n v="5"/>
    <x v="2"/>
    <m/>
    <m/>
    <x v="15"/>
    <m/>
  </r>
  <r>
    <n v="656"/>
    <n v="52"/>
    <s v="Female"/>
    <s v="Respiratory Infection"/>
    <s v="Antibiotics and Rest"/>
    <n v="800"/>
    <n v="45"/>
    <s v="No"/>
    <s v="Stable"/>
    <n v="4"/>
    <x v="2"/>
    <m/>
    <m/>
    <x v="15"/>
    <m/>
  </r>
  <r>
    <n v="657"/>
    <n v="67"/>
    <s v="Male"/>
    <s v="Prostate Cancer"/>
    <s v="Radiation Therapy"/>
    <n v="20000"/>
    <n v="52"/>
    <s v="No"/>
    <s v="Recovered"/>
    <n v="3"/>
    <x v="2"/>
    <m/>
    <m/>
    <x v="15"/>
    <m/>
  </r>
  <r>
    <n v="658"/>
    <n v="35"/>
    <s v="Female"/>
    <s v="Childbirth"/>
    <s v="Delivery and Postnatal Care"/>
    <n v="12000"/>
    <n v="46"/>
    <s v="No"/>
    <s v="Recovered"/>
    <n v="4"/>
    <x v="2"/>
    <m/>
    <m/>
    <x v="15"/>
    <m/>
  </r>
  <r>
    <n v="659"/>
    <n v="50"/>
    <s v="Male"/>
    <s v="Kidney Stones"/>
    <s v="Lithotripsy"/>
    <n v="6000"/>
    <n v="47"/>
    <s v="No"/>
    <s v="Recovered"/>
    <n v="3"/>
    <x v="2"/>
    <m/>
    <m/>
    <x v="15"/>
    <m/>
  </r>
  <r>
    <n v="660"/>
    <n v="60"/>
    <s v="Female"/>
    <s v="Osteoarthritis"/>
    <s v="Physical Therapy and Pain Management"/>
    <n v="4000"/>
    <n v="48"/>
    <s v="No"/>
    <s v="Stable"/>
    <n v="4"/>
    <x v="2"/>
    <m/>
    <m/>
    <x v="15"/>
    <m/>
  </r>
  <r>
    <n v="662"/>
    <n v="65"/>
    <s v="Male"/>
    <s v="Diabetes"/>
    <s v="Insulin Therapy"/>
    <n v="2000"/>
    <n v="47"/>
    <s v="No"/>
    <s v="Stable"/>
    <n v="3"/>
    <x v="2"/>
    <m/>
    <m/>
    <x v="15"/>
    <m/>
  </r>
  <r>
    <n v="663"/>
    <n v="30"/>
    <s v="Female"/>
    <s v="Fractured Arm"/>
    <s v="X-Ray and Splint"/>
    <n v="500"/>
    <n v="45"/>
    <s v="No"/>
    <s v="Recovered"/>
    <n v="5"/>
    <x v="2"/>
    <m/>
    <m/>
    <x v="15"/>
    <m/>
  </r>
  <r>
    <n v="664"/>
    <n v="70"/>
    <s v="Male"/>
    <s v="Stroke"/>
    <s v="CT Scan and Medication"/>
    <n v="10000"/>
    <n v="52"/>
    <s v="Yes"/>
    <s v="Stable"/>
    <n v="2"/>
    <x v="2"/>
    <m/>
    <m/>
    <x v="15"/>
    <m/>
  </r>
  <r>
    <n v="665"/>
    <n v="55"/>
    <s v="Female"/>
    <s v="Cancer"/>
    <s v="Surgery and Chemotherapy"/>
    <n v="25000"/>
    <n v="54"/>
    <s v="No"/>
    <s v="Recovered"/>
    <n v="4"/>
    <x v="2"/>
    <m/>
    <m/>
    <x v="15"/>
    <m/>
  </r>
  <r>
    <n v="666"/>
    <n v="68"/>
    <s v="Male"/>
    <s v="Hypertension"/>
    <s v="Medication and Counseling"/>
    <n v="1000"/>
    <n v="48"/>
    <s v="No"/>
    <s v="Stable"/>
    <n v="4"/>
    <x v="2"/>
    <m/>
    <m/>
    <x v="15"/>
    <m/>
  </r>
  <r>
    <n v="667"/>
    <n v="45"/>
    <s v="Female"/>
    <s v="Appendicitis"/>
    <s v="Appendectomy"/>
    <n v="8000"/>
    <n v="50"/>
    <s v="No"/>
    <s v="Recovered"/>
    <n v="3"/>
    <x v="2"/>
    <m/>
    <m/>
    <x v="15"/>
    <m/>
  </r>
  <r>
    <n v="668"/>
    <n v="40"/>
    <s v="Male"/>
    <s v="Fractured Leg"/>
    <s v="Cast and Physical Therapy"/>
    <n v="3000"/>
    <n v="50"/>
    <s v="No"/>
    <s v="Recovered"/>
    <n v="4"/>
    <x v="2"/>
    <m/>
    <m/>
    <x v="15"/>
    <m/>
  </r>
  <r>
    <n v="669"/>
    <n v="78"/>
    <s v="Female"/>
    <s v="Heart Attack"/>
    <s v="Cardiac Catheterization"/>
    <n v="18000"/>
    <n v="52"/>
    <s v="Yes"/>
    <s v="Stable"/>
    <n v="2"/>
    <x v="2"/>
    <m/>
    <m/>
    <x v="15"/>
    <m/>
  </r>
  <r>
    <n v="670"/>
    <n v="25"/>
    <s v="Male"/>
    <s v="Allergic Reaction"/>
    <s v="Epinephrine Injection"/>
    <n v="100"/>
    <n v="45"/>
    <s v="No"/>
    <s v="Recovered"/>
    <n v="5"/>
    <x v="2"/>
    <m/>
    <m/>
    <x v="15"/>
    <m/>
  </r>
  <r>
    <n v="671"/>
    <n v="52"/>
    <s v="Female"/>
    <s v="Respiratory Infection"/>
    <s v="Antibiotics and Rest"/>
    <n v="800"/>
    <n v="46"/>
    <s v="No"/>
    <s v="Stable"/>
    <n v="4"/>
    <x v="2"/>
    <m/>
    <m/>
    <x v="15"/>
    <m/>
  </r>
  <r>
    <n v="672"/>
    <n v="58"/>
    <s v="Male"/>
    <s v="Prostate Cancer"/>
    <s v="Radiation Therapy"/>
    <n v="20000"/>
    <n v="53"/>
    <s v="No"/>
    <s v="Recovered"/>
    <n v="3"/>
    <x v="2"/>
    <m/>
    <m/>
    <x v="15"/>
    <m/>
  </r>
  <r>
    <n v="673"/>
    <n v="32"/>
    <s v="Female"/>
    <s v="Childbirth"/>
    <s v="Delivery and Postnatal Care"/>
    <n v="12000"/>
    <n v="47"/>
    <s v="No"/>
    <s v="Recovered"/>
    <n v="4"/>
    <x v="2"/>
    <m/>
    <m/>
    <x v="15"/>
    <m/>
  </r>
  <r>
    <n v="674"/>
    <n v="55"/>
    <s v="Male"/>
    <s v="Kidney Stones"/>
    <s v="Lithotripsy"/>
    <n v="6000"/>
    <n v="48"/>
    <s v="No"/>
    <s v="Recovered"/>
    <n v="3"/>
    <x v="2"/>
    <m/>
    <m/>
    <x v="15"/>
    <m/>
  </r>
  <r>
    <n v="675"/>
    <n v="65"/>
    <s v="Female"/>
    <s v="Osteoarthritis"/>
    <s v="Physical Therapy and Pain Management"/>
    <n v="4000"/>
    <n v="49"/>
    <s v="No"/>
    <s v="Stable"/>
    <n v="4"/>
    <x v="2"/>
    <m/>
    <m/>
    <x v="15"/>
    <m/>
  </r>
  <r>
    <n v="676"/>
    <n v="55"/>
    <s v="Female"/>
    <s v="Heart Disease"/>
    <s v="Angioplasty"/>
    <n v="15000"/>
    <n v="50"/>
    <s v="Yes"/>
    <s v="Recovered"/>
    <n v="3"/>
    <x v="2"/>
    <m/>
    <m/>
    <x v="15"/>
    <m/>
  </r>
  <r>
    <n v="677"/>
    <n v="62"/>
    <s v="Male"/>
    <s v="Diabetes"/>
    <s v="Insulin Therapy"/>
    <n v="2000"/>
    <n v="48"/>
    <s v="No"/>
    <s v="Stable"/>
    <n v="4"/>
    <x v="2"/>
    <m/>
    <m/>
    <x v="15"/>
    <m/>
  </r>
  <r>
    <n v="678"/>
    <n v="35"/>
    <s v="Female"/>
    <s v="Fractured Arm"/>
    <s v="X-Ray and Splint"/>
    <n v="500"/>
    <n v="46"/>
    <s v="Yes"/>
    <s v="Recovered"/>
    <n v="5"/>
    <x v="2"/>
    <m/>
    <m/>
    <x v="15"/>
    <m/>
  </r>
  <r>
    <n v="679"/>
    <n v="78"/>
    <s v="Male"/>
    <s v="Stroke"/>
    <s v="CT Scan and Medication"/>
    <n v="10000"/>
    <n v="53"/>
    <s v="No"/>
    <s v="Stable"/>
    <n v="2"/>
    <x v="2"/>
    <m/>
    <m/>
    <x v="15"/>
    <m/>
  </r>
  <r>
    <n v="680"/>
    <n v="53"/>
    <s v="Female"/>
    <s v="Cancer"/>
    <s v="Surgery and Chemotherapy"/>
    <n v="25000"/>
    <n v="55"/>
    <s v="Yes"/>
    <s v="Recovered"/>
    <n v="4"/>
    <x v="2"/>
    <m/>
    <m/>
    <x v="15"/>
    <m/>
  </r>
  <r>
    <n v="681"/>
    <n v="72"/>
    <s v="Male"/>
    <s v="Hypertension"/>
    <s v="Medication and Counseling"/>
    <n v="1000"/>
    <n v="49"/>
    <s v="No"/>
    <s v="Stable"/>
    <n v="4"/>
    <x v="2"/>
    <m/>
    <m/>
    <x v="15"/>
    <m/>
  </r>
  <r>
    <n v="682"/>
    <n v="60"/>
    <s v="Female"/>
    <s v="Appendicitis"/>
    <s v="Appendectomy"/>
    <n v="8000"/>
    <n v="51"/>
    <s v="Yes"/>
    <s v="Recovered"/>
    <n v="3"/>
    <x v="2"/>
    <m/>
    <m/>
    <x v="15"/>
    <m/>
  </r>
  <r>
    <n v="683"/>
    <n v="45"/>
    <s v="Male"/>
    <s v="Fractured Leg"/>
    <s v="Cast and Physical Therapy"/>
    <n v="3000"/>
    <n v="51"/>
    <s v="No"/>
    <s v="Recovered"/>
    <n v="4"/>
    <x v="2"/>
    <m/>
    <m/>
    <x v="15"/>
    <m/>
  </r>
  <r>
    <n v="684"/>
    <n v="75"/>
    <s v="Female"/>
    <s v="Heart Attack"/>
    <s v="Cardiac Catheterization"/>
    <n v="18000"/>
    <n v="53"/>
    <s v="Yes"/>
    <s v="Stable"/>
    <n v="2"/>
    <x v="2"/>
    <m/>
    <m/>
    <x v="15"/>
    <m/>
  </r>
  <r>
    <n v="685"/>
    <n v="28"/>
    <s v="Male"/>
    <s v="Allergic Reaction"/>
    <s v="Epinephrine Injection"/>
    <n v="100"/>
    <n v="46"/>
    <s v="No"/>
    <s v="Recovered"/>
    <n v="5"/>
    <x v="2"/>
    <m/>
    <m/>
    <x v="15"/>
    <m/>
  </r>
  <r>
    <n v="686"/>
    <n v="52"/>
    <s v="Female"/>
    <s v="Respiratory Infection"/>
    <s v="Antibiotics and Rest"/>
    <n v="800"/>
    <n v="47"/>
    <s v="No"/>
    <s v="Stable"/>
    <n v="4"/>
    <x v="2"/>
    <m/>
    <m/>
    <x v="15"/>
    <m/>
  </r>
  <r>
    <n v="687"/>
    <n v="67"/>
    <s v="Male"/>
    <s v="Prostate Cancer"/>
    <s v="Radiation Therapy"/>
    <n v="20000"/>
    <n v="54"/>
    <s v="No"/>
    <s v="Recovered"/>
    <n v="3"/>
    <x v="2"/>
    <m/>
    <m/>
    <x v="15"/>
    <m/>
  </r>
  <r>
    <n v="688"/>
    <n v="35"/>
    <s v="Female"/>
    <s v="Childbirth"/>
    <s v="Delivery and Postnatal Care"/>
    <n v="12000"/>
    <n v="48"/>
    <s v="No"/>
    <s v="Recovered"/>
    <n v="4"/>
    <x v="2"/>
    <m/>
    <m/>
    <x v="15"/>
    <m/>
  </r>
  <r>
    <n v="689"/>
    <n v="50"/>
    <s v="Male"/>
    <s v="Kidney Stones"/>
    <s v="Lithotripsy"/>
    <n v="6000"/>
    <n v="49"/>
    <s v="No"/>
    <s v="Recovered"/>
    <n v="3"/>
    <x v="2"/>
    <m/>
    <m/>
    <x v="15"/>
    <m/>
  </r>
  <r>
    <n v="690"/>
    <n v="60"/>
    <s v="Female"/>
    <s v="Osteoarthritis"/>
    <s v="Physical Therapy and Pain Management"/>
    <n v="4000"/>
    <n v="50"/>
    <s v="No"/>
    <s v="Stable"/>
    <n v="4"/>
    <x v="2"/>
    <m/>
    <m/>
    <x v="15"/>
    <m/>
  </r>
  <r>
    <n v="691"/>
    <n v="48"/>
    <s v="Female"/>
    <s v="Heart Disease"/>
    <s v="Angioplasty"/>
    <n v="15000"/>
    <n v="51"/>
    <s v="Yes"/>
    <s v="Recovered"/>
    <n v="4"/>
    <x v="2"/>
    <m/>
    <m/>
    <x v="15"/>
    <m/>
  </r>
  <r>
    <n v="692"/>
    <n v="65"/>
    <s v="Male"/>
    <s v="Diabetes"/>
    <s v="Insulin Therapy"/>
    <n v="2000"/>
    <n v="49"/>
    <s v="No"/>
    <s v="Stable"/>
    <n v="3"/>
    <x v="2"/>
    <m/>
    <m/>
    <x v="15"/>
    <m/>
  </r>
  <r>
    <n v="693"/>
    <n v="30"/>
    <s v="Female"/>
    <s v="Fractured Arm"/>
    <s v="X-Ray and Splint"/>
    <n v="500"/>
    <n v="47"/>
    <s v="No"/>
    <s v="Recovered"/>
    <n v="5"/>
    <x v="2"/>
    <m/>
    <m/>
    <x v="15"/>
    <m/>
  </r>
  <r>
    <n v="694"/>
    <n v="70"/>
    <s v="Male"/>
    <s v="Stroke"/>
    <s v="CT Scan and Medication"/>
    <n v="10000"/>
    <n v="54"/>
    <s v="Yes"/>
    <s v="Stable"/>
    <n v="2"/>
    <x v="2"/>
    <m/>
    <m/>
    <x v="15"/>
    <m/>
  </r>
  <r>
    <n v="695"/>
    <n v="55"/>
    <s v="Female"/>
    <s v="Cancer"/>
    <s v="Surgery and Chemotherapy"/>
    <n v="25000"/>
    <n v="56"/>
    <s v="No"/>
    <s v="Recovered"/>
    <n v="4"/>
    <x v="2"/>
    <m/>
    <m/>
    <x v="15"/>
    <m/>
  </r>
  <r>
    <n v="696"/>
    <n v="68"/>
    <s v="Male"/>
    <s v="Hypertension"/>
    <s v="Medication and Counseling"/>
    <n v="1000"/>
    <n v="50"/>
    <s v="No"/>
    <s v="Stable"/>
    <n v="4"/>
    <x v="2"/>
    <m/>
    <m/>
    <x v="15"/>
    <m/>
  </r>
  <r>
    <n v="697"/>
    <n v="45"/>
    <s v="Female"/>
    <s v="Appendicitis"/>
    <s v="Appendectomy"/>
    <n v="8000"/>
    <n v="52"/>
    <s v="No"/>
    <s v="Recovered"/>
    <n v="3"/>
    <x v="2"/>
    <m/>
    <m/>
    <x v="15"/>
    <m/>
  </r>
  <r>
    <n v="698"/>
    <n v="40"/>
    <s v="Male"/>
    <s v="Fractured Leg"/>
    <s v="Cast and Physical Therapy"/>
    <n v="3000"/>
    <n v="52"/>
    <s v="No"/>
    <s v="Recovered"/>
    <n v="4"/>
    <x v="2"/>
    <m/>
    <m/>
    <x v="15"/>
    <m/>
  </r>
  <r>
    <n v="699"/>
    <n v="78"/>
    <s v="Female"/>
    <s v="Heart Attack"/>
    <s v="Cardiac Catheterization"/>
    <n v="18000"/>
    <n v="54"/>
    <s v="Yes"/>
    <s v="Stable"/>
    <n v="2"/>
    <x v="2"/>
    <m/>
    <m/>
    <x v="15"/>
    <m/>
  </r>
  <r>
    <n v="700"/>
    <n v="25"/>
    <s v="Male"/>
    <s v="Allergic Reaction"/>
    <s v="Epinephrine Injection"/>
    <n v="100"/>
    <n v="47"/>
    <s v="No"/>
    <s v="Recovered"/>
    <n v="5"/>
    <x v="2"/>
    <m/>
    <m/>
    <x v="15"/>
    <m/>
  </r>
  <r>
    <n v="701"/>
    <n v="52"/>
    <s v="Female"/>
    <s v="Respiratory Infection"/>
    <s v="Antibiotics and Rest"/>
    <n v="800"/>
    <n v="48"/>
    <s v="No"/>
    <s v="Stable"/>
    <n v="4"/>
    <x v="2"/>
    <m/>
    <m/>
    <x v="15"/>
    <m/>
  </r>
  <r>
    <n v="702"/>
    <n v="58"/>
    <s v="Male"/>
    <s v="Prostate Cancer"/>
    <s v="Radiation Therapy"/>
    <n v="20000"/>
    <n v="55"/>
    <s v="No"/>
    <s v="Recovered"/>
    <n v="3"/>
    <x v="2"/>
    <m/>
    <m/>
    <x v="15"/>
    <m/>
  </r>
  <r>
    <n v="703"/>
    <n v="32"/>
    <s v="Female"/>
    <s v="Childbirth"/>
    <s v="Delivery and Postnatal Care"/>
    <n v="12000"/>
    <n v="49"/>
    <s v="No"/>
    <s v="Recovered"/>
    <n v="4"/>
    <x v="2"/>
    <m/>
    <m/>
    <x v="15"/>
    <m/>
  </r>
  <r>
    <n v="704"/>
    <n v="55"/>
    <s v="Male"/>
    <s v="Kidney Stones"/>
    <s v="Lithotripsy"/>
    <n v="6000"/>
    <n v="50"/>
    <s v="No"/>
    <s v="Recovered"/>
    <n v="3"/>
    <x v="2"/>
    <m/>
    <m/>
    <x v="15"/>
    <m/>
  </r>
  <r>
    <n v="705"/>
    <n v="65"/>
    <s v="Female"/>
    <s v="Osteoarthritis"/>
    <s v="Physical Therapy and Pain Management"/>
    <n v="4000"/>
    <n v="51"/>
    <s v="No"/>
    <s v="Stable"/>
    <n v="4"/>
    <x v="2"/>
    <m/>
    <m/>
    <x v="15"/>
    <m/>
  </r>
  <r>
    <n v="706"/>
    <n v="55"/>
    <s v="Female"/>
    <s v="Heart Disease"/>
    <s v="Angioplasty"/>
    <n v="15000"/>
    <n v="52"/>
    <s v="Yes"/>
    <s v="Recovered"/>
    <n v="3"/>
    <x v="2"/>
    <m/>
    <m/>
    <x v="15"/>
    <m/>
  </r>
  <r>
    <n v="707"/>
    <n v="62"/>
    <s v="Male"/>
    <s v="Diabetes"/>
    <s v="Insulin Therapy"/>
    <n v="2000"/>
    <n v="50"/>
    <s v="No"/>
    <s v="Stable"/>
    <n v="4"/>
    <x v="2"/>
    <m/>
    <m/>
    <x v="15"/>
    <m/>
  </r>
  <r>
    <n v="708"/>
    <n v="35"/>
    <s v="Female"/>
    <s v="Fractured Arm"/>
    <s v="X-Ray and Splint"/>
    <n v="500"/>
    <n v="48"/>
    <s v="Yes"/>
    <s v="Recovered"/>
    <n v="5"/>
    <x v="2"/>
    <m/>
    <m/>
    <x v="15"/>
    <m/>
  </r>
  <r>
    <n v="709"/>
    <n v="78"/>
    <s v="Male"/>
    <s v="Stroke"/>
    <s v="CT Scan and Medication"/>
    <n v="10000"/>
    <n v="55"/>
    <s v="No"/>
    <s v="Stable"/>
    <n v="2"/>
    <x v="2"/>
    <m/>
    <m/>
    <x v="15"/>
    <m/>
  </r>
  <r>
    <n v="710"/>
    <n v="53"/>
    <s v="Female"/>
    <s v="Cancer"/>
    <s v="Surgery and Chemotherapy"/>
    <n v="25000"/>
    <n v="57"/>
    <s v="Yes"/>
    <s v="Recovered"/>
    <n v="4"/>
    <x v="2"/>
    <m/>
    <m/>
    <x v="15"/>
    <m/>
  </r>
  <r>
    <n v="711"/>
    <n v="72"/>
    <s v="Male"/>
    <s v="Hypertension"/>
    <s v="Medication and Counseling"/>
    <n v="1000"/>
    <n v="51"/>
    <s v="No"/>
    <s v="Stable"/>
    <n v="4"/>
    <x v="2"/>
    <m/>
    <m/>
    <x v="15"/>
    <m/>
  </r>
  <r>
    <n v="712"/>
    <n v="60"/>
    <s v="Female"/>
    <s v="Appendicitis"/>
    <s v="Appendectomy"/>
    <n v="8000"/>
    <n v="53"/>
    <s v="Yes"/>
    <s v="Recovered"/>
    <n v="3"/>
    <x v="2"/>
    <m/>
    <m/>
    <x v="15"/>
    <m/>
  </r>
  <r>
    <n v="713"/>
    <n v="45"/>
    <s v="Male"/>
    <s v="Fractured Leg"/>
    <s v="Cast and Physical Therapy"/>
    <n v="3000"/>
    <n v="53"/>
    <s v="No"/>
    <s v="Recovered"/>
    <n v="4"/>
    <x v="2"/>
    <m/>
    <m/>
    <x v="15"/>
    <m/>
  </r>
  <r>
    <n v="714"/>
    <n v="75"/>
    <s v="Female"/>
    <s v="Heart Attack"/>
    <s v="Cardiac Catheterization"/>
    <n v="18000"/>
    <n v="55"/>
    <s v="Yes"/>
    <s v="Stable"/>
    <n v="2"/>
    <x v="2"/>
    <m/>
    <m/>
    <x v="15"/>
    <m/>
  </r>
  <r>
    <n v="715"/>
    <n v="28"/>
    <s v="Male"/>
    <s v="Allergic Reaction"/>
    <s v="Epinephrine Injection"/>
    <n v="100"/>
    <n v="48"/>
    <s v="No"/>
    <s v="Recovered"/>
    <n v="5"/>
    <x v="2"/>
    <m/>
    <m/>
    <x v="15"/>
    <m/>
  </r>
  <r>
    <n v="716"/>
    <n v="52"/>
    <s v="Female"/>
    <s v="Respiratory Infection"/>
    <s v="Antibiotics and Rest"/>
    <n v="800"/>
    <n v="49"/>
    <s v="No"/>
    <s v="Stable"/>
    <n v="4"/>
    <x v="2"/>
    <m/>
    <m/>
    <x v="15"/>
    <m/>
  </r>
  <r>
    <n v="717"/>
    <n v="67"/>
    <s v="Male"/>
    <s v="Prostate Cancer"/>
    <s v="Radiation Therapy"/>
    <n v="20000"/>
    <n v="56"/>
    <s v="No"/>
    <s v="Recovered"/>
    <n v="3"/>
    <x v="2"/>
    <m/>
    <m/>
    <x v="15"/>
    <m/>
  </r>
  <r>
    <n v="718"/>
    <n v="35"/>
    <s v="Female"/>
    <s v="Childbirth"/>
    <s v="Delivery and Postnatal Care"/>
    <n v="12000"/>
    <n v="50"/>
    <s v="No"/>
    <s v="Recovered"/>
    <n v="4"/>
    <x v="2"/>
    <m/>
    <m/>
    <x v="15"/>
    <m/>
  </r>
  <r>
    <n v="719"/>
    <n v="50"/>
    <s v="Male"/>
    <s v="Kidney Stones"/>
    <s v="Lithotripsy"/>
    <n v="6000"/>
    <n v="51"/>
    <s v="No"/>
    <s v="Recovered"/>
    <n v="3"/>
    <x v="2"/>
    <m/>
    <m/>
    <x v="15"/>
    <m/>
  </r>
  <r>
    <n v="720"/>
    <n v="60"/>
    <s v="Female"/>
    <s v="Osteoarthritis"/>
    <s v="Physical Therapy and Pain Management"/>
    <n v="4000"/>
    <n v="52"/>
    <s v="No"/>
    <s v="Stable"/>
    <n v="4"/>
    <x v="2"/>
    <m/>
    <m/>
    <x v="15"/>
    <m/>
  </r>
  <r>
    <n v="721"/>
    <n v="48"/>
    <s v="Female"/>
    <s v="Heart Disease"/>
    <s v="Angioplasty"/>
    <n v="15000"/>
    <n v="53"/>
    <s v="Yes"/>
    <s v="Recovered"/>
    <n v="4"/>
    <x v="2"/>
    <m/>
    <m/>
    <x v="15"/>
    <m/>
  </r>
  <r>
    <n v="723"/>
    <n v="30"/>
    <s v="Female"/>
    <s v="Fractured Arm"/>
    <s v="X-Ray and Splint"/>
    <n v="500"/>
    <n v="49"/>
    <s v="No"/>
    <s v="Recovered"/>
    <n v="5"/>
    <x v="2"/>
    <m/>
    <m/>
    <x v="15"/>
    <m/>
  </r>
  <r>
    <n v="724"/>
    <n v="70"/>
    <s v="Male"/>
    <s v="Stroke"/>
    <s v="CT Scan and Medication"/>
    <n v="10000"/>
    <n v="56"/>
    <s v="Yes"/>
    <s v="Stable"/>
    <n v="2"/>
    <x v="2"/>
    <m/>
    <m/>
    <x v="15"/>
    <m/>
  </r>
  <r>
    <n v="725"/>
    <n v="55"/>
    <s v="Female"/>
    <s v="Cancer"/>
    <s v="Surgery and Chemotherapy"/>
    <n v="25000"/>
    <n v="58"/>
    <s v="No"/>
    <s v="Recovered"/>
    <n v="4"/>
    <x v="2"/>
    <m/>
    <m/>
    <x v="15"/>
    <m/>
  </r>
  <r>
    <n v="726"/>
    <n v="68"/>
    <s v="Male"/>
    <s v="Hypertension"/>
    <s v="Medication and Counseling"/>
    <n v="1000"/>
    <n v="52"/>
    <s v="No"/>
    <s v="Stable"/>
    <n v="4"/>
    <x v="2"/>
    <m/>
    <m/>
    <x v="15"/>
    <m/>
  </r>
  <r>
    <n v="727"/>
    <n v="45"/>
    <s v="Female"/>
    <s v="Appendicitis"/>
    <s v="Appendectomy"/>
    <n v="8000"/>
    <n v="54"/>
    <s v="No"/>
    <s v="Recovered"/>
    <n v="3"/>
    <x v="2"/>
    <m/>
    <m/>
    <x v="15"/>
    <m/>
  </r>
  <r>
    <n v="728"/>
    <n v="40"/>
    <s v="Male"/>
    <s v="Fractured Leg"/>
    <s v="Cast and Physical Therapy"/>
    <n v="3000"/>
    <n v="54"/>
    <s v="No"/>
    <s v="Recovered"/>
    <n v="4"/>
    <x v="2"/>
    <m/>
    <m/>
    <x v="15"/>
    <m/>
  </r>
  <r>
    <n v="729"/>
    <n v="78"/>
    <s v="Female"/>
    <s v="Heart Attack"/>
    <s v="Cardiac Catheterization"/>
    <n v="18000"/>
    <n v="56"/>
    <s v="Yes"/>
    <s v="Stable"/>
    <n v="2"/>
    <x v="2"/>
    <m/>
    <m/>
    <x v="15"/>
    <m/>
  </r>
  <r>
    <n v="730"/>
    <n v="25"/>
    <s v="Male"/>
    <s v="Allergic Reaction"/>
    <s v="Epinephrine Injection"/>
    <n v="100"/>
    <n v="49"/>
    <s v="No"/>
    <s v="Recovered"/>
    <n v="5"/>
    <x v="2"/>
    <m/>
    <m/>
    <x v="15"/>
    <m/>
  </r>
  <r>
    <n v="731"/>
    <n v="52"/>
    <s v="Female"/>
    <s v="Respiratory Infection"/>
    <s v="Antibiotics and Rest"/>
    <n v="800"/>
    <n v="50"/>
    <s v="No"/>
    <s v="Stable"/>
    <n v="4"/>
    <x v="2"/>
    <m/>
    <m/>
    <x v="15"/>
    <m/>
  </r>
  <r>
    <n v="732"/>
    <n v="58"/>
    <s v="Male"/>
    <s v="Prostate Cancer"/>
    <s v="Radiation Therapy"/>
    <n v="20000"/>
    <n v="57"/>
    <s v="No"/>
    <s v="Recovered"/>
    <n v="3"/>
    <x v="2"/>
    <m/>
    <m/>
    <x v="15"/>
    <m/>
  </r>
  <r>
    <n v="733"/>
    <n v="32"/>
    <s v="Female"/>
    <s v="Childbirth"/>
    <s v="Delivery and Postnatal Care"/>
    <n v="12000"/>
    <n v="51"/>
    <s v="No"/>
    <s v="Recovered"/>
    <n v="4"/>
    <x v="2"/>
    <m/>
    <m/>
    <x v="15"/>
    <m/>
  </r>
  <r>
    <n v="734"/>
    <n v="55"/>
    <s v="Male"/>
    <s v="Kidney Stones"/>
    <s v="Lithotripsy"/>
    <n v="6000"/>
    <n v="52"/>
    <s v="No"/>
    <s v="Recovered"/>
    <n v="3"/>
    <x v="2"/>
    <m/>
    <m/>
    <x v="15"/>
    <m/>
  </r>
  <r>
    <n v="735"/>
    <n v="65"/>
    <s v="Female"/>
    <s v="Osteoarthritis"/>
    <s v="Physical Therapy and Pain Management"/>
    <n v="4000"/>
    <n v="53"/>
    <s v="No"/>
    <s v="Stable"/>
    <n v="4"/>
    <x v="2"/>
    <m/>
    <m/>
    <x v="15"/>
    <m/>
  </r>
  <r>
    <n v="736"/>
    <n v="55"/>
    <s v="Female"/>
    <s v="Heart Disease"/>
    <s v="Angioplasty"/>
    <n v="15000"/>
    <n v="54"/>
    <s v="Yes"/>
    <s v="Recovered"/>
    <n v="3"/>
    <x v="2"/>
    <m/>
    <m/>
    <x v="15"/>
    <m/>
  </r>
  <r>
    <n v="737"/>
    <n v="62"/>
    <s v="Male"/>
    <s v="Diabetes"/>
    <s v="Insulin Therapy"/>
    <n v="2000"/>
    <n v="52"/>
    <s v="No"/>
    <s v="Stable"/>
    <n v="4"/>
    <x v="2"/>
    <m/>
    <m/>
    <x v="15"/>
    <m/>
  </r>
  <r>
    <n v="738"/>
    <n v="35"/>
    <s v="Female"/>
    <s v="Fractured Arm"/>
    <s v="X-Ray and Splint"/>
    <n v="500"/>
    <n v="50"/>
    <s v="Yes"/>
    <s v="Recovered"/>
    <n v="5"/>
    <x v="2"/>
    <m/>
    <m/>
    <x v="15"/>
    <m/>
  </r>
  <r>
    <n v="739"/>
    <n v="78"/>
    <s v="Male"/>
    <s v="Stroke"/>
    <s v="CT Scan and Medication"/>
    <n v="10000"/>
    <n v="57"/>
    <s v="No"/>
    <s v="Stable"/>
    <n v="2"/>
    <x v="2"/>
    <m/>
    <m/>
    <x v="15"/>
    <m/>
  </r>
  <r>
    <n v="740"/>
    <n v="53"/>
    <s v="Female"/>
    <s v="Cancer"/>
    <s v="Surgery and Chemotherapy"/>
    <n v="25000"/>
    <n v="59"/>
    <s v="Yes"/>
    <s v="Recovered"/>
    <n v="4"/>
    <x v="2"/>
    <m/>
    <m/>
    <x v="15"/>
    <m/>
  </r>
  <r>
    <n v="741"/>
    <n v="72"/>
    <s v="Male"/>
    <s v="Hypertension"/>
    <s v="Medication and Counseling"/>
    <n v="1000"/>
    <n v="53"/>
    <s v="No"/>
    <s v="Stable"/>
    <n v="4"/>
    <x v="2"/>
    <m/>
    <m/>
    <x v="15"/>
    <m/>
  </r>
  <r>
    <n v="742"/>
    <n v="60"/>
    <s v="Female"/>
    <s v="Appendicitis"/>
    <s v="Appendectomy"/>
    <n v="8000"/>
    <n v="55"/>
    <s v="Yes"/>
    <s v="Recovered"/>
    <n v="3"/>
    <x v="2"/>
    <m/>
    <m/>
    <x v="15"/>
    <m/>
  </r>
  <r>
    <n v="743"/>
    <n v="45"/>
    <s v="Male"/>
    <s v="Fractured Leg"/>
    <s v="Cast and Physical Therapy"/>
    <n v="3000"/>
    <n v="55"/>
    <s v="No"/>
    <s v="Recovered"/>
    <n v="4"/>
    <x v="2"/>
    <m/>
    <m/>
    <x v="15"/>
    <m/>
  </r>
  <r>
    <n v="744"/>
    <n v="75"/>
    <s v="Female"/>
    <s v="Heart Attack"/>
    <s v="Cardiac Catheterization"/>
    <n v="18000"/>
    <n v="57"/>
    <s v="Yes"/>
    <s v="Stable"/>
    <n v="2"/>
    <x v="2"/>
    <m/>
    <m/>
    <x v="15"/>
    <m/>
  </r>
  <r>
    <n v="745"/>
    <n v="28"/>
    <s v="Male"/>
    <s v="Allergic Reaction"/>
    <s v="Epinephrine Injection"/>
    <n v="100"/>
    <n v="50"/>
    <s v="No"/>
    <s v="Recovered"/>
    <n v="5"/>
    <x v="2"/>
    <m/>
    <m/>
    <x v="15"/>
    <m/>
  </r>
  <r>
    <n v="746"/>
    <n v="52"/>
    <s v="Female"/>
    <s v="Respiratory Infection"/>
    <s v="Antibiotics and Rest"/>
    <n v="800"/>
    <n v="51"/>
    <s v="No"/>
    <s v="Stable"/>
    <n v="4"/>
    <x v="2"/>
    <m/>
    <m/>
    <x v="15"/>
    <m/>
  </r>
  <r>
    <n v="747"/>
    <n v="67"/>
    <s v="Male"/>
    <s v="Prostate Cancer"/>
    <s v="Radiation Therapy"/>
    <n v="20000"/>
    <n v="58"/>
    <s v="No"/>
    <s v="Recovered"/>
    <n v="3"/>
    <x v="2"/>
    <m/>
    <m/>
    <x v="15"/>
    <m/>
  </r>
  <r>
    <n v="748"/>
    <n v="35"/>
    <s v="Female"/>
    <s v="Childbirth"/>
    <s v="Delivery and Postnatal Care"/>
    <n v="12000"/>
    <n v="52"/>
    <s v="No"/>
    <s v="Recovered"/>
    <n v="4"/>
    <x v="2"/>
    <m/>
    <m/>
    <x v="15"/>
    <m/>
  </r>
  <r>
    <n v="749"/>
    <n v="50"/>
    <s v="Male"/>
    <s v="Kidney Stones"/>
    <s v="Lithotripsy"/>
    <n v="6000"/>
    <n v="53"/>
    <s v="No"/>
    <s v="Recovered"/>
    <n v="3"/>
    <x v="2"/>
    <m/>
    <m/>
    <x v="15"/>
    <m/>
  </r>
  <r>
    <n v="750"/>
    <n v="60"/>
    <s v="Female"/>
    <s v="Osteoarthritis"/>
    <s v="Physical Therapy and Pain Management"/>
    <n v="4000"/>
    <n v="54"/>
    <s v="No"/>
    <s v="Stable"/>
    <n v="4"/>
    <x v="2"/>
    <m/>
    <m/>
    <x v="15"/>
    <m/>
  </r>
  <r>
    <n v="751"/>
    <n v="48"/>
    <s v="Female"/>
    <s v="Heart Disease"/>
    <s v="Angioplasty"/>
    <n v="15000"/>
    <n v="55"/>
    <s v="Yes"/>
    <s v="Recovered"/>
    <n v="4"/>
    <x v="2"/>
    <m/>
    <m/>
    <x v="15"/>
    <m/>
  </r>
  <r>
    <n v="752"/>
    <n v="65"/>
    <s v="Male"/>
    <s v="Diabetes"/>
    <s v="Insulin Therapy"/>
    <n v="2000"/>
    <n v="53"/>
    <s v="No"/>
    <s v="Stable"/>
    <n v="3"/>
    <x v="2"/>
    <m/>
    <m/>
    <x v="15"/>
    <m/>
  </r>
  <r>
    <n v="753"/>
    <n v="30"/>
    <s v="Female"/>
    <s v="Fractured Arm"/>
    <s v="X-Ray and Splint"/>
    <n v="500"/>
    <n v="51"/>
    <s v="No"/>
    <s v="Recovered"/>
    <n v="5"/>
    <x v="2"/>
    <m/>
    <m/>
    <x v="15"/>
    <m/>
  </r>
  <r>
    <n v="754"/>
    <n v="70"/>
    <s v="Male"/>
    <s v="Stroke"/>
    <s v="CT Scan and Medication"/>
    <n v="10000"/>
    <n v="58"/>
    <s v="Yes"/>
    <s v="Stable"/>
    <n v="2"/>
    <x v="2"/>
    <m/>
    <m/>
    <x v="15"/>
    <m/>
  </r>
  <r>
    <n v="755"/>
    <n v="55"/>
    <s v="Female"/>
    <s v="Cancer"/>
    <s v="Surgery and Chemotherapy"/>
    <n v="25000"/>
    <n v="60"/>
    <s v="No"/>
    <s v="Recovered"/>
    <n v="4"/>
    <x v="2"/>
    <m/>
    <m/>
    <x v="15"/>
    <m/>
  </r>
  <r>
    <n v="756"/>
    <n v="68"/>
    <s v="Male"/>
    <s v="Hypertension"/>
    <s v="Medication and Counseling"/>
    <n v="1000"/>
    <n v="54"/>
    <s v="No"/>
    <s v="Stable"/>
    <n v="4"/>
    <x v="2"/>
    <m/>
    <m/>
    <x v="15"/>
    <m/>
  </r>
  <r>
    <n v="757"/>
    <n v="45"/>
    <s v="Female"/>
    <s v="Appendicitis"/>
    <s v="Appendectomy"/>
    <n v="8000"/>
    <n v="56"/>
    <s v="No"/>
    <s v="Recovered"/>
    <n v="3"/>
    <x v="2"/>
    <m/>
    <m/>
    <x v="15"/>
    <m/>
  </r>
  <r>
    <n v="758"/>
    <n v="40"/>
    <s v="Male"/>
    <s v="Fractured Leg"/>
    <s v="Cast and Physical Therapy"/>
    <n v="3000"/>
    <n v="56"/>
    <s v="No"/>
    <s v="Recovered"/>
    <n v="4"/>
    <x v="2"/>
    <m/>
    <m/>
    <x v="15"/>
    <m/>
  </r>
  <r>
    <n v="759"/>
    <n v="78"/>
    <s v="Female"/>
    <s v="Heart Attack"/>
    <s v="Cardiac Catheterization"/>
    <n v="18000"/>
    <n v="58"/>
    <s v="Yes"/>
    <s v="Stable"/>
    <n v="2"/>
    <x v="2"/>
    <m/>
    <m/>
    <x v="15"/>
    <m/>
  </r>
  <r>
    <n v="760"/>
    <n v="25"/>
    <s v="Male"/>
    <s v="Allergic Reaction"/>
    <s v="Epinephrine Injection"/>
    <n v="100"/>
    <n v="51"/>
    <s v="No"/>
    <s v="Recovered"/>
    <n v="5"/>
    <x v="2"/>
    <m/>
    <m/>
    <x v="15"/>
    <m/>
  </r>
  <r>
    <n v="761"/>
    <n v="52"/>
    <s v="Female"/>
    <s v="Respiratory Infection"/>
    <s v="Antibiotics and Rest"/>
    <n v="800"/>
    <n v="52"/>
    <s v="No"/>
    <s v="Stable"/>
    <n v="4"/>
    <x v="2"/>
    <m/>
    <m/>
    <x v="15"/>
    <m/>
  </r>
  <r>
    <n v="762"/>
    <n v="58"/>
    <s v="Male"/>
    <s v="Prostate Cancer"/>
    <s v="Radiation Therapy"/>
    <n v="20000"/>
    <n v="59"/>
    <s v="No"/>
    <s v="Recovered"/>
    <n v="3"/>
    <x v="2"/>
    <m/>
    <m/>
    <x v="15"/>
    <m/>
  </r>
  <r>
    <n v="763"/>
    <n v="32"/>
    <s v="Female"/>
    <s v="Childbirth"/>
    <s v="Delivery and Postnatal Care"/>
    <n v="12000"/>
    <n v="53"/>
    <s v="No"/>
    <s v="Recovered"/>
    <n v="4"/>
    <x v="2"/>
    <m/>
    <m/>
    <x v="15"/>
    <m/>
  </r>
  <r>
    <n v="764"/>
    <n v="55"/>
    <s v="Male"/>
    <s v="Kidney Stones"/>
    <s v="Lithotripsy"/>
    <n v="6000"/>
    <n v="54"/>
    <s v="No"/>
    <s v="Recovered"/>
    <n v="3"/>
    <x v="2"/>
    <m/>
    <m/>
    <x v="15"/>
    <m/>
  </r>
  <r>
    <n v="765"/>
    <n v="65"/>
    <s v="Female"/>
    <s v="Osteoarthritis"/>
    <s v="Physical Therapy and Pain Management"/>
    <n v="4000"/>
    <n v="55"/>
    <s v="No"/>
    <s v="Stable"/>
    <n v="4"/>
    <x v="2"/>
    <m/>
    <m/>
    <x v="15"/>
    <m/>
  </r>
  <r>
    <n v="766"/>
    <n v="55"/>
    <s v="Female"/>
    <s v="Heart Disease"/>
    <s v="Angioplasty"/>
    <n v="15000"/>
    <n v="56"/>
    <s v="Yes"/>
    <s v="Recovered"/>
    <n v="3"/>
    <x v="2"/>
    <m/>
    <m/>
    <x v="15"/>
    <m/>
  </r>
  <r>
    <n v="767"/>
    <n v="62"/>
    <s v="Male"/>
    <s v="Diabetes"/>
    <s v="Insulin Therapy"/>
    <n v="2000"/>
    <n v="54"/>
    <s v="No"/>
    <s v="Stable"/>
    <n v="4"/>
    <x v="2"/>
    <m/>
    <m/>
    <x v="15"/>
    <m/>
  </r>
  <r>
    <n v="768"/>
    <n v="35"/>
    <s v="Female"/>
    <s v="Fractured Arm"/>
    <s v="X-Ray and Splint"/>
    <n v="500"/>
    <n v="52"/>
    <s v="Yes"/>
    <s v="Recovered"/>
    <n v="5"/>
    <x v="2"/>
    <m/>
    <m/>
    <x v="15"/>
    <m/>
  </r>
  <r>
    <n v="769"/>
    <n v="78"/>
    <s v="Male"/>
    <s v="Stroke"/>
    <s v="CT Scan and Medication"/>
    <n v="10000"/>
    <n v="59"/>
    <s v="No"/>
    <s v="Stable"/>
    <n v="2"/>
    <x v="2"/>
    <m/>
    <m/>
    <x v="15"/>
    <m/>
  </r>
  <r>
    <n v="770"/>
    <n v="53"/>
    <s v="Female"/>
    <s v="Cancer"/>
    <s v="Surgery and Chemotherapy"/>
    <n v="25000"/>
    <n v="61"/>
    <s v="Yes"/>
    <s v="Recovered"/>
    <n v="4"/>
    <x v="2"/>
    <m/>
    <m/>
    <x v="15"/>
    <m/>
  </r>
  <r>
    <n v="771"/>
    <n v="72"/>
    <s v="Male"/>
    <s v="Hypertension"/>
    <s v="Medication and Counseling"/>
    <n v="1000"/>
    <n v="55"/>
    <s v="No"/>
    <s v="Stable"/>
    <n v="4"/>
    <x v="2"/>
    <m/>
    <m/>
    <x v="15"/>
    <m/>
  </r>
  <r>
    <n v="772"/>
    <n v="60"/>
    <s v="Female"/>
    <s v="Appendicitis"/>
    <s v="Appendectomy"/>
    <n v="8000"/>
    <n v="57"/>
    <s v="Yes"/>
    <s v="Recovered"/>
    <n v="3"/>
    <x v="2"/>
    <m/>
    <m/>
    <x v="15"/>
    <m/>
  </r>
  <r>
    <n v="773"/>
    <n v="45"/>
    <s v="Male"/>
    <s v="Fractured Leg"/>
    <s v="Cast and Physical Therapy"/>
    <n v="3000"/>
    <n v="57"/>
    <s v="No"/>
    <s v="Recovered"/>
    <n v="4"/>
    <x v="2"/>
    <m/>
    <m/>
    <x v="15"/>
    <m/>
  </r>
  <r>
    <n v="774"/>
    <n v="75"/>
    <s v="Female"/>
    <s v="Heart Attack"/>
    <s v="Cardiac Catheterization"/>
    <n v="18000"/>
    <n v="59"/>
    <s v="Yes"/>
    <s v="Stable"/>
    <n v="2"/>
    <x v="2"/>
    <m/>
    <m/>
    <x v="15"/>
    <m/>
  </r>
  <r>
    <n v="775"/>
    <n v="28"/>
    <s v="Male"/>
    <s v="Allergic Reaction"/>
    <s v="Epinephrine Injection"/>
    <n v="100"/>
    <n v="52"/>
    <s v="No"/>
    <s v="Recovered"/>
    <n v="5"/>
    <x v="2"/>
    <m/>
    <m/>
    <x v="15"/>
    <m/>
  </r>
  <r>
    <n v="776"/>
    <n v="52"/>
    <s v="Female"/>
    <s v="Respiratory Infection"/>
    <s v="Antibiotics and Rest"/>
    <n v="800"/>
    <n v="53"/>
    <s v="No"/>
    <s v="Stable"/>
    <n v="4"/>
    <x v="2"/>
    <m/>
    <m/>
    <x v="15"/>
    <m/>
  </r>
  <r>
    <n v="777"/>
    <n v="67"/>
    <s v="Male"/>
    <s v="Prostate Cancer"/>
    <s v="Radiation Therapy"/>
    <n v="20000"/>
    <n v="60"/>
    <s v="No"/>
    <s v="Recovered"/>
    <n v="3"/>
    <x v="2"/>
    <m/>
    <m/>
    <x v="15"/>
    <m/>
  </r>
  <r>
    <n v="778"/>
    <n v="35"/>
    <s v="Female"/>
    <s v="Childbirth"/>
    <s v="Delivery and Postnatal Care"/>
    <n v="12000"/>
    <n v="54"/>
    <s v="No"/>
    <s v="Recovered"/>
    <n v="4"/>
    <x v="2"/>
    <m/>
    <m/>
    <x v="15"/>
    <m/>
  </r>
  <r>
    <n v="779"/>
    <n v="50"/>
    <s v="Male"/>
    <s v="Kidney Stones"/>
    <s v="Lithotripsy"/>
    <n v="6000"/>
    <n v="55"/>
    <s v="No"/>
    <s v="Recovered"/>
    <n v="3"/>
    <x v="2"/>
    <m/>
    <m/>
    <x v="15"/>
    <m/>
  </r>
  <r>
    <n v="780"/>
    <n v="60"/>
    <s v="Female"/>
    <s v="Osteoarthritis"/>
    <s v="Physical Therapy and Pain Management"/>
    <n v="4000"/>
    <n v="56"/>
    <s v="No"/>
    <s v="Stable"/>
    <n v="4"/>
    <x v="2"/>
    <m/>
    <m/>
    <x v="15"/>
    <m/>
  </r>
  <r>
    <n v="781"/>
    <n v="48"/>
    <s v="Female"/>
    <s v="Heart Disease"/>
    <s v="Angioplasty"/>
    <n v="15000"/>
    <n v="57"/>
    <s v="Yes"/>
    <s v="Recovered"/>
    <n v="4"/>
    <x v="2"/>
    <m/>
    <m/>
    <x v="15"/>
    <m/>
  </r>
  <r>
    <n v="782"/>
    <n v="65"/>
    <s v="Male"/>
    <s v="Diabetes"/>
    <s v="Insulin Therapy"/>
    <n v="2000"/>
    <n v="55"/>
    <s v="No"/>
    <s v="Stable"/>
    <n v="3"/>
    <x v="2"/>
    <m/>
    <m/>
    <x v="15"/>
    <m/>
  </r>
  <r>
    <n v="783"/>
    <n v="30"/>
    <s v="Female"/>
    <s v="Fractured Arm"/>
    <s v="X-Ray and Splint"/>
    <n v="500"/>
    <n v="53"/>
    <s v="No"/>
    <s v="Recovered"/>
    <n v="5"/>
    <x v="2"/>
    <m/>
    <m/>
    <x v="15"/>
    <m/>
  </r>
  <r>
    <n v="785"/>
    <n v="55"/>
    <s v="Female"/>
    <s v="Cancer"/>
    <s v="Surgery and Chemotherapy"/>
    <n v="25000"/>
    <n v="62"/>
    <s v="No"/>
    <s v="Recovered"/>
    <n v="4"/>
    <x v="2"/>
    <m/>
    <m/>
    <x v="15"/>
    <m/>
  </r>
  <r>
    <n v="786"/>
    <n v="68"/>
    <s v="Male"/>
    <s v="Hypertension"/>
    <s v="Medication and Counseling"/>
    <n v="1000"/>
    <n v="56"/>
    <s v="No"/>
    <s v="Stable"/>
    <n v="4"/>
    <x v="2"/>
    <m/>
    <m/>
    <x v="15"/>
    <m/>
  </r>
  <r>
    <n v="787"/>
    <n v="45"/>
    <s v="Female"/>
    <s v="Appendicitis"/>
    <s v="Appendectomy"/>
    <n v="8000"/>
    <n v="58"/>
    <s v="No"/>
    <s v="Recovered"/>
    <n v="3"/>
    <x v="2"/>
    <m/>
    <m/>
    <x v="15"/>
    <m/>
  </r>
  <r>
    <n v="788"/>
    <n v="40"/>
    <s v="Male"/>
    <s v="Fractured Leg"/>
    <s v="Cast and Physical Therapy"/>
    <n v="3000"/>
    <n v="58"/>
    <s v="No"/>
    <s v="Recovered"/>
    <n v="4"/>
    <x v="2"/>
    <m/>
    <m/>
    <x v="15"/>
    <m/>
  </r>
  <r>
    <n v="789"/>
    <n v="78"/>
    <s v="Female"/>
    <s v="Heart Attack"/>
    <s v="Cardiac Catheterization"/>
    <n v="18000"/>
    <n v="60"/>
    <s v="Yes"/>
    <s v="Stable"/>
    <n v="2"/>
    <x v="2"/>
    <m/>
    <m/>
    <x v="15"/>
    <m/>
  </r>
  <r>
    <n v="790"/>
    <n v="25"/>
    <s v="Male"/>
    <s v="Allergic Reaction"/>
    <s v="Epinephrine Injection"/>
    <n v="100"/>
    <n v="53"/>
    <s v="No"/>
    <s v="Recovered"/>
    <n v="5"/>
    <x v="2"/>
    <m/>
    <m/>
    <x v="15"/>
    <m/>
  </r>
  <r>
    <n v="791"/>
    <n v="52"/>
    <s v="Female"/>
    <s v="Respiratory Infection"/>
    <s v="Antibiotics and Rest"/>
    <n v="800"/>
    <n v="54"/>
    <s v="No"/>
    <s v="Stable"/>
    <n v="4"/>
    <x v="2"/>
    <m/>
    <m/>
    <x v="15"/>
    <m/>
  </r>
  <r>
    <n v="792"/>
    <n v="58"/>
    <s v="Male"/>
    <s v="Prostate Cancer"/>
    <s v="Radiation Therapy"/>
    <n v="20000"/>
    <n v="61"/>
    <s v="No"/>
    <s v="Recovered"/>
    <n v="3"/>
    <x v="2"/>
    <m/>
    <m/>
    <x v="15"/>
    <m/>
  </r>
  <r>
    <n v="793"/>
    <n v="32"/>
    <s v="Female"/>
    <s v="Childbirth"/>
    <s v="Delivery and Postnatal Care"/>
    <n v="12000"/>
    <n v="55"/>
    <s v="No"/>
    <s v="Recovered"/>
    <n v="4"/>
    <x v="2"/>
    <m/>
    <m/>
    <x v="15"/>
    <m/>
  </r>
  <r>
    <n v="794"/>
    <n v="55"/>
    <s v="Male"/>
    <s v="Kidney Stones"/>
    <s v="Lithotripsy"/>
    <n v="6000"/>
    <n v="56"/>
    <s v="No"/>
    <s v="Recovered"/>
    <n v="3"/>
    <x v="2"/>
    <m/>
    <m/>
    <x v="15"/>
    <m/>
  </r>
  <r>
    <n v="795"/>
    <n v="65"/>
    <s v="Female"/>
    <s v="Osteoarthritis"/>
    <s v="Physical Therapy and Pain Management"/>
    <n v="4000"/>
    <n v="57"/>
    <s v="No"/>
    <s v="Stable"/>
    <n v="4"/>
    <x v="2"/>
    <m/>
    <m/>
    <x v="15"/>
    <m/>
  </r>
  <r>
    <n v="796"/>
    <n v="55"/>
    <s v="Female"/>
    <s v="Heart Disease"/>
    <s v="Angioplasty"/>
    <n v="15000"/>
    <n v="58"/>
    <s v="Yes"/>
    <s v="Recovered"/>
    <n v="3"/>
    <x v="2"/>
    <m/>
    <m/>
    <x v="15"/>
    <m/>
  </r>
  <r>
    <n v="797"/>
    <n v="62"/>
    <s v="Male"/>
    <s v="Diabetes"/>
    <s v="Insulin Therapy"/>
    <n v="2000"/>
    <n v="56"/>
    <s v="No"/>
    <s v="Stable"/>
    <n v="4"/>
    <x v="2"/>
    <m/>
    <m/>
    <x v="15"/>
    <m/>
  </r>
  <r>
    <n v="798"/>
    <n v="35"/>
    <s v="Female"/>
    <s v="Fractured Arm"/>
    <s v="X-Ray and Splint"/>
    <n v="500"/>
    <n v="54"/>
    <s v="Yes"/>
    <s v="Recovered"/>
    <n v="5"/>
    <x v="2"/>
    <m/>
    <m/>
    <x v="15"/>
    <m/>
  </r>
  <r>
    <n v="799"/>
    <n v="78"/>
    <s v="Male"/>
    <s v="Stroke"/>
    <s v="CT Scan and Medication"/>
    <n v="10000"/>
    <n v="61"/>
    <s v="No"/>
    <s v="Stable"/>
    <n v="2"/>
    <x v="2"/>
    <m/>
    <m/>
    <x v="15"/>
    <m/>
  </r>
  <r>
    <n v="800"/>
    <n v="53"/>
    <s v="Female"/>
    <s v="Cancer"/>
    <s v="Surgery and Chemotherapy"/>
    <n v="25000"/>
    <n v="63"/>
    <s v="Yes"/>
    <s v="Recovered"/>
    <n v="4"/>
    <x v="2"/>
    <m/>
    <m/>
    <x v="15"/>
    <m/>
  </r>
  <r>
    <n v="801"/>
    <n v="72"/>
    <s v="Male"/>
    <s v="Hypertension"/>
    <s v="Medication and Counseling"/>
    <n v="1000"/>
    <n v="57"/>
    <s v="No"/>
    <s v="Stable"/>
    <n v="4"/>
    <x v="2"/>
    <m/>
    <m/>
    <x v="15"/>
    <m/>
  </r>
  <r>
    <n v="802"/>
    <n v="60"/>
    <s v="Female"/>
    <s v="Appendicitis"/>
    <s v="Appendectomy"/>
    <n v="8000"/>
    <n v="59"/>
    <s v="Yes"/>
    <s v="Recovered"/>
    <n v="3"/>
    <x v="2"/>
    <m/>
    <m/>
    <x v="15"/>
    <m/>
  </r>
  <r>
    <n v="803"/>
    <n v="45"/>
    <s v="Male"/>
    <s v="Fractured Leg"/>
    <s v="Cast and Physical Therapy"/>
    <n v="3000"/>
    <n v="59"/>
    <s v="No"/>
    <s v="Recovered"/>
    <n v="4"/>
    <x v="2"/>
    <m/>
    <m/>
    <x v="15"/>
    <m/>
  </r>
  <r>
    <n v="804"/>
    <n v="75"/>
    <s v="Female"/>
    <s v="Heart Attack"/>
    <s v="Cardiac Catheterization"/>
    <n v="18000"/>
    <n v="61"/>
    <s v="Yes"/>
    <s v="Stable"/>
    <n v="2"/>
    <x v="2"/>
    <m/>
    <m/>
    <x v="15"/>
    <m/>
  </r>
  <r>
    <n v="805"/>
    <n v="28"/>
    <s v="Male"/>
    <s v="Allergic Reaction"/>
    <s v="Epinephrine Injection"/>
    <n v="100"/>
    <n v="54"/>
    <s v="No"/>
    <s v="Recovered"/>
    <n v="5"/>
    <x v="2"/>
    <m/>
    <m/>
    <x v="15"/>
    <m/>
  </r>
  <r>
    <n v="806"/>
    <n v="52"/>
    <s v="Female"/>
    <s v="Respiratory Infection"/>
    <s v="Antibiotics and Rest"/>
    <n v="800"/>
    <n v="55"/>
    <s v="No"/>
    <s v="Stable"/>
    <n v="4"/>
    <x v="2"/>
    <m/>
    <m/>
    <x v="15"/>
    <m/>
  </r>
  <r>
    <n v="807"/>
    <n v="67"/>
    <s v="Male"/>
    <s v="Prostate Cancer"/>
    <s v="Radiation Therapy"/>
    <n v="20000"/>
    <n v="62"/>
    <s v="No"/>
    <s v="Recovered"/>
    <n v="3"/>
    <x v="2"/>
    <m/>
    <m/>
    <x v="15"/>
    <m/>
  </r>
  <r>
    <n v="808"/>
    <n v="35"/>
    <s v="Female"/>
    <s v="Childbirth"/>
    <s v="Delivery and Postnatal Care"/>
    <n v="12000"/>
    <n v="56"/>
    <s v="No"/>
    <s v="Recovered"/>
    <n v="4"/>
    <x v="2"/>
    <m/>
    <m/>
    <x v="15"/>
    <m/>
  </r>
  <r>
    <n v="809"/>
    <n v="50"/>
    <s v="Male"/>
    <s v="Kidney Stones"/>
    <s v="Lithotripsy"/>
    <n v="6000"/>
    <n v="57"/>
    <s v="No"/>
    <s v="Recovered"/>
    <n v="3"/>
    <x v="2"/>
    <m/>
    <m/>
    <x v="15"/>
    <m/>
  </r>
  <r>
    <n v="810"/>
    <n v="60"/>
    <s v="Female"/>
    <s v="Osteoarthritis"/>
    <s v="Physical Therapy and Pain Management"/>
    <n v="4000"/>
    <n v="58"/>
    <s v="No"/>
    <s v="Stable"/>
    <n v="4"/>
    <x v="2"/>
    <m/>
    <m/>
    <x v="15"/>
    <m/>
  </r>
  <r>
    <n v="811"/>
    <n v="48"/>
    <s v="Female"/>
    <s v="Heart Disease"/>
    <s v="Angioplasty"/>
    <n v="15000"/>
    <n v="59"/>
    <s v="Yes"/>
    <s v="Recovered"/>
    <n v="4"/>
    <x v="2"/>
    <m/>
    <m/>
    <x v="15"/>
    <m/>
  </r>
  <r>
    <n v="812"/>
    <n v="65"/>
    <s v="Male"/>
    <s v="Diabetes"/>
    <s v="Insulin Therapy"/>
    <n v="2000"/>
    <n v="57"/>
    <s v="No"/>
    <s v="Stable"/>
    <n v="3"/>
    <x v="2"/>
    <m/>
    <m/>
    <x v="15"/>
    <m/>
  </r>
  <r>
    <n v="813"/>
    <n v="30"/>
    <s v="Female"/>
    <s v="Fractured Arm"/>
    <s v="X-Ray and Splint"/>
    <n v="500"/>
    <n v="55"/>
    <s v="No"/>
    <s v="Recovered"/>
    <n v="5"/>
    <x v="2"/>
    <m/>
    <m/>
    <x v="15"/>
    <m/>
  </r>
  <r>
    <n v="814"/>
    <n v="70"/>
    <s v="Male"/>
    <s v="Stroke"/>
    <s v="CT Scan and Medication"/>
    <n v="10000"/>
    <n v="62"/>
    <s v="Yes"/>
    <s v="Stable"/>
    <n v="2"/>
    <x v="2"/>
    <m/>
    <m/>
    <x v="15"/>
    <m/>
  </r>
  <r>
    <n v="815"/>
    <n v="55"/>
    <s v="Female"/>
    <s v="Cancer"/>
    <s v="Surgery and Chemotherapy"/>
    <n v="25000"/>
    <n v="64"/>
    <s v="No"/>
    <s v="Recovered"/>
    <n v="4"/>
    <x v="2"/>
    <m/>
    <m/>
    <x v="15"/>
    <m/>
  </r>
  <r>
    <n v="816"/>
    <n v="68"/>
    <s v="Male"/>
    <s v="Hypertension"/>
    <s v="Medication and Counseling"/>
    <n v="1000"/>
    <n v="58"/>
    <s v="No"/>
    <s v="Stable"/>
    <n v="4"/>
    <x v="2"/>
    <m/>
    <m/>
    <x v="15"/>
    <m/>
  </r>
  <r>
    <n v="817"/>
    <n v="45"/>
    <s v="Female"/>
    <s v="Appendicitis"/>
    <s v="Appendectomy"/>
    <n v="8000"/>
    <n v="60"/>
    <s v="No"/>
    <s v="Recovered"/>
    <n v="3"/>
    <x v="2"/>
    <m/>
    <m/>
    <x v="15"/>
    <m/>
  </r>
  <r>
    <n v="818"/>
    <n v="40"/>
    <s v="Male"/>
    <s v="Fractured Leg"/>
    <s v="Cast and Physical Therapy"/>
    <n v="3000"/>
    <n v="60"/>
    <s v="No"/>
    <s v="Recovered"/>
    <n v="4"/>
    <x v="2"/>
    <m/>
    <m/>
    <x v="15"/>
    <m/>
  </r>
  <r>
    <n v="819"/>
    <n v="78"/>
    <s v="Female"/>
    <s v="Heart Attack"/>
    <s v="Cardiac Catheterization"/>
    <n v="18000"/>
    <n v="62"/>
    <s v="Yes"/>
    <s v="Stable"/>
    <n v="2"/>
    <x v="2"/>
    <m/>
    <m/>
    <x v="15"/>
    <m/>
  </r>
  <r>
    <n v="820"/>
    <n v="25"/>
    <s v="Male"/>
    <s v="Allergic Reaction"/>
    <s v="Epinephrine Injection"/>
    <n v="100"/>
    <n v="55"/>
    <s v="No"/>
    <s v="Recovered"/>
    <n v="5"/>
    <x v="2"/>
    <m/>
    <m/>
    <x v="15"/>
    <m/>
  </r>
  <r>
    <n v="821"/>
    <n v="52"/>
    <s v="Female"/>
    <s v="Respiratory Infection"/>
    <s v="Antibiotics and Rest"/>
    <n v="800"/>
    <n v="56"/>
    <s v="No"/>
    <s v="Stable"/>
    <n v="4"/>
    <x v="2"/>
    <m/>
    <m/>
    <x v="15"/>
    <m/>
  </r>
  <r>
    <n v="822"/>
    <n v="58"/>
    <s v="Male"/>
    <s v="Prostate Cancer"/>
    <s v="Radiation Therapy"/>
    <n v="20000"/>
    <n v="63"/>
    <s v="No"/>
    <s v="Recovered"/>
    <n v="3"/>
    <x v="2"/>
    <m/>
    <m/>
    <x v="15"/>
    <m/>
  </r>
  <r>
    <n v="823"/>
    <n v="32"/>
    <s v="Female"/>
    <s v="Childbirth"/>
    <s v="Delivery and Postnatal Care"/>
    <n v="12000"/>
    <n v="57"/>
    <s v="No"/>
    <s v="Recovered"/>
    <n v="4"/>
    <x v="2"/>
    <m/>
    <m/>
    <x v="15"/>
    <m/>
  </r>
  <r>
    <n v="824"/>
    <n v="55"/>
    <s v="Male"/>
    <s v="Kidney Stones"/>
    <s v="Lithotripsy"/>
    <n v="6000"/>
    <n v="58"/>
    <s v="No"/>
    <s v="Recovered"/>
    <n v="3"/>
    <x v="2"/>
    <m/>
    <m/>
    <x v="15"/>
    <m/>
  </r>
  <r>
    <n v="825"/>
    <n v="65"/>
    <s v="Female"/>
    <s v="Osteoarthritis"/>
    <s v="Physical Therapy and Pain Management"/>
    <n v="4000"/>
    <n v="59"/>
    <s v="No"/>
    <s v="Stable"/>
    <n v="4"/>
    <x v="2"/>
    <m/>
    <m/>
    <x v="15"/>
    <m/>
  </r>
  <r>
    <n v="826"/>
    <n v="55"/>
    <s v="Female"/>
    <s v="Heart Disease"/>
    <s v="Angioplasty"/>
    <n v="15000"/>
    <n v="60"/>
    <s v="Yes"/>
    <s v="Recovered"/>
    <n v="3"/>
    <x v="2"/>
    <m/>
    <m/>
    <x v="15"/>
    <m/>
  </r>
  <r>
    <n v="827"/>
    <n v="62"/>
    <s v="Male"/>
    <s v="Diabetes"/>
    <s v="Insulin Therapy"/>
    <n v="2000"/>
    <n v="58"/>
    <s v="No"/>
    <s v="Stable"/>
    <n v="4"/>
    <x v="2"/>
    <m/>
    <m/>
    <x v="15"/>
    <m/>
  </r>
  <r>
    <n v="828"/>
    <n v="35"/>
    <s v="Female"/>
    <s v="Fractured Arm"/>
    <s v="X-Ray and Splint"/>
    <n v="500"/>
    <n v="56"/>
    <s v="Yes"/>
    <s v="Recovered"/>
    <n v="5"/>
    <x v="2"/>
    <m/>
    <m/>
    <x v="15"/>
    <m/>
  </r>
  <r>
    <n v="829"/>
    <n v="78"/>
    <s v="Male"/>
    <s v="Stroke"/>
    <s v="CT Scan and Medication"/>
    <n v="10000"/>
    <n v="63"/>
    <s v="No"/>
    <s v="Stable"/>
    <n v="2"/>
    <x v="2"/>
    <m/>
    <m/>
    <x v="15"/>
    <m/>
  </r>
  <r>
    <n v="830"/>
    <n v="53"/>
    <s v="Female"/>
    <s v="Cancer"/>
    <s v="Surgery and Chemotherapy"/>
    <n v="25000"/>
    <n v="65"/>
    <s v="Yes"/>
    <s v="Recovered"/>
    <n v="4"/>
    <x v="2"/>
    <m/>
    <m/>
    <x v="15"/>
    <m/>
  </r>
  <r>
    <n v="831"/>
    <n v="72"/>
    <s v="Male"/>
    <s v="Hypertension"/>
    <s v="Medication and Counseling"/>
    <n v="1000"/>
    <n v="59"/>
    <s v="No"/>
    <s v="Stable"/>
    <n v="4"/>
    <x v="2"/>
    <m/>
    <m/>
    <x v="15"/>
    <m/>
  </r>
  <r>
    <n v="832"/>
    <n v="60"/>
    <s v="Female"/>
    <s v="Appendicitis"/>
    <s v="Appendectomy"/>
    <n v="8000"/>
    <n v="61"/>
    <s v="Yes"/>
    <s v="Recovered"/>
    <n v="3"/>
    <x v="2"/>
    <m/>
    <m/>
    <x v="15"/>
    <m/>
  </r>
  <r>
    <n v="833"/>
    <n v="45"/>
    <s v="Male"/>
    <s v="Fractured Leg"/>
    <s v="Cast and Physical Therapy"/>
    <n v="3000"/>
    <n v="61"/>
    <s v="No"/>
    <s v="Recovered"/>
    <n v="4"/>
    <x v="2"/>
    <m/>
    <m/>
    <x v="15"/>
    <m/>
  </r>
  <r>
    <n v="834"/>
    <n v="75"/>
    <s v="Female"/>
    <s v="Heart Attack"/>
    <s v="Cardiac Catheterization"/>
    <n v="18000"/>
    <n v="63"/>
    <s v="Yes"/>
    <s v="Stable"/>
    <n v="2"/>
    <x v="2"/>
    <m/>
    <m/>
    <x v="15"/>
    <m/>
  </r>
  <r>
    <n v="835"/>
    <n v="28"/>
    <s v="Male"/>
    <s v="Allergic Reaction"/>
    <s v="Epinephrine Injection"/>
    <n v="100"/>
    <n v="56"/>
    <s v="No"/>
    <s v="Recovered"/>
    <n v="5"/>
    <x v="2"/>
    <m/>
    <m/>
    <x v="15"/>
    <m/>
  </r>
  <r>
    <n v="836"/>
    <n v="52"/>
    <s v="Female"/>
    <s v="Respiratory Infection"/>
    <s v="Antibiotics and Rest"/>
    <n v="800"/>
    <n v="57"/>
    <s v="No"/>
    <s v="Stable"/>
    <n v="4"/>
    <x v="2"/>
    <m/>
    <m/>
    <x v="15"/>
    <m/>
  </r>
  <r>
    <n v="837"/>
    <n v="67"/>
    <s v="Male"/>
    <s v="Prostate Cancer"/>
    <s v="Radiation Therapy"/>
    <n v="20000"/>
    <n v="64"/>
    <s v="No"/>
    <s v="Recovered"/>
    <n v="3"/>
    <x v="2"/>
    <m/>
    <m/>
    <x v="15"/>
    <m/>
  </r>
  <r>
    <n v="838"/>
    <n v="35"/>
    <s v="Female"/>
    <s v="Childbirth"/>
    <s v="Delivery and Postnatal Care"/>
    <n v="12000"/>
    <n v="58"/>
    <s v="No"/>
    <s v="Recovered"/>
    <n v="4"/>
    <x v="2"/>
    <m/>
    <m/>
    <x v="15"/>
    <m/>
  </r>
  <r>
    <n v="839"/>
    <n v="50"/>
    <s v="Male"/>
    <s v="Kidney Stones"/>
    <s v="Lithotripsy"/>
    <n v="6000"/>
    <n v="59"/>
    <s v="No"/>
    <s v="Recovered"/>
    <n v="3"/>
    <x v="2"/>
    <m/>
    <m/>
    <x v="15"/>
    <m/>
  </r>
  <r>
    <n v="840"/>
    <n v="60"/>
    <s v="Female"/>
    <s v="Osteoarthritis"/>
    <s v="Physical Therapy and Pain Management"/>
    <n v="4000"/>
    <n v="60"/>
    <s v="No"/>
    <s v="Stable"/>
    <n v="4"/>
    <x v="2"/>
    <m/>
    <m/>
    <x v="15"/>
    <m/>
  </r>
  <r>
    <n v="841"/>
    <n v="48"/>
    <s v="Female"/>
    <s v="Heart Disease"/>
    <s v="Angioplasty"/>
    <n v="15000"/>
    <n v="61"/>
    <s v="Yes"/>
    <s v="Recovered"/>
    <n v="4"/>
    <x v="2"/>
    <m/>
    <m/>
    <x v="15"/>
    <m/>
  </r>
  <r>
    <n v="842"/>
    <n v="65"/>
    <s v="Male"/>
    <s v="Diabetes"/>
    <s v="Insulin Therapy"/>
    <n v="2000"/>
    <n v="59"/>
    <s v="No"/>
    <s v="Stable"/>
    <n v="3"/>
    <x v="2"/>
    <m/>
    <m/>
    <x v="15"/>
    <m/>
  </r>
  <r>
    <n v="843"/>
    <n v="30"/>
    <s v="Female"/>
    <s v="Fractured Arm"/>
    <s v="X-Ray and Splint"/>
    <n v="500"/>
    <n v="57"/>
    <s v="No"/>
    <s v="Recovered"/>
    <n v="5"/>
    <x v="2"/>
    <m/>
    <m/>
    <x v="15"/>
    <m/>
  </r>
  <r>
    <n v="844"/>
    <n v="70"/>
    <s v="Male"/>
    <s v="Stroke"/>
    <s v="CT Scan and Medication"/>
    <n v="10000"/>
    <n v="64"/>
    <s v="Yes"/>
    <s v="Stable"/>
    <n v="2"/>
    <x v="2"/>
    <m/>
    <m/>
    <x v="15"/>
    <m/>
  </r>
  <r>
    <n v="846"/>
    <n v="68"/>
    <s v="Male"/>
    <s v="Hypertension"/>
    <s v="Medication and Counseling"/>
    <n v="1000"/>
    <n v="60"/>
    <s v="No"/>
    <s v="Stable"/>
    <n v="4"/>
    <x v="2"/>
    <m/>
    <m/>
    <x v="15"/>
    <m/>
  </r>
  <r>
    <n v="847"/>
    <n v="45"/>
    <s v="Female"/>
    <s v="Appendicitis"/>
    <s v="Appendectomy"/>
    <n v="8000"/>
    <n v="62"/>
    <s v="No"/>
    <s v="Recovered"/>
    <n v="3"/>
    <x v="2"/>
    <m/>
    <m/>
    <x v="15"/>
    <m/>
  </r>
  <r>
    <n v="848"/>
    <n v="40"/>
    <s v="Male"/>
    <s v="Fractured Leg"/>
    <s v="Cast and Physical Therapy"/>
    <n v="3000"/>
    <n v="62"/>
    <s v="No"/>
    <s v="Recovered"/>
    <n v="4"/>
    <x v="2"/>
    <m/>
    <m/>
    <x v="15"/>
    <m/>
  </r>
  <r>
    <n v="849"/>
    <n v="78"/>
    <s v="Female"/>
    <s v="Heart Attack"/>
    <s v="Cardiac Catheterization"/>
    <n v="18000"/>
    <n v="64"/>
    <s v="Yes"/>
    <s v="Stable"/>
    <n v="2"/>
    <x v="2"/>
    <m/>
    <m/>
    <x v="15"/>
    <m/>
  </r>
  <r>
    <n v="850"/>
    <n v="25"/>
    <s v="Male"/>
    <s v="Allergic Reaction"/>
    <s v="Epinephrine Injection"/>
    <n v="100"/>
    <n v="57"/>
    <s v="No"/>
    <s v="Recovered"/>
    <n v="5"/>
    <x v="2"/>
    <m/>
    <m/>
    <x v="15"/>
    <m/>
  </r>
  <r>
    <n v="851"/>
    <n v="52"/>
    <s v="Female"/>
    <s v="Respiratory Infection"/>
    <s v="Antibiotics and Rest"/>
    <n v="800"/>
    <n v="58"/>
    <s v="No"/>
    <s v="Stable"/>
    <n v="4"/>
    <x v="2"/>
    <m/>
    <m/>
    <x v="15"/>
    <m/>
  </r>
  <r>
    <n v="852"/>
    <n v="58"/>
    <s v="Male"/>
    <s v="Prostate Cancer"/>
    <s v="Radiation Therapy"/>
    <n v="20000"/>
    <n v="65"/>
    <s v="No"/>
    <s v="Recovered"/>
    <n v="3"/>
    <x v="2"/>
    <m/>
    <m/>
    <x v="15"/>
    <m/>
  </r>
  <r>
    <n v="853"/>
    <n v="32"/>
    <s v="Female"/>
    <s v="Childbirth"/>
    <s v="Delivery and Postnatal Care"/>
    <n v="12000"/>
    <n v="59"/>
    <s v="No"/>
    <s v="Recovered"/>
    <n v="4"/>
    <x v="2"/>
    <m/>
    <m/>
    <x v="15"/>
    <m/>
  </r>
  <r>
    <n v="854"/>
    <n v="55"/>
    <s v="Male"/>
    <s v="Kidney Stones"/>
    <s v="Lithotripsy"/>
    <n v="6000"/>
    <n v="60"/>
    <s v="No"/>
    <s v="Recovered"/>
    <n v="3"/>
    <x v="2"/>
    <m/>
    <m/>
    <x v="15"/>
    <m/>
  </r>
  <r>
    <n v="855"/>
    <n v="65"/>
    <s v="Female"/>
    <s v="Osteoarthritis"/>
    <s v="Physical Therapy and Pain Management"/>
    <n v="4000"/>
    <n v="61"/>
    <s v="No"/>
    <s v="Stable"/>
    <n v="4"/>
    <x v="2"/>
    <m/>
    <m/>
    <x v="15"/>
    <m/>
  </r>
  <r>
    <n v="856"/>
    <n v="55"/>
    <s v="Female"/>
    <s v="Heart Disease"/>
    <s v="Angioplasty"/>
    <n v="15000"/>
    <n v="62"/>
    <s v="Yes"/>
    <s v="Recovered"/>
    <n v="3"/>
    <x v="2"/>
    <m/>
    <m/>
    <x v="15"/>
    <m/>
  </r>
  <r>
    <n v="857"/>
    <n v="62"/>
    <s v="Male"/>
    <s v="Diabetes"/>
    <s v="Insulin Therapy"/>
    <n v="2000"/>
    <n v="60"/>
    <s v="No"/>
    <s v="Stable"/>
    <n v="4"/>
    <x v="2"/>
    <m/>
    <m/>
    <x v="15"/>
    <m/>
  </r>
  <r>
    <n v="858"/>
    <n v="35"/>
    <s v="Female"/>
    <s v="Fractured Arm"/>
    <s v="X-Ray and Splint"/>
    <n v="500"/>
    <n v="58"/>
    <s v="Yes"/>
    <s v="Recovered"/>
    <n v="5"/>
    <x v="2"/>
    <m/>
    <m/>
    <x v="15"/>
    <m/>
  </r>
  <r>
    <n v="859"/>
    <n v="78"/>
    <s v="Male"/>
    <s v="Stroke"/>
    <s v="CT Scan and Medication"/>
    <n v="10000"/>
    <n v="65"/>
    <s v="No"/>
    <s v="Stable"/>
    <n v="2"/>
    <x v="2"/>
    <m/>
    <m/>
    <x v="15"/>
    <m/>
  </r>
  <r>
    <n v="860"/>
    <n v="53"/>
    <s v="Female"/>
    <s v="Cancer"/>
    <s v="Surgery and Chemotherapy"/>
    <n v="25000"/>
    <n v="67"/>
    <s v="Yes"/>
    <s v="Recovered"/>
    <n v="4"/>
    <x v="2"/>
    <m/>
    <m/>
    <x v="15"/>
    <m/>
  </r>
  <r>
    <n v="861"/>
    <n v="72"/>
    <s v="Male"/>
    <s v="Hypertension"/>
    <s v="Medication and Counseling"/>
    <n v="1000"/>
    <n v="61"/>
    <s v="No"/>
    <s v="Stable"/>
    <n v="4"/>
    <x v="2"/>
    <m/>
    <m/>
    <x v="15"/>
    <m/>
  </r>
  <r>
    <n v="862"/>
    <n v="60"/>
    <s v="Female"/>
    <s v="Appendicitis"/>
    <s v="Appendectomy"/>
    <n v="8000"/>
    <n v="63"/>
    <s v="Yes"/>
    <s v="Recovered"/>
    <n v="3"/>
    <x v="2"/>
    <m/>
    <m/>
    <x v="15"/>
    <m/>
  </r>
  <r>
    <n v="863"/>
    <n v="45"/>
    <s v="Male"/>
    <s v="Fractured Leg"/>
    <s v="Cast and Physical Therapy"/>
    <n v="3000"/>
    <n v="63"/>
    <s v="No"/>
    <s v="Recovered"/>
    <n v="4"/>
    <x v="2"/>
    <m/>
    <m/>
    <x v="15"/>
    <m/>
  </r>
  <r>
    <n v="864"/>
    <n v="75"/>
    <s v="Female"/>
    <s v="Heart Attack"/>
    <s v="Cardiac Catheterization"/>
    <n v="18000"/>
    <n v="65"/>
    <s v="Yes"/>
    <s v="Stable"/>
    <n v="2"/>
    <x v="2"/>
    <m/>
    <m/>
    <x v="15"/>
    <m/>
  </r>
  <r>
    <n v="865"/>
    <n v="28"/>
    <s v="Male"/>
    <s v="Allergic Reaction"/>
    <s v="Epinephrine Injection"/>
    <n v="100"/>
    <n v="58"/>
    <s v="No"/>
    <s v="Recovered"/>
    <n v="5"/>
    <x v="2"/>
    <m/>
    <m/>
    <x v="15"/>
    <m/>
  </r>
  <r>
    <n v="866"/>
    <n v="52"/>
    <s v="Female"/>
    <s v="Respiratory Infection"/>
    <s v="Antibiotics and Rest"/>
    <n v="800"/>
    <n v="59"/>
    <s v="No"/>
    <s v="Stable"/>
    <n v="4"/>
    <x v="2"/>
    <m/>
    <m/>
    <x v="15"/>
    <m/>
  </r>
  <r>
    <n v="867"/>
    <n v="67"/>
    <s v="Male"/>
    <s v="Prostate Cancer"/>
    <s v="Radiation Therapy"/>
    <n v="20000"/>
    <n v="66"/>
    <s v="No"/>
    <s v="Recovered"/>
    <n v="3"/>
    <x v="2"/>
    <m/>
    <m/>
    <x v="15"/>
    <m/>
  </r>
  <r>
    <n v="868"/>
    <n v="35"/>
    <s v="Female"/>
    <s v="Childbirth"/>
    <s v="Delivery and Postnatal Care"/>
    <n v="12000"/>
    <n v="60"/>
    <s v="No"/>
    <s v="Recovered"/>
    <n v="4"/>
    <x v="2"/>
    <m/>
    <m/>
    <x v="15"/>
    <m/>
  </r>
  <r>
    <n v="869"/>
    <n v="50"/>
    <s v="Male"/>
    <s v="Kidney Stones"/>
    <s v="Lithotripsy"/>
    <n v="6000"/>
    <n v="61"/>
    <s v="No"/>
    <s v="Recovered"/>
    <n v="3"/>
    <x v="2"/>
    <m/>
    <m/>
    <x v="15"/>
    <m/>
  </r>
  <r>
    <n v="870"/>
    <n v="60"/>
    <s v="Female"/>
    <s v="Osteoarthritis"/>
    <s v="Physical Therapy and Pain Management"/>
    <n v="4000"/>
    <n v="62"/>
    <s v="No"/>
    <s v="Stable"/>
    <n v="4"/>
    <x v="2"/>
    <m/>
    <m/>
    <x v="15"/>
    <m/>
  </r>
  <r>
    <n v="871"/>
    <n v="48"/>
    <s v="Female"/>
    <s v="Heart Disease"/>
    <s v="Angioplasty"/>
    <n v="15000"/>
    <n v="63"/>
    <s v="Yes"/>
    <s v="Recovered"/>
    <n v="4"/>
    <x v="2"/>
    <m/>
    <m/>
    <x v="15"/>
    <m/>
  </r>
  <r>
    <n v="872"/>
    <n v="65"/>
    <s v="Male"/>
    <s v="Diabetes"/>
    <s v="Insulin Therapy"/>
    <n v="2000"/>
    <n v="61"/>
    <s v="No"/>
    <s v="Stable"/>
    <n v="3"/>
    <x v="2"/>
    <m/>
    <m/>
    <x v="15"/>
    <m/>
  </r>
  <r>
    <n v="873"/>
    <n v="30"/>
    <s v="Female"/>
    <s v="Fractured Arm"/>
    <s v="X-Ray and Splint"/>
    <n v="500"/>
    <n v="59"/>
    <s v="No"/>
    <s v="Recovered"/>
    <n v="5"/>
    <x v="2"/>
    <m/>
    <m/>
    <x v="15"/>
    <m/>
  </r>
  <r>
    <n v="874"/>
    <n v="70"/>
    <s v="Male"/>
    <s v="Stroke"/>
    <s v="CT Scan and Medication"/>
    <n v="10000"/>
    <n v="66"/>
    <s v="Yes"/>
    <s v="Stable"/>
    <n v="2"/>
    <x v="2"/>
    <m/>
    <m/>
    <x v="15"/>
    <m/>
  </r>
  <r>
    <n v="875"/>
    <n v="55"/>
    <s v="Female"/>
    <s v="Cancer"/>
    <s v="Surgery and Chemotherapy"/>
    <n v="25000"/>
    <n v="68"/>
    <s v="No"/>
    <s v="Recovered"/>
    <n v="4"/>
    <x v="2"/>
    <m/>
    <m/>
    <x v="15"/>
    <m/>
  </r>
  <r>
    <n v="876"/>
    <n v="68"/>
    <s v="Male"/>
    <s v="Hypertension"/>
    <s v="Medication and Counseling"/>
    <n v="1000"/>
    <n v="62"/>
    <s v="No"/>
    <s v="Stable"/>
    <n v="4"/>
    <x v="2"/>
    <m/>
    <m/>
    <x v="15"/>
    <m/>
  </r>
  <r>
    <n v="877"/>
    <n v="45"/>
    <s v="Female"/>
    <s v="Appendicitis"/>
    <s v="Appendectomy"/>
    <n v="8000"/>
    <n v="64"/>
    <s v="No"/>
    <s v="Recovered"/>
    <n v="3"/>
    <x v="2"/>
    <m/>
    <m/>
    <x v="15"/>
    <m/>
  </r>
  <r>
    <n v="878"/>
    <n v="40"/>
    <s v="Male"/>
    <s v="Fractured Leg"/>
    <s v="Cast and Physical Therapy"/>
    <n v="3000"/>
    <n v="64"/>
    <s v="No"/>
    <s v="Recovered"/>
    <n v="4"/>
    <x v="2"/>
    <m/>
    <m/>
    <x v="15"/>
    <m/>
  </r>
  <r>
    <n v="879"/>
    <n v="78"/>
    <s v="Female"/>
    <s v="Heart Attack"/>
    <s v="Cardiac Catheterization"/>
    <n v="18000"/>
    <n v="66"/>
    <s v="Yes"/>
    <s v="Stable"/>
    <n v="2"/>
    <x v="2"/>
    <m/>
    <m/>
    <x v="15"/>
    <m/>
  </r>
  <r>
    <n v="880"/>
    <n v="25"/>
    <s v="Male"/>
    <s v="Allergic Reaction"/>
    <s v="Epinephrine Injection"/>
    <n v="100"/>
    <n v="59"/>
    <s v="No"/>
    <s v="Recovered"/>
    <n v="5"/>
    <x v="2"/>
    <m/>
    <m/>
    <x v="15"/>
    <m/>
  </r>
  <r>
    <n v="881"/>
    <n v="52"/>
    <s v="Female"/>
    <s v="Respiratory Infection"/>
    <s v="Antibiotics and Rest"/>
    <n v="800"/>
    <n v="60"/>
    <s v="No"/>
    <s v="Stable"/>
    <n v="4"/>
    <x v="2"/>
    <m/>
    <m/>
    <x v="15"/>
    <m/>
  </r>
  <r>
    <n v="882"/>
    <n v="58"/>
    <s v="Male"/>
    <s v="Prostate Cancer"/>
    <s v="Radiation Therapy"/>
    <n v="20000"/>
    <n v="67"/>
    <s v="No"/>
    <s v="Recovered"/>
    <n v="3"/>
    <x v="2"/>
    <m/>
    <m/>
    <x v="15"/>
    <m/>
  </r>
  <r>
    <n v="883"/>
    <n v="32"/>
    <s v="Female"/>
    <s v="Childbirth"/>
    <s v="Delivery and Postnatal Care"/>
    <n v="12000"/>
    <n v="61"/>
    <s v="No"/>
    <s v="Recovered"/>
    <n v="4"/>
    <x v="2"/>
    <m/>
    <m/>
    <x v="15"/>
    <m/>
  </r>
  <r>
    <n v="884"/>
    <n v="55"/>
    <s v="Male"/>
    <s v="Kidney Stones"/>
    <s v="Lithotripsy"/>
    <n v="6000"/>
    <n v="62"/>
    <s v="No"/>
    <s v="Recovered"/>
    <n v="3"/>
    <x v="2"/>
    <m/>
    <m/>
    <x v="15"/>
    <m/>
  </r>
  <r>
    <n v="885"/>
    <n v="65"/>
    <s v="Female"/>
    <s v="Osteoarthritis"/>
    <s v="Physical Therapy and Pain Management"/>
    <n v="4000"/>
    <n v="63"/>
    <s v="No"/>
    <s v="Stable"/>
    <n v="4"/>
    <x v="2"/>
    <m/>
    <m/>
    <x v="15"/>
    <m/>
  </r>
  <r>
    <n v="886"/>
    <n v="55"/>
    <s v="Female"/>
    <s v="Heart Disease"/>
    <s v="Angioplasty"/>
    <n v="15000"/>
    <n v="64"/>
    <s v="Yes"/>
    <s v="Recovered"/>
    <n v="3"/>
    <x v="2"/>
    <m/>
    <m/>
    <x v="15"/>
    <m/>
  </r>
  <r>
    <n v="887"/>
    <n v="62"/>
    <s v="Male"/>
    <s v="Diabetes"/>
    <s v="Insulin Therapy"/>
    <n v="2000"/>
    <n v="62"/>
    <s v="No"/>
    <s v="Stable"/>
    <n v="4"/>
    <x v="2"/>
    <m/>
    <m/>
    <x v="15"/>
    <m/>
  </r>
  <r>
    <n v="888"/>
    <n v="35"/>
    <s v="Female"/>
    <s v="Fractured Arm"/>
    <s v="X-Ray and Splint"/>
    <n v="500"/>
    <n v="60"/>
    <s v="Yes"/>
    <s v="Recovered"/>
    <n v="5"/>
    <x v="2"/>
    <m/>
    <m/>
    <x v="15"/>
    <m/>
  </r>
  <r>
    <n v="889"/>
    <n v="78"/>
    <s v="Male"/>
    <s v="Stroke"/>
    <s v="CT Scan and Medication"/>
    <n v="10000"/>
    <n v="67"/>
    <s v="No"/>
    <s v="Stable"/>
    <n v="2"/>
    <x v="2"/>
    <m/>
    <m/>
    <x v="15"/>
    <m/>
  </r>
  <r>
    <n v="890"/>
    <n v="53"/>
    <s v="Female"/>
    <s v="Cancer"/>
    <s v="Surgery and Chemotherapy"/>
    <n v="25000"/>
    <n v="69"/>
    <s v="Yes"/>
    <s v="Recovered"/>
    <n v="4"/>
    <x v="2"/>
    <m/>
    <m/>
    <x v="15"/>
    <m/>
  </r>
  <r>
    <n v="891"/>
    <n v="72"/>
    <s v="Male"/>
    <s v="Hypertension"/>
    <s v="Medication and Counseling"/>
    <n v="1000"/>
    <n v="63"/>
    <s v="No"/>
    <s v="Stable"/>
    <n v="4"/>
    <x v="2"/>
    <m/>
    <m/>
    <x v="15"/>
    <m/>
  </r>
  <r>
    <n v="892"/>
    <n v="60"/>
    <s v="Female"/>
    <s v="Appendicitis"/>
    <s v="Appendectomy"/>
    <n v="8000"/>
    <n v="65"/>
    <s v="Yes"/>
    <s v="Recovered"/>
    <n v="3"/>
    <x v="2"/>
    <m/>
    <m/>
    <x v="15"/>
    <m/>
  </r>
  <r>
    <n v="893"/>
    <n v="45"/>
    <s v="Male"/>
    <s v="Fractured Leg"/>
    <s v="Cast and Physical Therapy"/>
    <n v="3000"/>
    <n v="65"/>
    <s v="No"/>
    <s v="Recovered"/>
    <n v="4"/>
    <x v="2"/>
    <m/>
    <m/>
    <x v="15"/>
    <m/>
  </r>
  <r>
    <n v="894"/>
    <n v="75"/>
    <s v="Female"/>
    <s v="Heart Attack"/>
    <s v="Cardiac Catheterization"/>
    <n v="18000"/>
    <n v="67"/>
    <s v="Yes"/>
    <s v="Stable"/>
    <n v="2"/>
    <x v="2"/>
    <m/>
    <m/>
    <x v="15"/>
    <m/>
  </r>
  <r>
    <n v="895"/>
    <n v="28"/>
    <s v="Male"/>
    <s v="Allergic Reaction"/>
    <s v="Epinephrine Injection"/>
    <n v="100"/>
    <n v="60"/>
    <s v="No"/>
    <s v="Recovered"/>
    <n v="5"/>
    <x v="2"/>
    <m/>
    <m/>
    <x v="15"/>
    <m/>
  </r>
  <r>
    <n v="896"/>
    <n v="52"/>
    <s v="Female"/>
    <s v="Respiratory Infection"/>
    <s v="Antibiotics and Rest"/>
    <n v="800"/>
    <n v="61"/>
    <s v="No"/>
    <s v="Stable"/>
    <n v="4"/>
    <x v="2"/>
    <m/>
    <m/>
    <x v="15"/>
    <m/>
  </r>
  <r>
    <n v="897"/>
    <n v="67"/>
    <s v="Male"/>
    <s v="Prostate Cancer"/>
    <s v="Radiation Therapy"/>
    <n v="20000"/>
    <n v="68"/>
    <s v="No"/>
    <s v="Recovered"/>
    <n v="3"/>
    <x v="2"/>
    <m/>
    <m/>
    <x v="15"/>
    <m/>
  </r>
  <r>
    <n v="898"/>
    <n v="35"/>
    <s v="Female"/>
    <s v="Childbirth"/>
    <s v="Delivery and Postnatal Care"/>
    <n v="12000"/>
    <n v="62"/>
    <s v="No"/>
    <s v="Recovered"/>
    <n v="4"/>
    <x v="2"/>
    <m/>
    <m/>
    <x v="15"/>
    <m/>
  </r>
  <r>
    <n v="899"/>
    <n v="50"/>
    <s v="Male"/>
    <s v="Kidney Stones"/>
    <s v="Lithotripsy"/>
    <n v="6000"/>
    <n v="63"/>
    <s v="No"/>
    <s v="Recovered"/>
    <n v="3"/>
    <x v="2"/>
    <m/>
    <m/>
    <x v="15"/>
    <m/>
  </r>
  <r>
    <n v="900"/>
    <n v="60"/>
    <s v="Female"/>
    <s v="Osteoarthritis"/>
    <s v="Physical Therapy and Pain Management"/>
    <n v="4000"/>
    <n v="64"/>
    <s v="No"/>
    <s v="Stable"/>
    <n v="4"/>
    <x v="2"/>
    <m/>
    <m/>
    <x v="15"/>
    <m/>
  </r>
  <r>
    <n v="901"/>
    <n v="48"/>
    <s v="Female"/>
    <s v="Heart Disease"/>
    <s v="Angioplasty"/>
    <n v="15000"/>
    <n v="65"/>
    <s v="Yes"/>
    <s v="Recovered"/>
    <n v="4"/>
    <x v="2"/>
    <m/>
    <m/>
    <x v="15"/>
    <m/>
  </r>
  <r>
    <n v="902"/>
    <n v="65"/>
    <s v="Male"/>
    <s v="Diabetes"/>
    <s v="Insulin Therapy"/>
    <n v="2000"/>
    <n v="63"/>
    <s v="No"/>
    <s v="Stable"/>
    <n v="3"/>
    <x v="2"/>
    <m/>
    <m/>
    <x v="15"/>
    <m/>
  </r>
  <r>
    <n v="903"/>
    <n v="30"/>
    <s v="Female"/>
    <s v="Fractured Arm"/>
    <s v="X-Ray and Splint"/>
    <n v="500"/>
    <n v="61"/>
    <s v="No"/>
    <s v="Recovered"/>
    <n v="5"/>
    <x v="2"/>
    <m/>
    <m/>
    <x v="15"/>
    <m/>
  </r>
  <r>
    <n v="904"/>
    <n v="70"/>
    <s v="Male"/>
    <s v="Stroke"/>
    <s v="CT Scan and Medication"/>
    <n v="10000"/>
    <n v="68"/>
    <s v="Yes"/>
    <s v="Stable"/>
    <n v="2"/>
    <x v="2"/>
    <m/>
    <m/>
    <x v="15"/>
    <m/>
  </r>
  <r>
    <n v="905"/>
    <n v="55"/>
    <s v="Female"/>
    <s v="Cancer"/>
    <s v="Surgery and Chemotherapy"/>
    <n v="25000"/>
    <n v="70"/>
    <s v="No"/>
    <s v="Recovered"/>
    <n v="4"/>
    <x v="2"/>
    <m/>
    <m/>
    <x v="15"/>
    <m/>
  </r>
  <r>
    <n v="907"/>
    <n v="45"/>
    <s v="Female"/>
    <s v="Appendicitis"/>
    <s v="Appendectomy"/>
    <n v="8000"/>
    <n v="66"/>
    <s v="No"/>
    <s v="Recovered"/>
    <n v="3"/>
    <x v="2"/>
    <m/>
    <m/>
    <x v="15"/>
    <m/>
  </r>
  <r>
    <n v="908"/>
    <n v="40"/>
    <s v="Male"/>
    <s v="Fractured Leg"/>
    <s v="Cast and Physical Therapy"/>
    <n v="3000"/>
    <n v="66"/>
    <s v="No"/>
    <s v="Recovered"/>
    <n v="4"/>
    <x v="2"/>
    <m/>
    <m/>
    <x v="15"/>
    <m/>
  </r>
  <r>
    <n v="909"/>
    <n v="78"/>
    <s v="Female"/>
    <s v="Heart Attack"/>
    <s v="Cardiac Catheterization"/>
    <n v="18000"/>
    <n v="68"/>
    <s v="Yes"/>
    <s v="Stable"/>
    <n v="2"/>
    <x v="2"/>
    <m/>
    <m/>
    <x v="15"/>
    <m/>
  </r>
  <r>
    <n v="910"/>
    <n v="25"/>
    <s v="Male"/>
    <s v="Allergic Reaction"/>
    <s v="Epinephrine Injection"/>
    <n v="100"/>
    <n v="61"/>
    <s v="No"/>
    <s v="Recovered"/>
    <n v="5"/>
    <x v="2"/>
    <m/>
    <m/>
    <x v="15"/>
    <m/>
  </r>
  <r>
    <n v="911"/>
    <n v="52"/>
    <s v="Female"/>
    <s v="Respiratory Infection"/>
    <s v="Antibiotics and Rest"/>
    <n v="800"/>
    <n v="62"/>
    <s v="No"/>
    <s v="Stable"/>
    <n v="4"/>
    <x v="2"/>
    <m/>
    <m/>
    <x v="15"/>
    <m/>
  </r>
  <r>
    <n v="912"/>
    <n v="58"/>
    <s v="Male"/>
    <s v="Prostate Cancer"/>
    <s v="Radiation Therapy"/>
    <n v="20000"/>
    <n v="69"/>
    <s v="No"/>
    <s v="Recovered"/>
    <n v="3"/>
    <x v="2"/>
    <m/>
    <m/>
    <x v="15"/>
    <m/>
  </r>
  <r>
    <n v="913"/>
    <n v="32"/>
    <s v="Female"/>
    <s v="Childbirth"/>
    <s v="Delivery and Postnatal Care"/>
    <n v="12000"/>
    <n v="63"/>
    <s v="No"/>
    <s v="Recovered"/>
    <n v="4"/>
    <x v="2"/>
    <m/>
    <m/>
    <x v="15"/>
    <m/>
  </r>
  <r>
    <n v="914"/>
    <n v="55"/>
    <s v="Male"/>
    <s v="Kidney Stones"/>
    <s v="Lithotripsy"/>
    <n v="6000"/>
    <n v="64"/>
    <s v="No"/>
    <s v="Recovered"/>
    <n v="3"/>
    <x v="2"/>
    <m/>
    <m/>
    <x v="15"/>
    <m/>
  </r>
  <r>
    <n v="915"/>
    <n v="65"/>
    <s v="Female"/>
    <s v="Osteoarthritis"/>
    <s v="Physical Therapy and Pain Management"/>
    <n v="4000"/>
    <n v="65"/>
    <s v="No"/>
    <s v="Stable"/>
    <n v="4"/>
    <x v="2"/>
    <m/>
    <m/>
    <x v="15"/>
    <m/>
  </r>
  <r>
    <n v="916"/>
    <n v="55"/>
    <s v="Female"/>
    <s v="Heart Disease"/>
    <s v="Angioplasty"/>
    <n v="15000"/>
    <n v="66"/>
    <s v="Yes"/>
    <s v="Recovered"/>
    <n v="3"/>
    <x v="2"/>
    <m/>
    <m/>
    <x v="15"/>
    <m/>
  </r>
  <r>
    <n v="917"/>
    <n v="62"/>
    <s v="Male"/>
    <s v="Diabetes"/>
    <s v="Insulin Therapy"/>
    <n v="2000"/>
    <n v="64"/>
    <s v="No"/>
    <s v="Stable"/>
    <n v="4"/>
    <x v="2"/>
    <m/>
    <m/>
    <x v="15"/>
    <m/>
  </r>
  <r>
    <n v="918"/>
    <n v="35"/>
    <s v="Female"/>
    <s v="Fractured Arm"/>
    <s v="X-Ray and Splint"/>
    <n v="500"/>
    <n v="62"/>
    <s v="Yes"/>
    <s v="Recovered"/>
    <n v="5"/>
    <x v="2"/>
    <m/>
    <m/>
    <x v="15"/>
    <m/>
  </r>
  <r>
    <n v="919"/>
    <n v="78"/>
    <s v="Male"/>
    <s v="Stroke"/>
    <s v="CT Scan and Medication"/>
    <n v="10000"/>
    <n v="69"/>
    <s v="No"/>
    <s v="Stable"/>
    <n v="2"/>
    <x v="2"/>
    <m/>
    <m/>
    <x v="15"/>
    <m/>
  </r>
  <r>
    <n v="920"/>
    <n v="53"/>
    <s v="Female"/>
    <s v="Cancer"/>
    <s v="Surgery and Chemotherapy"/>
    <n v="25000"/>
    <n v="71"/>
    <s v="Yes"/>
    <s v="Recovered"/>
    <n v="4"/>
    <x v="2"/>
    <m/>
    <m/>
    <x v="15"/>
    <m/>
  </r>
  <r>
    <n v="921"/>
    <n v="72"/>
    <s v="Male"/>
    <s v="Hypertension"/>
    <s v="Medication and Counseling"/>
    <n v="1000"/>
    <n v="65"/>
    <s v="No"/>
    <s v="Stable"/>
    <n v="4"/>
    <x v="2"/>
    <m/>
    <m/>
    <x v="15"/>
    <m/>
  </r>
  <r>
    <n v="922"/>
    <n v="60"/>
    <s v="Female"/>
    <s v="Appendicitis"/>
    <s v="Appendectomy"/>
    <n v="8000"/>
    <n v="67"/>
    <s v="Yes"/>
    <s v="Recovered"/>
    <n v="3"/>
    <x v="2"/>
    <m/>
    <m/>
    <x v="15"/>
    <m/>
  </r>
  <r>
    <n v="923"/>
    <n v="45"/>
    <s v="Male"/>
    <s v="Fractured Leg"/>
    <s v="Cast and Physical Therapy"/>
    <n v="3000"/>
    <n v="67"/>
    <s v="No"/>
    <s v="Recovered"/>
    <n v="4"/>
    <x v="2"/>
    <m/>
    <m/>
    <x v="15"/>
    <m/>
  </r>
  <r>
    <n v="924"/>
    <n v="75"/>
    <s v="Female"/>
    <s v="Heart Attack"/>
    <s v="Cardiac Catheterization"/>
    <n v="18000"/>
    <n v="69"/>
    <s v="Yes"/>
    <s v="Stable"/>
    <n v="2"/>
    <x v="2"/>
    <m/>
    <m/>
    <x v="15"/>
    <m/>
  </r>
  <r>
    <n v="925"/>
    <n v="28"/>
    <s v="Male"/>
    <s v="Allergic Reaction"/>
    <s v="Epinephrine Injection"/>
    <n v="100"/>
    <n v="62"/>
    <s v="No"/>
    <s v="Recovered"/>
    <n v="5"/>
    <x v="2"/>
    <m/>
    <m/>
    <x v="15"/>
    <m/>
  </r>
  <r>
    <n v="926"/>
    <n v="52"/>
    <s v="Female"/>
    <s v="Respiratory Infection"/>
    <s v="Antibiotics and Rest"/>
    <n v="800"/>
    <n v="63"/>
    <s v="No"/>
    <s v="Stable"/>
    <n v="4"/>
    <x v="2"/>
    <m/>
    <m/>
    <x v="15"/>
    <m/>
  </r>
  <r>
    <n v="927"/>
    <n v="67"/>
    <s v="Male"/>
    <s v="Prostate Cancer"/>
    <s v="Radiation Therapy"/>
    <n v="20000"/>
    <n v="70"/>
    <s v="No"/>
    <s v="Recovered"/>
    <n v="3"/>
    <x v="2"/>
    <m/>
    <m/>
    <x v="15"/>
    <m/>
  </r>
  <r>
    <n v="928"/>
    <n v="35"/>
    <s v="Female"/>
    <s v="Childbirth"/>
    <s v="Delivery and Postnatal Care"/>
    <n v="12000"/>
    <n v="64"/>
    <s v="No"/>
    <s v="Recovered"/>
    <n v="4"/>
    <x v="2"/>
    <m/>
    <m/>
    <x v="15"/>
    <m/>
  </r>
  <r>
    <n v="929"/>
    <n v="50"/>
    <s v="Male"/>
    <s v="Kidney Stones"/>
    <s v="Lithotripsy"/>
    <n v="6000"/>
    <n v="65"/>
    <s v="No"/>
    <s v="Recovered"/>
    <n v="3"/>
    <x v="2"/>
    <m/>
    <m/>
    <x v="15"/>
    <m/>
  </r>
  <r>
    <n v="930"/>
    <n v="60"/>
    <s v="Female"/>
    <s v="Osteoarthritis"/>
    <s v="Physical Therapy and Pain Management"/>
    <n v="4000"/>
    <n v="66"/>
    <s v="No"/>
    <s v="Stable"/>
    <n v="4"/>
    <x v="2"/>
    <m/>
    <m/>
    <x v="15"/>
    <m/>
  </r>
  <r>
    <n v="931"/>
    <n v="48"/>
    <s v="Female"/>
    <s v="Heart Disease"/>
    <s v="Angioplasty"/>
    <n v="15000"/>
    <n v="67"/>
    <s v="Yes"/>
    <s v="Recovered"/>
    <n v="4"/>
    <x v="2"/>
    <m/>
    <m/>
    <x v="15"/>
    <m/>
  </r>
  <r>
    <n v="932"/>
    <n v="65"/>
    <s v="Male"/>
    <s v="Diabetes"/>
    <s v="Insulin Therapy"/>
    <n v="2000"/>
    <n v="65"/>
    <s v="No"/>
    <s v="Stable"/>
    <n v="3"/>
    <x v="2"/>
    <m/>
    <m/>
    <x v="15"/>
    <m/>
  </r>
  <r>
    <n v="933"/>
    <n v="30"/>
    <s v="Female"/>
    <s v="Fractured Arm"/>
    <s v="X-Ray and Splint"/>
    <n v="500"/>
    <n v="63"/>
    <s v="No"/>
    <s v="Recovered"/>
    <n v="5"/>
    <x v="2"/>
    <m/>
    <m/>
    <x v="15"/>
    <m/>
  </r>
  <r>
    <n v="934"/>
    <n v="70"/>
    <s v="Male"/>
    <s v="Stroke"/>
    <s v="CT Scan and Medication"/>
    <n v="10000"/>
    <n v="70"/>
    <s v="Yes"/>
    <s v="Stable"/>
    <n v="2"/>
    <x v="2"/>
    <m/>
    <m/>
    <x v="15"/>
    <m/>
  </r>
  <r>
    <n v="935"/>
    <n v="55"/>
    <s v="Female"/>
    <s v="Cancer"/>
    <s v="Surgery and Chemotherapy"/>
    <n v="25000"/>
    <n v="72"/>
    <s v="No"/>
    <s v="Recovered"/>
    <n v="4"/>
    <x v="2"/>
    <m/>
    <m/>
    <x v="15"/>
    <m/>
  </r>
  <r>
    <n v="936"/>
    <n v="68"/>
    <s v="Male"/>
    <s v="Hypertension"/>
    <s v="Medication and Counseling"/>
    <n v="1000"/>
    <n v="66"/>
    <s v="No"/>
    <s v="Stable"/>
    <n v="4"/>
    <x v="2"/>
    <m/>
    <m/>
    <x v="15"/>
    <m/>
  </r>
  <r>
    <n v="937"/>
    <n v="45"/>
    <s v="Female"/>
    <s v="Appendicitis"/>
    <s v="Appendectomy"/>
    <n v="8000"/>
    <n v="68"/>
    <s v="No"/>
    <s v="Recovered"/>
    <n v="3"/>
    <x v="2"/>
    <m/>
    <m/>
    <x v="15"/>
    <m/>
  </r>
  <r>
    <n v="938"/>
    <n v="40"/>
    <s v="Male"/>
    <s v="Fractured Leg"/>
    <s v="Cast and Physical Therapy"/>
    <n v="3000"/>
    <n v="68"/>
    <s v="No"/>
    <s v="Recovered"/>
    <n v="4"/>
    <x v="2"/>
    <m/>
    <m/>
    <x v="15"/>
    <m/>
  </r>
  <r>
    <n v="939"/>
    <n v="78"/>
    <s v="Female"/>
    <s v="Heart Attack"/>
    <s v="Cardiac Catheterization"/>
    <n v="18000"/>
    <n v="70"/>
    <s v="Yes"/>
    <s v="Stable"/>
    <n v="2"/>
    <x v="2"/>
    <m/>
    <m/>
    <x v="15"/>
    <m/>
  </r>
  <r>
    <n v="940"/>
    <n v="25"/>
    <s v="Male"/>
    <s v="Allergic Reaction"/>
    <s v="Epinephrine Injection"/>
    <n v="100"/>
    <n v="63"/>
    <s v="No"/>
    <s v="Recovered"/>
    <n v="5"/>
    <x v="2"/>
    <m/>
    <m/>
    <x v="15"/>
    <m/>
  </r>
  <r>
    <n v="941"/>
    <n v="52"/>
    <s v="Female"/>
    <s v="Respiratory Infection"/>
    <s v="Antibiotics and Rest"/>
    <n v="800"/>
    <n v="64"/>
    <s v="No"/>
    <s v="Stable"/>
    <n v="4"/>
    <x v="2"/>
    <m/>
    <m/>
    <x v="15"/>
    <m/>
  </r>
  <r>
    <n v="942"/>
    <n v="58"/>
    <s v="Male"/>
    <s v="Prostate Cancer"/>
    <s v="Radiation Therapy"/>
    <n v="20000"/>
    <n v="71"/>
    <s v="No"/>
    <s v="Recovered"/>
    <n v="3"/>
    <x v="2"/>
    <m/>
    <m/>
    <x v="15"/>
    <m/>
  </r>
  <r>
    <n v="943"/>
    <n v="32"/>
    <s v="Female"/>
    <s v="Childbirth"/>
    <s v="Delivery and Postnatal Care"/>
    <n v="12000"/>
    <n v="65"/>
    <s v="No"/>
    <s v="Recovered"/>
    <n v="4"/>
    <x v="2"/>
    <m/>
    <m/>
    <x v="15"/>
    <m/>
  </r>
  <r>
    <n v="944"/>
    <n v="55"/>
    <s v="Male"/>
    <s v="Kidney Stones"/>
    <s v="Lithotripsy"/>
    <n v="6000"/>
    <n v="66"/>
    <s v="No"/>
    <s v="Recovered"/>
    <n v="3"/>
    <x v="2"/>
    <m/>
    <m/>
    <x v="15"/>
    <m/>
  </r>
  <r>
    <n v="945"/>
    <n v="65"/>
    <s v="Female"/>
    <s v="Osteoarthritis"/>
    <s v="Physical Therapy and Pain Management"/>
    <n v="4000"/>
    <n v="67"/>
    <s v="No"/>
    <s v="Stable"/>
    <n v="4"/>
    <x v="2"/>
    <m/>
    <m/>
    <x v="15"/>
    <m/>
  </r>
  <r>
    <n v="946"/>
    <n v="55"/>
    <s v="Female"/>
    <s v="Heart Disease"/>
    <s v="Angioplasty"/>
    <n v="15000"/>
    <n v="68"/>
    <s v="Yes"/>
    <s v="Recovered"/>
    <n v="3"/>
    <x v="2"/>
    <m/>
    <m/>
    <x v="15"/>
    <m/>
  </r>
  <r>
    <n v="947"/>
    <n v="62"/>
    <s v="Male"/>
    <s v="Diabetes"/>
    <s v="Insulin Therapy"/>
    <n v="2000"/>
    <n v="66"/>
    <s v="No"/>
    <s v="Stable"/>
    <n v="4"/>
    <x v="2"/>
    <m/>
    <m/>
    <x v="15"/>
    <m/>
  </r>
  <r>
    <n v="948"/>
    <n v="35"/>
    <s v="Female"/>
    <s v="Fractured Arm"/>
    <s v="X-Ray and Splint"/>
    <n v="500"/>
    <n v="64"/>
    <s v="Yes"/>
    <s v="Recovered"/>
    <n v="5"/>
    <x v="2"/>
    <m/>
    <m/>
    <x v="15"/>
    <m/>
  </r>
  <r>
    <n v="949"/>
    <n v="78"/>
    <s v="Male"/>
    <s v="Stroke"/>
    <s v="CT Scan and Medication"/>
    <n v="10000"/>
    <n v="71"/>
    <s v="No"/>
    <s v="Stable"/>
    <n v="2"/>
    <x v="2"/>
    <m/>
    <m/>
    <x v="15"/>
    <m/>
  </r>
  <r>
    <n v="950"/>
    <n v="53"/>
    <s v="Female"/>
    <s v="Cancer"/>
    <s v="Surgery and Chemotherapy"/>
    <n v="25000"/>
    <n v="73"/>
    <s v="Yes"/>
    <s v="Recovered"/>
    <n v="4"/>
    <x v="2"/>
    <m/>
    <m/>
    <x v="15"/>
    <m/>
  </r>
  <r>
    <n v="951"/>
    <n v="72"/>
    <s v="Male"/>
    <s v="Hypertension"/>
    <s v="Medication and Counseling"/>
    <n v="1000"/>
    <n v="67"/>
    <s v="No"/>
    <s v="Stable"/>
    <n v="4"/>
    <x v="2"/>
    <m/>
    <m/>
    <x v="15"/>
    <m/>
  </r>
  <r>
    <n v="952"/>
    <n v="60"/>
    <s v="Female"/>
    <s v="Appendicitis"/>
    <s v="Appendectomy"/>
    <n v="8000"/>
    <n v="69"/>
    <s v="Yes"/>
    <s v="Recovered"/>
    <n v="3"/>
    <x v="2"/>
    <m/>
    <m/>
    <x v="15"/>
    <m/>
  </r>
  <r>
    <n v="953"/>
    <n v="45"/>
    <s v="Male"/>
    <s v="Fractured Leg"/>
    <s v="Cast and Physical Therapy"/>
    <n v="3000"/>
    <n v="69"/>
    <s v="No"/>
    <s v="Recovered"/>
    <n v="4"/>
    <x v="2"/>
    <m/>
    <m/>
    <x v="15"/>
    <m/>
  </r>
  <r>
    <n v="954"/>
    <n v="75"/>
    <s v="Female"/>
    <s v="Heart Attack"/>
    <s v="Cardiac Catheterization"/>
    <n v="18000"/>
    <n v="71"/>
    <s v="Yes"/>
    <s v="Stable"/>
    <n v="2"/>
    <x v="2"/>
    <m/>
    <m/>
    <x v="15"/>
    <m/>
  </r>
  <r>
    <n v="955"/>
    <n v="28"/>
    <s v="Male"/>
    <s v="Allergic Reaction"/>
    <s v="Epinephrine Injection"/>
    <n v="100"/>
    <n v="64"/>
    <s v="No"/>
    <s v="Recovered"/>
    <n v="5"/>
    <x v="2"/>
    <m/>
    <m/>
    <x v="15"/>
    <m/>
  </r>
  <r>
    <n v="956"/>
    <n v="52"/>
    <s v="Female"/>
    <s v="Respiratory Infection"/>
    <s v="Antibiotics and Rest"/>
    <n v="800"/>
    <n v="65"/>
    <s v="No"/>
    <s v="Stable"/>
    <n v="4"/>
    <x v="2"/>
    <m/>
    <m/>
    <x v="15"/>
    <m/>
  </r>
  <r>
    <n v="957"/>
    <n v="67"/>
    <s v="Male"/>
    <s v="Prostate Cancer"/>
    <s v="Radiation Therapy"/>
    <n v="20000"/>
    <n v="72"/>
    <s v="No"/>
    <s v="Recovered"/>
    <n v="3"/>
    <x v="2"/>
    <m/>
    <m/>
    <x v="15"/>
    <m/>
  </r>
  <r>
    <n v="958"/>
    <n v="35"/>
    <s v="Female"/>
    <s v="Childbirth"/>
    <s v="Delivery and Postnatal Care"/>
    <n v="12000"/>
    <n v="66"/>
    <s v="No"/>
    <s v="Recovered"/>
    <n v="4"/>
    <x v="2"/>
    <m/>
    <m/>
    <x v="15"/>
    <m/>
  </r>
  <r>
    <n v="959"/>
    <n v="50"/>
    <s v="Male"/>
    <s v="Kidney Stones"/>
    <s v="Lithotripsy"/>
    <n v="6000"/>
    <n v="67"/>
    <s v="No"/>
    <s v="Recovered"/>
    <n v="3"/>
    <x v="2"/>
    <m/>
    <m/>
    <x v="15"/>
    <m/>
  </r>
  <r>
    <n v="960"/>
    <n v="60"/>
    <s v="Female"/>
    <s v="Osteoarthritis"/>
    <s v="Physical Therapy and Pain Management"/>
    <n v="4000"/>
    <n v="68"/>
    <s v="No"/>
    <s v="Stable"/>
    <n v="4"/>
    <x v="2"/>
    <m/>
    <m/>
    <x v="15"/>
    <m/>
  </r>
  <r>
    <n v="961"/>
    <n v="48"/>
    <s v="Female"/>
    <s v="Heart Disease"/>
    <s v="Angioplasty"/>
    <n v="15000"/>
    <n v="69"/>
    <s v="Yes"/>
    <s v="Recovered"/>
    <n v="4"/>
    <x v="2"/>
    <m/>
    <m/>
    <x v="15"/>
    <m/>
  </r>
  <r>
    <n v="962"/>
    <n v="65"/>
    <s v="Male"/>
    <s v="Diabetes"/>
    <s v="Insulin Therapy"/>
    <n v="2000"/>
    <n v="67"/>
    <s v="No"/>
    <s v="Stable"/>
    <n v="3"/>
    <x v="2"/>
    <m/>
    <m/>
    <x v="15"/>
    <m/>
  </r>
  <r>
    <n v="963"/>
    <n v="30"/>
    <s v="Female"/>
    <s v="Fractured Arm"/>
    <s v="X-Ray and Splint"/>
    <n v="500"/>
    <n v="65"/>
    <s v="No"/>
    <s v="Recovered"/>
    <n v="5"/>
    <x v="2"/>
    <m/>
    <m/>
    <x v="15"/>
    <m/>
  </r>
  <r>
    <n v="964"/>
    <n v="70"/>
    <s v="Male"/>
    <s v="Stroke"/>
    <s v="CT Scan and Medication"/>
    <n v="10000"/>
    <n v="72"/>
    <s v="Yes"/>
    <s v="Stable"/>
    <n v="2"/>
    <x v="2"/>
    <m/>
    <m/>
    <x v="15"/>
    <m/>
  </r>
  <r>
    <n v="965"/>
    <n v="55"/>
    <s v="Female"/>
    <s v="Cancer"/>
    <s v="Surgery and Chemotherapy"/>
    <n v="25000"/>
    <n v="74"/>
    <s v="No"/>
    <s v="Recovered"/>
    <n v="4"/>
    <x v="2"/>
    <m/>
    <m/>
    <x v="15"/>
    <m/>
  </r>
  <r>
    <n v="966"/>
    <n v="68"/>
    <s v="Male"/>
    <s v="Hypertension"/>
    <s v="Medication and Counseling"/>
    <n v="1000"/>
    <n v="68"/>
    <s v="No"/>
    <s v="Stable"/>
    <n v="4"/>
    <x v="2"/>
    <m/>
    <m/>
    <x v="15"/>
    <m/>
  </r>
  <r>
    <n v="968"/>
    <n v="40"/>
    <s v="Male"/>
    <s v="Fractured Leg"/>
    <s v="Cast and Physical Therapy"/>
    <n v="3000"/>
    <n v="70"/>
    <s v="No"/>
    <s v="Recovered"/>
    <n v="4"/>
    <x v="2"/>
    <m/>
    <m/>
    <x v="15"/>
    <m/>
  </r>
  <r>
    <n v="969"/>
    <n v="78"/>
    <s v="Female"/>
    <s v="Heart Attack"/>
    <s v="Cardiac Catheterization"/>
    <n v="18000"/>
    <n v="72"/>
    <s v="Yes"/>
    <s v="Stable"/>
    <n v="2"/>
    <x v="2"/>
    <m/>
    <m/>
    <x v="15"/>
    <m/>
  </r>
  <r>
    <n v="970"/>
    <n v="25"/>
    <s v="Male"/>
    <s v="Allergic Reaction"/>
    <s v="Epinephrine Injection"/>
    <n v="100"/>
    <n v="65"/>
    <s v="No"/>
    <s v="Recovered"/>
    <n v="5"/>
    <x v="2"/>
    <m/>
    <m/>
    <x v="15"/>
    <m/>
  </r>
  <r>
    <n v="971"/>
    <n v="52"/>
    <s v="Female"/>
    <s v="Respiratory Infection"/>
    <s v="Antibiotics and Rest"/>
    <n v="800"/>
    <n v="66"/>
    <s v="No"/>
    <s v="Stable"/>
    <n v="4"/>
    <x v="2"/>
    <m/>
    <m/>
    <x v="15"/>
    <m/>
  </r>
  <r>
    <n v="972"/>
    <n v="58"/>
    <s v="Male"/>
    <s v="Prostate Cancer"/>
    <s v="Radiation Therapy"/>
    <n v="20000"/>
    <n v="73"/>
    <s v="No"/>
    <s v="Recovered"/>
    <n v="3"/>
    <x v="2"/>
    <m/>
    <m/>
    <x v="15"/>
    <m/>
  </r>
  <r>
    <n v="973"/>
    <n v="32"/>
    <s v="Female"/>
    <s v="Childbirth"/>
    <s v="Delivery and Postnatal Care"/>
    <n v="12000"/>
    <n v="67"/>
    <s v="No"/>
    <s v="Recovered"/>
    <n v="4"/>
    <x v="2"/>
    <m/>
    <m/>
    <x v="15"/>
    <m/>
  </r>
  <r>
    <n v="974"/>
    <n v="55"/>
    <s v="Male"/>
    <s v="Kidney Stones"/>
    <s v="Lithotripsy"/>
    <n v="6000"/>
    <n v="68"/>
    <s v="No"/>
    <s v="Recovered"/>
    <n v="3"/>
    <x v="2"/>
    <m/>
    <m/>
    <x v="15"/>
    <m/>
  </r>
  <r>
    <n v="975"/>
    <n v="65"/>
    <s v="Female"/>
    <s v="Osteoarthritis"/>
    <s v="Physical Therapy and Pain Management"/>
    <n v="4000"/>
    <n v="69"/>
    <s v="No"/>
    <s v="Stable"/>
    <n v="4"/>
    <x v="2"/>
    <m/>
    <m/>
    <x v="15"/>
    <m/>
  </r>
  <r>
    <n v="976"/>
    <n v="55"/>
    <s v="Female"/>
    <s v="Heart Disease"/>
    <s v="Angioplasty"/>
    <n v="15000"/>
    <n v="70"/>
    <s v="Yes"/>
    <s v="Recovered"/>
    <n v="3"/>
    <x v="2"/>
    <m/>
    <m/>
    <x v="15"/>
    <m/>
  </r>
  <r>
    <n v="977"/>
    <n v="62"/>
    <s v="Male"/>
    <s v="Diabetes"/>
    <s v="Insulin Therapy"/>
    <n v="2000"/>
    <n v="68"/>
    <s v="No"/>
    <s v="Stable"/>
    <n v="4"/>
    <x v="2"/>
    <m/>
    <m/>
    <x v="15"/>
    <m/>
  </r>
  <r>
    <n v="978"/>
    <n v="35"/>
    <s v="Female"/>
    <s v="Fractured Arm"/>
    <s v="X-Ray and Splint"/>
    <n v="500"/>
    <n v="66"/>
    <s v="Yes"/>
    <s v="Recovered"/>
    <n v="5"/>
    <x v="2"/>
    <m/>
    <m/>
    <x v="15"/>
    <m/>
  </r>
  <r>
    <n v="979"/>
    <n v="78"/>
    <s v="Male"/>
    <s v="Stroke"/>
    <s v="CT Scan and Medication"/>
    <n v="10000"/>
    <n v="73"/>
    <s v="No"/>
    <s v="Stable"/>
    <n v="2"/>
    <x v="2"/>
    <m/>
    <m/>
    <x v="15"/>
    <m/>
  </r>
  <r>
    <n v="980"/>
    <n v="53"/>
    <s v="Female"/>
    <s v="Cancer"/>
    <s v="Surgery and Chemotherapy"/>
    <n v="25000"/>
    <n v="75"/>
    <s v="Yes"/>
    <s v="Recovered"/>
    <n v="4"/>
    <x v="2"/>
    <m/>
    <m/>
    <x v="15"/>
    <m/>
  </r>
  <r>
    <n v="981"/>
    <n v="72"/>
    <s v="Male"/>
    <s v="Hypertension"/>
    <s v="Medication and Counseling"/>
    <n v="1000"/>
    <n v="69"/>
    <s v="No"/>
    <s v="Stable"/>
    <n v="4"/>
    <x v="2"/>
    <m/>
    <m/>
    <x v="15"/>
    <m/>
  </r>
  <r>
    <n v="982"/>
    <n v="60"/>
    <s v="Female"/>
    <s v="Appendicitis"/>
    <s v="Appendectomy"/>
    <n v="8000"/>
    <n v="71"/>
    <s v="Yes"/>
    <s v="Recovered"/>
    <n v="3"/>
    <x v="2"/>
    <m/>
    <m/>
    <x v="15"/>
    <m/>
  </r>
  <r>
    <n v="983"/>
    <n v="45"/>
    <s v="Male"/>
    <s v="Fractured Leg"/>
    <s v="Cast and Physical Therapy"/>
    <n v="3000"/>
    <n v="71"/>
    <s v="No"/>
    <s v="Recovered"/>
    <n v="4"/>
    <x v="2"/>
    <m/>
    <m/>
    <x v="15"/>
    <m/>
  </r>
  <r>
    <n v="984"/>
    <n v="75"/>
    <s v="Female"/>
    <s v="Heart Attack"/>
    <s v="Cardiac Catheterization"/>
    <n v="18000"/>
    <n v="73"/>
    <s v="Yes"/>
    <s v="Stable"/>
    <n v="2"/>
    <x v="2"/>
    <m/>
    <m/>
    <x v="15"/>
    <m/>
  </r>
  <r>
    <n v="985"/>
    <n v="28"/>
    <s v="Male"/>
    <s v="Allergic Reaction"/>
    <s v="Epinephrine Injection"/>
    <n v="100"/>
    <n v="67"/>
    <s v="No"/>
    <s v="Recovered"/>
    <n v="5"/>
    <x v="2"/>
    <m/>
    <m/>
    <x v="15"/>
    <m/>
  </r>
  <r>
    <n v="986"/>
    <n v="52"/>
    <s v="Female"/>
    <s v="Respiratory Infection"/>
    <s v="Antibiotics and Rest"/>
    <n v="800"/>
    <n v="68"/>
    <s v="No"/>
    <s v="Stable"/>
    <n v="4"/>
    <x v="2"/>
    <m/>
    <m/>
    <x v="15"/>
    <m/>
  </r>
  <r>
    <n v="987"/>
    <n v="67"/>
    <s v="Male"/>
    <s v="Prostate Cancer"/>
    <s v="Radiation Therapy"/>
    <n v="20000"/>
    <n v="74"/>
    <s v="No"/>
    <s v="Recovered"/>
    <n v="3"/>
    <x v="2"/>
    <m/>
    <m/>
    <x v="15"/>
    <m/>
  </r>
  <r>
    <n v="988"/>
    <n v="35"/>
    <s v="Female"/>
    <s v="Childbirth"/>
    <s v="Delivery and Postnatal Care"/>
    <n v="12000"/>
    <n v="68"/>
    <s v="No"/>
    <s v="Recovered"/>
    <n v="4"/>
    <x v="2"/>
    <m/>
    <m/>
    <x v="15"/>
    <m/>
  </r>
  <r>
    <n v="989"/>
    <n v="50"/>
    <s v="Male"/>
    <s v="Kidney Stones"/>
    <s v="Lithotripsy"/>
    <n v="6000"/>
    <n v="69"/>
    <s v="No"/>
    <s v="Recovered"/>
    <n v="3"/>
    <x v="2"/>
    <m/>
    <m/>
    <x v="15"/>
    <m/>
  </r>
  <r>
    <n v="990"/>
    <n v="60"/>
    <s v="Female"/>
    <s v="Osteoarthritis"/>
    <s v="Physical Therapy and Pain Management"/>
    <n v="4000"/>
    <n v="70"/>
    <s v="No"/>
    <s v="Stable"/>
    <n v="4"/>
    <x v="2"/>
    <m/>
    <m/>
    <x v="15"/>
    <m/>
  </r>
  <r>
    <n v="991"/>
    <n v="48"/>
    <s v="Female"/>
    <s v="Heart Disease"/>
    <s v="Angioplasty"/>
    <n v="15000"/>
    <n v="71"/>
    <s v="Yes"/>
    <s v="Recovered"/>
    <n v="4"/>
    <x v="2"/>
    <m/>
    <m/>
    <x v="15"/>
    <m/>
  </r>
  <r>
    <n v="992"/>
    <n v="65"/>
    <s v="Male"/>
    <s v="Diabetes"/>
    <s v="Insulin Therapy"/>
    <n v="2000"/>
    <n v="69"/>
    <s v="No"/>
    <s v="Stable"/>
    <n v="3"/>
    <x v="2"/>
    <m/>
    <m/>
    <x v="15"/>
    <m/>
  </r>
  <r>
    <n v="993"/>
    <n v="30"/>
    <s v="Female"/>
    <s v="Fractured Arm"/>
    <s v="X-Ray and Splint"/>
    <n v="500"/>
    <n v="67"/>
    <s v="No"/>
    <s v="Recovered"/>
    <n v="5"/>
    <x v="2"/>
    <m/>
    <m/>
    <x v="15"/>
    <m/>
  </r>
  <r>
    <n v="994"/>
    <n v="70"/>
    <s v="Male"/>
    <s v="Stroke"/>
    <s v="CT Scan and Medication"/>
    <n v="10000"/>
    <n v="74"/>
    <s v="Yes"/>
    <s v="Stable"/>
    <n v="2"/>
    <x v="2"/>
    <m/>
    <m/>
    <x v="15"/>
    <m/>
  </r>
  <r>
    <n v="995"/>
    <n v="55"/>
    <s v="Female"/>
    <s v="Cancer"/>
    <s v="Surgery and Chemotherapy"/>
    <n v="25000"/>
    <n v="76"/>
    <s v="No"/>
    <s v="Recovered"/>
    <n v="4"/>
    <x v="2"/>
    <m/>
    <m/>
    <x v="15"/>
    <m/>
  </r>
  <r>
    <n v="996"/>
    <n v="68"/>
    <s v="Male"/>
    <s v="Hypertension"/>
    <s v="Medication and Counseling"/>
    <n v="1000"/>
    <n v="70"/>
    <s v="No"/>
    <s v="Stable"/>
    <n v="4"/>
    <x v="2"/>
    <m/>
    <m/>
    <x v="15"/>
    <m/>
  </r>
  <r>
    <n v="997"/>
    <n v="45"/>
    <s v="Female"/>
    <s v="Appendicitis"/>
    <s v="Appendectomy"/>
    <n v="8000"/>
    <n v="72"/>
    <s v="No"/>
    <s v="Recovered"/>
    <n v="3"/>
    <x v="2"/>
    <m/>
    <m/>
    <x v="15"/>
    <m/>
  </r>
  <r>
    <n v="998"/>
    <n v="40"/>
    <s v="Male"/>
    <s v="Fractured Leg"/>
    <s v="Cast and Physical Therapy"/>
    <n v="3000"/>
    <n v="72"/>
    <s v="No"/>
    <s v="Recovered"/>
    <n v="4"/>
    <x v="2"/>
    <m/>
    <m/>
    <x v="15"/>
    <m/>
  </r>
  <r>
    <n v="999"/>
    <n v="78"/>
    <s v="Female"/>
    <s v="Heart Attack"/>
    <s v="Cardiac Catheterization"/>
    <n v="18000"/>
    <n v="74"/>
    <s v="Yes"/>
    <s v="Stable"/>
    <n v="2"/>
    <x v="2"/>
    <m/>
    <m/>
    <x v="15"/>
    <m/>
  </r>
  <r>
    <n v="1000"/>
    <n v="25"/>
    <s v="Male"/>
    <s v="Allergic Reaction"/>
    <s v="Epinephrine Injection"/>
    <n v="100"/>
    <n v="68"/>
    <s v="No"/>
    <s v="Recovered"/>
    <n v="5"/>
    <x v="2"/>
    <m/>
    <m/>
    <x v="15"/>
    <m/>
  </r>
  <r>
    <m/>
    <m/>
    <m/>
    <m/>
    <m/>
    <m/>
    <m/>
    <m/>
    <m/>
    <m/>
    <x v="3"/>
    <m/>
    <m/>
    <x v="1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F2500-8F6F-4519-BD12-2B559A55A4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F21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axis="axisRow" showAll="0">
      <items count="17">
        <item x="9"/>
        <item x="6"/>
        <item x="4"/>
        <item x="12"/>
        <item x="1"/>
        <item x="2"/>
        <item x="7"/>
        <item x="8"/>
        <item x="0"/>
        <item x="5"/>
        <item x="13"/>
        <item x="14"/>
        <item x="11"/>
        <item x="10"/>
        <item x="3"/>
        <item x="15"/>
        <item t="default"/>
      </items>
    </pivotField>
    <pivotField dataField="1" showAll="0"/>
  </pivotFields>
  <rowFields count="1">
    <field x="1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Sum of COST2" fld="14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5219EE-555C-4D21-9484-71B044772171}" name="Table2" displayName="Table2" ref="A2:XFD2" headerRowCount="0" totalsRowShown="0" tableBorderDxfId="24">
  <tableColumns count="16384">
    <tableColumn id="1" xr3:uid="{A69A96DA-91C4-49C3-BB65-AC2EC28ACEF2}" name="Column1" headerRowDxfId="23" dataDxfId="22"/>
    <tableColumn id="2" xr3:uid="{B28EA987-82EE-4B0B-94D6-6641F9AB56DA}" name="Column2" headerRowDxfId="21" dataDxfId="20"/>
    <tableColumn id="3" xr3:uid="{EED0A7A2-99EC-433C-A67B-18A26F06BC29}" name="Column3" headerRowDxfId="19" dataDxfId="18"/>
    <tableColumn id="4" xr3:uid="{D9B0A7AC-E47A-4238-B020-EDCC01FF319E}" name="Column4" headerRowDxfId="17" dataDxfId="16"/>
    <tableColumn id="5" xr3:uid="{30623390-0A0E-4505-922A-06617A93805D}" name="Column5" headerRowDxfId="15" dataDxfId="14"/>
    <tableColumn id="6" xr3:uid="{362C8934-0A29-4086-81E4-62FBA8EF6790}" name="Column6" headerRowDxfId="13" dataDxfId="12"/>
    <tableColumn id="7" xr3:uid="{2FC872BF-448C-4E6D-BFD7-729CABFA91A6}" name="Column7" headerRowDxfId="11" dataDxfId="10"/>
    <tableColumn id="8" xr3:uid="{13237E94-48D5-41FB-BEAA-D428EC3B3F96}" name="Column8" headerRowDxfId="9" dataDxfId="8"/>
    <tableColumn id="9" xr3:uid="{3E0E02F2-6009-4E64-9F37-FA35A3246F3D}" name="Column9" headerRowDxfId="7" dataDxfId="6"/>
    <tableColumn id="10" xr3:uid="{6DEB9D68-FF11-4DA2-94AA-ACCEC6B7E78F}" name="Column10" headerRowDxfId="5" dataDxfId="4"/>
    <tableColumn id="11" xr3:uid="{83CC0764-0D24-4880-852F-E39F94A78DB6}" name="Column11" headerRowDxfId="3" dataDxfId="2"/>
    <tableColumn id="12" xr3:uid="{0D27280C-5D1A-40C5-BF50-48499257DD11}" name="Column12"/>
    <tableColumn id="13" xr3:uid="{B639EC11-0D69-48C9-94CC-D95D26E6B03B}" name="Column13"/>
    <tableColumn id="14" xr3:uid="{29882B7C-08CB-4D92-885D-9815F1D7E1A0}" name="Column14" dataDxfId="1"/>
    <tableColumn id="15" xr3:uid="{BD0F4A37-2E50-4931-95AA-A2E1E8D55C07}" name="Column15" dataDxfId="0"/>
    <tableColumn id="16" xr3:uid="{E0F66A7C-DDD9-4566-82CC-62BA36F8FAD4}" name="Column16"/>
    <tableColumn id="17" xr3:uid="{AD96D2C3-5225-4E50-B8D8-488C07939A45}" name="Column17"/>
    <tableColumn id="18" xr3:uid="{1A1AB4FF-9630-4A53-9B22-C2FE383B6B85}" name="Column18"/>
    <tableColumn id="19" xr3:uid="{4DEAA3A8-C4E0-4A3E-935C-92B86F7FC592}" name="Column19"/>
    <tableColumn id="20" xr3:uid="{DBD7C1E1-B5E3-4CCD-BFD6-EBC3F8771240}" name="Column20"/>
    <tableColumn id="21" xr3:uid="{8B46E5A6-5783-412D-85E0-F514DD67677C}" name="Column21"/>
    <tableColumn id="22" xr3:uid="{8288DCAC-FA80-4EB3-9D72-D1B1FEBF4F0C}" name="Column22"/>
    <tableColumn id="23" xr3:uid="{CF5B32C7-978C-44BD-8959-215CE274D89A}" name="Column23"/>
    <tableColumn id="24" xr3:uid="{D8A1938F-3B6E-47CD-ABCF-2451919F59F7}" name="Column24"/>
    <tableColumn id="25" xr3:uid="{1AB11E4E-1DC9-415B-82FF-04498A4EA200}" name="Column25"/>
    <tableColumn id="26" xr3:uid="{CB595A1C-7F24-4A76-8CD6-B63B0C1F192A}" name="Column26"/>
    <tableColumn id="27" xr3:uid="{576A9608-D7DA-4446-96B0-0E0D84789111}" name="Column27"/>
    <tableColumn id="28" xr3:uid="{62F382FD-6FB2-4814-9D71-B0FCD00E4DF7}" name="Column28"/>
    <tableColumn id="29" xr3:uid="{B8506AC1-767C-4333-8A7E-40AE0B3293D3}" name="Column29"/>
    <tableColumn id="30" xr3:uid="{C7BDF8F7-5162-447E-ABE6-5ED74EA81A7C}" name="Column30"/>
    <tableColumn id="31" xr3:uid="{F1FF1194-31F5-4352-A535-FB52AC6DA2FA}" name="Column31"/>
    <tableColumn id="32" xr3:uid="{F5E795AD-F560-4AF6-B548-8D74CF4D27C5}" name="Column32"/>
    <tableColumn id="33" xr3:uid="{160D95C1-86F3-4344-A2A2-D3A5E7E2742B}" name="Column33"/>
    <tableColumn id="34" xr3:uid="{26FE6E30-6FFB-4682-BA15-468253002DC0}" name="Column34"/>
    <tableColumn id="35" xr3:uid="{93B41A17-3DA5-4E27-AA23-79A886E375A7}" name="Column35"/>
    <tableColumn id="36" xr3:uid="{7ECA5650-6860-4207-9DEA-9EA15F52F022}" name="Column36"/>
    <tableColumn id="37" xr3:uid="{DDD0E074-CF98-4498-9ABE-244CF448E35C}" name="Column37"/>
    <tableColumn id="38" xr3:uid="{58FF5C7D-F7C3-41B2-9C39-38B869A6E1E8}" name="Column38"/>
    <tableColumn id="39" xr3:uid="{17AF53D1-3DD6-4944-808F-3F603EAF5CE1}" name="Column39"/>
    <tableColumn id="40" xr3:uid="{34BFA48B-B112-4018-BAB1-AA4A96B4E89A}" name="Column40"/>
    <tableColumn id="41" xr3:uid="{EFA96486-F7E2-4EAE-A7EA-ED98950FF9E7}" name="Column41"/>
    <tableColumn id="42" xr3:uid="{72DE1847-6152-47A1-89AF-899D49BCD03F}" name="Column42"/>
    <tableColumn id="43" xr3:uid="{7198409B-F6A7-4273-BAA9-84D31CD0A3F4}" name="Column43"/>
    <tableColumn id="44" xr3:uid="{8BA5A522-15D1-4324-9CEC-511115C0E2B9}" name="Column44"/>
    <tableColumn id="45" xr3:uid="{01D0C7D3-91F2-410A-8783-33CA5502744F}" name="Column45"/>
    <tableColumn id="46" xr3:uid="{71464FFD-B6A6-4465-AC26-450B3DD03F40}" name="Column46"/>
    <tableColumn id="47" xr3:uid="{C1D5C313-100A-4C53-BEC8-0766F40BD8EB}" name="Column47"/>
    <tableColumn id="48" xr3:uid="{8401D370-F84E-478F-88C3-C9969D6A9303}" name="Column48"/>
    <tableColumn id="49" xr3:uid="{F659BD04-507B-45B0-BA01-452C83E312EA}" name="Column49"/>
    <tableColumn id="50" xr3:uid="{6B306396-FB2F-4D02-BC15-1D1DB30F6F0F}" name="Column50"/>
    <tableColumn id="51" xr3:uid="{6160B5D2-DFDE-4F0D-A7CF-3B598E5ED5E1}" name="Column51"/>
    <tableColumn id="52" xr3:uid="{0C3FB3F6-5364-41EC-8A6E-446A786A1A43}" name="Column52"/>
    <tableColumn id="53" xr3:uid="{9C6EF5F7-F3B9-42EC-9427-D36BB3BC68BB}" name="Column53"/>
    <tableColumn id="54" xr3:uid="{47020480-2AA2-4C3D-8DF0-74DF9E3F7242}" name="Column54"/>
    <tableColumn id="55" xr3:uid="{2C02F51D-FB7C-4FD8-A6C7-7DFEF3C94725}" name="Column55"/>
    <tableColumn id="56" xr3:uid="{4DA8A994-E59C-47BF-B374-B0427815E5D7}" name="Column56"/>
    <tableColumn id="57" xr3:uid="{168D9198-A602-440F-B54C-0427D269A22F}" name="Column57"/>
    <tableColumn id="58" xr3:uid="{35643EB4-C6DE-43DE-ABB4-2F97DA044DF9}" name="Column58"/>
    <tableColumn id="59" xr3:uid="{D52CCED4-805D-46E0-952D-ED480D74D92B}" name="Column59"/>
    <tableColumn id="60" xr3:uid="{E9102677-0F61-44C0-A1FA-B15B46E6AB7E}" name="Column60"/>
    <tableColumn id="61" xr3:uid="{ADD0F0B7-4B34-405F-A22D-9A8D0741A619}" name="Column61"/>
    <tableColumn id="62" xr3:uid="{B29F9C60-E865-4695-9A39-949139C19475}" name="Column62"/>
    <tableColumn id="63" xr3:uid="{B14FA8E1-4E53-4672-BFFB-1B9485230131}" name="Column63"/>
    <tableColumn id="64" xr3:uid="{F11CBF9F-C95C-4BCE-88CB-7814439F77C0}" name="Column64"/>
    <tableColumn id="65" xr3:uid="{A6172AD9-4444-4EF2-B0A0-15644FDE522F}" name="Column65"/>
    <tableColumn id="66" xr3:uid="{BA8C58CC-071D-4CBB-89AC-40F068E96F7D}" name="Column66"/>
    <tableColumn id="67" xr3:uid="{1BC14465-DD6F-4B31-A0C2-1A9D2859BF51}" name="Column67"/>
    <tableColumn id="68" xr3:uid="{409F2E58-D694-4086-81EA-C398BF272876}" name="Column68"/>
    <tableColumn id="69" xr3:uid="{1AC47BAE-26DA-4C60-9EF5-F577C998498D}" name="Column69"/>
    <tableColumn id="70" xr3:uid="{F47AE473-8CC0-4C61-A73A-D428C98805AE}" name="Column70"/>
    <tableColumn id="71" xr3:uid="{1AA14F3E-481C-4C58-BDD5-62049084B131}" name="Column71"/>
    <tableColumn id="72" xr3:uid="{4672AD7F-B1AC-43CA-A691-11392F8E410A}" name="Column72"/>
    <tableColumn id="73" xr3:uid="{A0FAF7F4-C6ED-48AF-9838-C8B361683F25}" name="Column73"/>
    <tableColumn id="74" xr3:uid="{EAA00F90-BDFD-4424-812A-3BE35B47DCA7}" name="Column74"/>
    <tableColumn id="75" xr3:uid="{25CD6B0E-9330-4DEC-B7F1-02D62FFF8C50}" name="Column75"/>
    <tableColumn id="76" xr3:uid="{C2FCC23D-D059-4815-A1E4-871388658A38}" name="Column76"/>
    <tableColumn id="77" xr3:uid="{E896199D-E31D-4232-AA71-95FCF04B7AA3}" name="Column77"/>
    <tableColumn id="78" xr3:uid="{A858136F-651C-4264-B04D-603E0FB31E0B}" name="Column78"/>
    <tableColumn id="79" xr3:uid="{B00D2B38-CD26-48F5-826B-21112D3E8211}" name="Column79"/>
    <tableColumn id="80" xr3:uid="{93615B98-C5F2-493E-B28D-77478139C220}" name="Column80"/>
    <tableColumn id="81" xr3:uid="{88FFD7B8-7B08-4B3C-BB71-9436A2DFE756}" name="Column81"/>
    <tableColumn id="82" xr3:uid="{A4898FBE-30E1-49BE-A3A9-DDD659BCACF3}" name="Column82"/>
    <tableColumn id="83" xr3:uid="{E21373E1-8214-4A39-A9BF-95A562A39258}" name="Column83"/>
    <tableColumn id="84" xr3:uid="{22A4FDBA-C541-4D47-A7CD-4F5CEBD91A80}" name="Column84"/>
    <tableColumn id="85" xr3:uid="{E2A8F44B-DCB6-4755-B46B-9D7B0F76EE2C}" name="Column85"/>
    <tableColumn id="86" xr3:uid="{F4812562-7EB8-48F8-BC0A-23FB64A7ECA6}" name="Column86"/>
    <tableColumn id="87" xr3:uid="{5561452A-DE61-44DB-A390-CEE8CEF61F46}" name="Column87"/>
    <tableColumn id="88" xr3:uid="{15141A95-B160-4A6F-9D03-C52682DEBF54}" name="Column88"/>
    <tableColumn id="89" xr3:uid="{349A1F38-0516-4953-A7D5-D110625D4983}" name="Column89"/>
    <tableColumn id="90" xr3:uid="{57C2E7F9-357C-4755-9730-46194DB0903D}" name="Column90"/>
    <tableColumn id="91" xr3:uid="{AD9FC6F7-A4DF-4C4F-9242-BDE7EA7A1F61}" name="Column91"/>
    <tableColumn id="92" xr3:uid="{25661D01-6F44-41E2-B841-82689FF69F8E}" name="Column92"/>
    <tableColumn id="93" xr3:uid="{E3470292-6015-4F67-9B96-BAD19149618D}" name="Column93"/>
    <tableColumn id="94" xr3:uid="{AB803B2B-6E05-4B9A-A49D-7CC6713A0879}" name="Column94"/>
    <tableColumn id="95" xr3:uid="{3056BAFA-E118-470F-8013-FA690797E602}" name="Column95"/>
    <tableColumn id="96" xr3:uid="{7D7B21D9-3B8C-47F5-BABD-E7EDE4536A8F}" name="Column96"/>
    <tableColumn id="97" xr3:uid="{47972CC6-C6C9-481B-B2B4-D166E340A070}" name="Column97"/>
    <tableColumn id="98" xr3:uid="{621EB6D3-721A-430A-A2B0-94F77CCC0C83}" name="Column98"/>
    <tableColumn id="99" xr3:uid="{3C43C245-F66B-41D4-A54B-425DF185892D}" name="Column99"/>
    <tableColumn id="100" xr3:uid="{9E16EE48-6BDF-44F8-83B5-2943B73EB0F9}" name="Column100"/>
    <tableColumn id="101" xr3:uid="{9DBCD987-6C34-4F86-9565-FF874F2F9950}" name="Column101"/>
    <tableColumn id="102" xr3:uid="{69B0F51B-91F8-46BE-8DB5-65EBE8BF7499}" name="Column102"/>
    <tableColumn id="103" xr3:uid="{B97145F6-92D7-44D0-9DBD-FD476F901BF8}" name="Column103"/>
    <tableColumn id="104" xr3:uid="{CFE10299-F94B-4906-81E5-05B82A66765D}" name="Column104"/>
    <tableColumn id="105" xr3:uid="{688BEFD4-D2AC-4290-83EC-115226B56A80}" name="Column105"/>
    <tableColumn id="106" xr3:uid="{5ED11336-F75A-4C35-86AE-E9D46FCAC314}" name="Column106"/>
    <tableColumn id="107" xr3:uid="{F918DDC4-614D-44EA-98C3-B18D0C7A5124}" name="Column107"/>
    <tableColumn id="108" xr3:uid="{9FAB9C2D-2B84-4D5D-9B8B-3E2F15DBFFFC}" name="Column108"/>
    <tableColumn id="109" xr3:uid="{3A70464C-57A7-4553-9D9A-11FF29635F79}" name="Column109"/>
    <tableColumn id="110" xr3:uid="{4D4FF63D-14C2-40A1-9F43-106DB915451F}" name="Column110"/>
    <tableColumn id="111" xr3:uid="{798B9FC1-00C4-4DF1-8E27-E4B066DAF869}" name="Column111"/>
    <tableColumn id="112" xr3:uid="{5DDAE54D-CA48-4016-93D0-C829E8E5062B}" name="Column112"/>
    <tableColumn id="113" xr3:uid="{AB266C35-86D5-4A90-A51F-13ED6FFAA92A}" name="Column113"/>
    <tableColumn id="114" xr3:uid="{D0DB6D2D-D632-4CE4-ABC8-0D1073B0849B}" name="Column114"/>
    <tableColumn id="115" xr3:uid="{5A9B162B-794B-469F-BAA1-F9C8907E149C}" name="Column115"/>
    <tableColumn id="116" xr3:uid="{87067AC4-BBC7-4859-B1AB-8510FF04D99A}" name="Column116"/>
    <tableColumn id="117" xr3:uid="{ABE0BB64-C0F2-4205-A9AF-8C013C435803}" name="Column117"/>
    <tableColumn id="118" xr3:uid="{DECE5C86-ED8B-4EFD-844D-153A43D5451C}" name="Column118"/>
    <tableColumn id="119" xr3:uid="{51042BA4-535C-435F-9243-79C83D9A15AD}" name="Column119"/>
    <tableColumn id="120" xr3:uid="{31268691-0800-44CB-A532-516F1F17DBCA}" name="Column120"/>
    <tableColumn id="121" xr3:uid="{11731810-23CE-4148-833A-A872CC12B9C8}" name="Column121"/>
    <tableColumn id="122" xr3:uid="{D2CC465E-17E0-4ACD-80BA-2190C5AFD18B}" name="Column122"/>
    <tableColumn id="123" xr3:uid="{3F378EC2-B4E7-43D8-B05A-4A7FF0C0A38C}" name="Column123"/>
    <tableColumn id="124" xr3:uid="{76166E58-5730-4752-8B2D-2B142743116A}" name="Column124"/>
    <tableColumn id="125" xr3:uid="{FD536EE5-8B15-422E-BB44-822E49562609}" name="Column125"/>
    <tableColumn id="126" xr3:uid="{34A72FA3-55B2-4E42-BD83-E55C416C330A}" name="Column126"/>
    <tableColumn id="127" xr3:uid="{89780CBD-B322-4B27-A2FA-86E138246EF3}" name="Column127"/>
    <tableColumn id="128" xr3:uid="{DDC9ED75-AEB4-479A-9077-481768FB2CA1}" name="Column128"/>
    <tableColumn id="129" xr3:uid="{1F231303-1509-42AB-A322-BEB3AC1AE773}" name="Column129"/>
    <tableColumn id="130" xr3:uid="{9E48F0B7-2066-44C2-B9E9-775B4E7E2C25}" name="Column130"/>
    <tableColumn id="131" xr3:uid="{E2028B96-7D42-43B6-91C9-583714ADE248}" name="Column131"/>
    <tableColumn id="132" xr3:uid="{BC2366CB-9D7C-4E90-BD58-AEAE133EB1D4}" name="Column132"/>
    <tableColumn id="133" xr3:uid="{A2BF6706-C3E4-4FA3-81E9-A3FEE174CBAF}" name="Column133"/>
    <tableColumn id="134" xr3:uid="{D3DF608A-389B-45CD-8FFD-619FFC513AAC}" name="Column134"/>
    <tableColumn id="135" xr3:uid="{73E195CC-4678-4578-B18C-98400D1188C1}" name="Column135"/>
    <tableColumn id="136" xr3:uid="{AB89C3B6-A3BC-4B20-BAB0-449D88E88D11}" name="Column136"/>
    <tableColumn id="137" xr3:uid="{5A6D088A-FA06-462F-AE03-FD5F825D7245}" name="Column137"/>
    <tableColumn id="138" xr3:uid="{8FEAE999-F5CD-4B5E-8239-54D43D89C4B8}" name="Column138"/>
    <tableColumn id="139" xr3:uid="{2ECB957A-46BB-4F92-B653-8CC2220418E8}" name="Column139"/>
    <tableColumn id="140" xr3:uid="{1F377ED8-1F17-4208-912D-5CC3E332C2EE}" name="Column140"/>
    <tableColumn id="141" xr3:uid="{F9106E7B-73D0-41B9-BF78-E827AFA2B9AA}" name="Column141"/>
    <tableColumn id="142" xr3:uid="{F933E088-05AD-42E2-B20B-0792317FD356}" name="Column142"/>
    <tableColumn id="143" xr3:uid="{8164BBB7-BDE3-4C5E-8660-0EEB52299C94}" name="Column143"/>
    <tableColumn id="144" xr3:uid="{4A55FBE5-21AD-436B-BD74-556ABEC856CB}" name="Column144"/>
    <tableColumn id="145" xr3:uid="{38F9D442-BB68-44C8-BF1C-4132933A3EDE}" name="Column145"/>
    <tableColumn id="146" xr3:uid="{D56B6762-CE9A-42C3-AF34-4652BE3A25A8}" name="Column146"/>
    <tableColumn id="147" xr3:uid="{F1C0DAE3-975E-4F92-9E3E-9737E8809FBB}" name="Column147"/>
    <tableColumn id="148" xr3:uid="{B97244B1-4948-4FC1-A741-9EDB7F1474B8}" name="Column148"/>
    <tableColumn id="149" xr3:uid="{E099C0BE-7AAC-435D-953C-925A1264A4F2}" name="Column149"/>
    <tableColumn id="150" xr3:uid="{2E5A7EFC-7C12-480F-8F75-D8688F06792A}" name="Column150"/>
    <tableColumn id="151" xr3:uid="{4E0F67EA-D31A-47D6-A954-7B8568D5BC75}" name="Column151"/>
    <tableColumn id="152" xr3:uid="{F875D23D-5738-4B0F-8B45-A059C823900D}" name="Column152"/>
    <tableColumn id="153" xr3:uid="{8050F154-04E6-4BE2-ADE0-099DEB6B561B}" name="Column153"/>
    <tableColumn id="154" xr3:uid="{D8F10C99-AB6F-464D-9B5F-C3820EB6EAD1}" name="Column154"/>
    <tableColumn id="155" xr3:uid="{229EF53E-8C89-415C-836A-42E0D1DD7986}" name="Column155"/>
    <tableColumn id="156" xr3:uid="{75A7B83D-55F3-4F16-9495-7832D8F1A8F1}" name="Column156"/>
    <tableColumn id="157" xr3:uid="{C12F14B6-24A8-4675-9EF3-933994086B31}" name="Column157"/>
    <tableColumn id="158" xr3:uid="{93FA39B6-8712-4891-BBAB-9E02F31E8066}" name="Column158"/>
    <tableColumn id="159" xr3:uid="{D415CF79-AA48-4CF9-83F8-55BAD6E04A2B}" name="Column159"/>
    <tableColumn id="160" xr3:uid="{5C2E59DF-2BA6-4CAB-B98B-739159960AFF}" name="Column160"/>
    <tableColumn id="161" xr3:uid="{D263A3F9-70C8-45D0-B70B-967A47BA3CE5}" name="Column161"/>
    <tableColumn id="162" xr3:uid="{84135FFB-F1C4-4E25-96EA-5752AEEF4E72}" name="Column162"/>
    <tableColumn id="163" xr3:uid="{846A07C3-8300-445A-9ADA-F79E13BA0EB3}" name="Column163"/>
    <tableColumn id="164" xr3:uid="{C71A72EC-FDDB-49A5-AE44-A01D7EFBAF5B}" name="Column164"/>
    <tableColumn id="165" xr3:uid="{75FD6540-AD91-4B60-8FA2-36DF41DB9524}" name="Column165"/>
    <tableColumn id="166" xr3:uid="{78488145-0B11-42C3-BF2E-A8EFEBD03D08}" name="Column166"/>
    <tableColumn id="167" xr3:uid="{BBDC6E9C-1EAD-434D-8375-96F513DFBFE7}" name="Column167"/>
    <tableColumn id="168" xr3:uid="{2A8597BA-FA4F-4227-9A54-42712C0A6777}" name="Column168"/>
    <tableColumn id="169" xr3:uid="{5092C553-204F-477E-86D2-82D726724121}" name="Column169"/>
    <tableColumn id="170" xr3:uid="{F673CC07-390F-42BF-8123-D931647684EB}" name="Column170"/>
    <tableColumn id="171" xr3:uid="{FFE8DA32-5536-4F66-8402-5A4D2D340D74}" name="Column171"/>
    <tableColumn id="172" xr3:uid="{C8B5CFF3-1124-4D92-B746-C39F3CE7F44E}" name="Column172"/>
    <tableColumn id="173" xr3:uid="{F404DA69-3D4B-4C92-B4EB-C07B44C57729}" name="Column173"/>
    <tableColumn id="174" xr3:uid="{34E1B607-AE24-41F1-A082-6BE74B194CE5}" name="Column174"/>
    <tableColumn id="175" xr3:uid="{C59388D4-17E6-4227-B96B-9B0672017B1C}" name="Column175"/>
    <tableColumn id="176" xr3:uid="{114B26C6-E982-4F1E-990F-6444EC035807}" name="Column176"/>
    <tableColumn id="177" xr3:uid="{15A72EF6-F9CA-43CE-9824-553983975E89}" name="Column177"/>
    <tableColumn id="178" xr3:uid="{DBFE9066-1FB2-4322-B654-4814D93C39CF}" name="Column178"/>
    <tableColumn id="179" xr3:uid="{8B8F7979-0DFD-46A3-9C35-F8498A6A2FE1}" name="Column179"/>
    <tableColumn id="180" xr3:uid="{7F815893-FCF2-475D-8E11-DE0D73B9BAA6}" name="Column180"/>
    <tableColumn id="181" xr3:uid="{6368A088-BD46-44C8-AC65-03DAB79912FE}" name="Column181"/>
    <tableColumn id="182" xr3:uid="{4B7E8F11-DF45-49CB-80B1-5752BCD61DC0}" name="Column182"/>
    <tableColumn id="183" xr3:uid="{6C427456-A486-446C-9EC3-B96CB95BBF9F}" name="Column183"/>
    <tableColumn id="184" xr3:uid="{22575CFB-60F8-4DF0-9ED2-ACF219B5FB8D}" name="Column184"/>
    <tableColumn id="185" xr3:uid="{4D03B96F-955A-4ED5-9215-379EE23867C5}" name="Column185"/>
    <tableColumn id="186" xr3:uid="{EE602C6E-543F-440E-944E-9B2DF2664B5C}" name="Column186"/>
    <tableColumn id="187" xr3:uid="{7CC73D32-9A29-43F9-853D-E3CAEECA29EA}" name="Column187"/>
    <tableColumn id="188" xr3:uid="{2910A549-1051-4D02-9E5F-7284B7AC06C9}" name="Column188"/>
    <tableColumn id="189" xr3:uid="{663AC6E7-BBBF-4082-A136-0878B3960AA8}" name="Column189"/>
    <tableColumn id="190" xr3:uid="{AC50B673-9B12-4991-A5BB-54C74D65B742}" name="Column190"/>
    <tableColumn id="191" xr3:uid="{772A4323-6F8D-4D5B-A8CC-CE304657B60D}" name="Column191"/>
    <tableColumn id="192" xr3:uid="{8156D74A-963E-4A50-B42D-48EFD46800A3}" name="Column192"/>
    <tableColumn id="193" xr3:uid="{680FA8AF-7A76-497F-B4DB-7361B4E91B46}" name="Column193"/>
    <tableColumn id="194" xr3:uid="{5B235057-55EC-4CAA-86AF-9F6E87970444}" name="Column194"/>
    <tableColumn id="195" xr3:uid="{0383D6E5-A0C4-461B-8268-FF7A29AF02E1}" name="Column195"/>
    <tableColumn id="196" xr3:uid="{ACEB761D-7C66-4F48-8E51-11A8BEF2646D}" name="Column196"/>
    <tableColumn id="197" xr3:uid="{0832AB0F-3EF5-4259-B17E-19BF71D2430F}" name="Column197"/>
    <tableColumn id="198" xr3:uid="{D1C011EA-F872-4F03-B42D-CFD3658EBB07}" name="Column198"/>
    <tableColumn id="199" xr3:uid="{F9D63E54-F90C-4D95-9867-3656C5F282F3}" name="Column199"/>
    <tableColumn id="200" xr3:uid="{9A9DAFBE-CBEC-4358-B957-465BA12EAB7A}" name="Column200"/>
    <tableColumn id="201" xr3:uid="{56BC562C-2E17-438E-AE88-18CED5459EB1}" name="Column201"/>
    <tableColumn id="202" xr3:uid="{6DF10A78-2398-44F9-A810-C4D8C87A4854}" name="Column202"/>
    <tableColumn id="203" xr3:uid="{CC51445A-4E43-4D17-8166-10B6DFE8A028}" name="Column203"/>
    <tableColumn id="204" xr3:uid="{1C8AEA4B-33F2-414E-9EFD-90581B196D0F}" name="Column204"/>
    <tableColumn id="205" xr3:uid="{45F72C16-204D-4CF4-8C68-B9265574B29E}" name="Column205"/>
    <tableColumn id="206" xr3:uid="{EB6988B0-8AC7-4680-950B-4933A04F02B7}" name="Column206"/>
    <tableColumn id="207" xr3:uid="{A47C8504-AADE-4831-8777-1F9F1FDF663C}" name="Column207"/>
    <tableColumn id="208" xr3:uid="{2F757714-280B-4E2A-A83B-CBC9D3FC7330}" name="Column208"/>
    <tableColumn id="209" xr3:uid="{E508C426-DF41-443C-9128-4F2D8185180E}" name="Column209"/>
    <tableColumn id="210" xr3:uid="{976B2F2A-54E3-4231-BF6F-090344C4A9CE}" name="Column210"/>
    <tableColumn id="211" xr3:uid="{3C06D279-E131-4F6B-A7AC-3BCC12E70C5E}" name="Column211"/>
    <tableColumn id="212" xr3:uid="{24D43EFD-809C-4CFF-AB09-39AFE1DEC78F}" name="Column212"/>
    <tableColumn id="213" xr3:uid="{404E8448-EC12-42CE-94B1-118103278B57}" name="Column213"/>
    <tableColumn id="214" xr3:uid="{28518B3A-17D0-4452-A890-8F2C0A742734}" name="Column214"/>
    <tableColumn id="215" xr3:uid="{7553FFC3-3F12-41C2-8766-5F347D70489C}" name="Column215"/>
    <tableColumn id="216" xr3:uid="{0B1FD71A-CCEC-41D5-ACE8-B95D2B341373}" name="Column216"/>
    <tableColumn id="217" xr3:uid="{416A5131-4E88-4C35-8357-503B0C095142}" name="Column217"/>
    <tableColumn id="218" xr3:uid="{59956D2B-4606-4BE5-8A69-493AD639AF1E}" name="Column218"/>
    <tableColumn id="219" xr3:uid="{80C575C9-4658-4825-8830-EE5823D9B97E}" name="Column219"/>
    <tableColumn id="220" xr3:uid="{26207107-A4FB-4CC7-A89B-1E80E4FC92B1}" name="Column220"/>
    <tableColumn id="221" xr3:uid="{C5742E17-C12A-4D78-BB5F-EBE22723653E}" name="Column221"/>
    <tableColumn id="222" xr3:uid="{0B4C7657-E49D-41D4-9369-7DBDC8D3E7D2}" name="Column222"/>
    <tableColumn id="223" xr3:uid="{71376897-E732-46BB-8807-0C75541E5259}" name="Column223"/>
    <tableColumn id="224" xr3:uid="{40EC7B52-02BB-4B0C-BB4C-6B98370847FC}" name="Column224"/>
    <tableColumn id="225" xr3:uid="{8906B387-3770-49BB-A199-DCE90E860223}" name="Column225"/>
    <tableColumn id="226" xr3:uid="{EDB69681-92D3-46B6-B9CB-6002CED6EFC6}" name="Column226"/>
    <tableColumn id="227" xr3:uid="{C3B67306-E486-46D1-89CA-27FEBDEECB25}" name="Column227"/>
    <tableColumn id="228" xr3:uid="{54FBA21B-824F-49E2-9EF2-7F7285940D6B}" name="Column228"/>
    <tableColumn id="229" xr3:uid="{BD748EB8-00F2-400D-8F4D-BABE7DF40B93}" name="Column229"/>
    <tableColumn id="230" xr3:uid="{21BFA50A-0B49-4732-9AA8-A445884F1468}" name="Column230"/>
    <tableColumn id="231" xr3:uid="{2FF9D2D2-A1FF-4458-9745-C77F069516B9}" name="Column231"/>
    <tableColumn id="232" xr3:uid="{CD541239-9C60-414B-9D15-F04C98233A34}" name="Column232"/>
    <tableColumn id="233" xr3:uid="{10BA5B73-D2F9-43CA-BE9D-9AB6AFC7B8A6}" name="Column233"/>
    <tableColumn id="234" xr3:uid="{238B4188-7B6C-4256-A5AD-E7AF2685C1C5}" name="Column234"/>
    <tableColumn id="235" xr3:uid="{ECB02067-1C3B-4BDE-A777-BED632D3A11B}" name="Column235"/>
    <tableColumn id="236" xr3:uid="{3A812C39-A874-44F5-8F06-09213A74900F}" name="Column236"/>
    <tableColumn id="237" xr3:uid="{DCF892F9-8CE1-47A0-A417-1D815D7DA649}" name="Column237"/>
    <tableColumn id="238" xr3:uid="{F121963D-4FEB-4AA4-AC14-D211C8F950AF}" name="Column238"/>
    <tableColumn id="239" xr3:uid="{BFD663AC-9E2C-431D-87DA-C882338C067B}" name="Column239"/>
    <tableColumn id="240" xr3:uid="{521D7B8F-91CE-4597-ACA4-10231F9B982F}" name="Column240"/>
    <tableColumn id="241" xr3:uid="{3205262D-508E-497C-AC55-9D5E96238DBA}" name="Column241"/>
    <tableColumn id="242" xr3:uid="{60301BCC-8D6C-4131-B961-3DB236EEE500}" name="Column242"/>
    <tableColumn id="243" xr3:uid="{22758C55-FED7-4EBB-AD95-C54A430CC7EB}" name="Column243"/>
    <tableColumn id="244" xr3:uid="{2FC2D19C-94FD-4C82-933E-85F428EF702A}" name="Column244"/>
    <tableColumn id="245" xr3:uid="{12A9BC98-9E8E-4BBA-919C-F4BBD82556BE}" name="Column245"/>
    <tableColumn id="246" xr3:uid="{E46CF576-53C9-4733-A5C4-BB1D1DB200AF}" name="Column246"/>
    <tableColumn id="247" xr3:uid="{FA4F1314-47D6-4CE0-9CDB-4F59BCF1DBFF}" name="Column247"/>
    <tableColumn id="248" xr3:uid="{61CB626B-D41E-4567-B7DD-EFD95CFEB5DB}" name="Column248"/>
    <tableColumn id="249" xr3:uid="{A166887D-8C53-45F2-83BE-64E8655B92A4}" name="Column249"/>
    <tableColumn id="250" xr3:uid="{4FDABDA4-EA3C-4954-A5AA-E5C1BDA0520C}" name="Column250"/>
    <tableColumn id="251" xr3:uid="{23C942AA-3ECC-4AB7-AD3B-491C6DC8AEAD}" name="Column251"/>
    <tableColumn id="252" xr3:uid="{FE6CCA99-B379-498A-AE81-F44898FA42DD}" name="Column252"/>
    <tableColumn id="253" xr3:uid="{0DEB8279-056A-427C-9309-87DEB1F87185}" name="Column253"/>
    <tableColumn id="254" xr3:uid="{C74A5065-EDD2-4B91-A0C2-E7BA78BBA943}" name="Column254"/>
    <tableColumn id="255" xr3:uid="{FA35FDCB-55F0-4D11-9A0E-2546CB162F2E}" name="Column255"/>
    <tableColumn id="256" xr3:uid="{8ACBF21D-CB4F-4CD1-85A6-2E6535114E80}" name="Column256"/>
    <tableColumn id="257" xr3:uid="{64C8472C-437C-4E4F-BAD4-B1454A0A6B4E}" name="Column257"/>
    <tableColumn id="258" xr3:uid="{9A855927-C93A-41AF-B9EB-37EB3386A36F}" name="Column258"/>
    <tableColumn id="259" xr3:uid="{D79696ED-81B8-4F8A-9056-5A31FCBCDC02}" name="Column259"/>
    <tableColumn id="260" xr3:uid="{B3F6B717-1597-4C9D-B69C-9D69A386B3D7}" name="Column260"/>
    <tableColumn id="261" xr3:uid="{62C80A25-ED30-4E6D-9A27-D1137998D857}" name="Column261"/>
    <tableColumn id="262" xr3:uid="{8C42E045-7A2E-4F8E-9EED-B7C4B847DC3F}" name="Column262"/>
    <tableColumn id="263" xr3:uid="{FF5E92D7-0007-4A02-9939-F8FCFF5F016A}" name="Column263"/>
    <tableColumn id="264" xr3:uid="{BEC8A02F-5778-4BF0-B41D-1C40EFAB957F}" name="Column264"/>
    <tableColumn id="265" xr3:uid="{61546606-D472-4FF6-A840-15E1B5783D36}" name="Column265"/>
    <tableColumn id="266" xr3:uid="{2A7DFF47-B5DD-436E-A1E2-0286A23C8021}" name="Column266"/>
    <tableColumn id="267" xr3:uid="{51C0FD91-ACAE-4551-995A-843525BD0E98}" name="Column267"/>
    <tableColumn id="268" xr3:uid="{15AEE60F-C201-4843-A0AE-C92ADC748AA0}" name="Column268"/>
    <tableColumn id="269" xr3:uid="{1A3A2C6B-CFE0-4FC6-89A4-65173C67876C}" name="Column269"/>
    <tableColumn id="270" xr3:uid="{7AD459D0-2EDC-4C0D-BD68-C765AD307B9B}" name="Column270"/>
    <tableColumn id="271" xr3:uid="{7CD4A6EF-BA05-46CF-8F05-CA147F9AB690}" name="Column271"/>
    <tableColumn id="272" xr3:uid="{55959CDB-0D96-40FA-9404-F889023665B5}" name="Column272"/>
    <tableColumn id="273" xr3:uid="{15C3735F-4372-493E-B27D-93212F173E27}" name="Column273"/>
    <tableColumn id="274" xr3:uid="{AF517CFB-D41B-4306-A092-65C6C5625925}" name="Column274"/>
    <tableColumn id="275" xr3:uid="{87BEE266-0E84-4827-92C0-7487967117A0}" name="Column275"/>
    <tableColumn id="276" xr3:uid="{1288DC0D-59EC-4F37-99A9-E5B17631C1D0}" name="Column276"/>
    <tableColumn id="277" xr3:uid="{D57ECCC2-82D5-40D4-A4DB-073DCCD17CA3}" name="Column277"/>
    <tableColumn id="278" xr3:uid="{A8F02157-DA64-4A0A-8020-FE96C90B37D6}" name="Column278"/>
    <tableColumn id="279" xr3:uid="{FA799E25-46D7-4884-8FC9-321485ED1BE1}" name="Column279"/>
    <tableColumn id="280" xr3:uid="{5C491E5D-F77B-4460-BA86-424DA20C3045}" name="Column280"/>
    <tableColumn id="281" xr3:uid="{3D9A2580-BFB4-4F12-9F30-52EC6AEEADCC}" name="Column281"/>
    <tableColumn id="282" xr3:uid="{C924DE8F-CF6A-4C91-966E-061666DDBD3B}" name="Column282"/>
    <tableColumn id="283" xr3:uid="{2B15D827-6DDD-4ED6-86EA-D799387BD1BB}" name="Column283"/>
    <tableColumn id="284" xr3:uid="{BFA5050B-D1D9-4C75-A7C6-4D92AADAD514}" name="Column284"/>
    <tableColumn id="285" xr3:uid="{C72B6DAD-39EA-4F26-9D5F-1920CD5F6496}" name="Column285"/>
    <tableColumn id="286" xr3:uid="{C941AD8A-9482-422B-8468-6135BBD0D44C}" name="Column286"/>
    <tableColumn id="287" xr3:uid="{0583DB65-3A35-444A-A26F-514999FF5DAC}" name="Column287"/>
    <tableColumn id="288" xr3:uid="{47CC2FB9-0AFB-4201-884F-A198623E9B57}" name="Column288"/>
    <tableColumn id="289" xr3:uid="{A62B528F-F25A-4FA6-8FA9-1E6990D075F8}" name="Column289"/>
    <tableColumn id="290" xr3:uid="{2A36E470-9448-452C-AA3A-6D2E88210B34}" name="Column290"/>
    <tableColumn id="291" xr3:uid="{0EE1499F-65A7-45BB-A0DB-D48D0B54ADA9}" name="Column291"/>
    <tableColumn id="292" xr3:uid="{F6CE1622-74F3-4D0F-9A22-B33138CE0089}" name="Column292"/>
    <tableColumn id="293" xr3:uid="{E47CD94B-F2B7-4E1E-B814-4041646F92A8}" name="Column293"/>
    <tableColumn id="294" xr3:uid="{166B2FFD-2085-48E3-B81C-76E8FF88D38C}" name="Column294"/>
    <tableColumn id="295" xr3:uid="{BB97E6D8-6736-49E1-8044-D47AAD94F98D}" name="Column295"/>
    <tableColumn id="296" xr3:uid="{B75FCD24-5E47-401E-ACB0-DA696A791D23}" name="Column296"/>
    <tableColumn id="297" xr3:uid="{AD2252C0-D3C4-49E1-82B8-A4D994FD811F}" name="Column297"/>
    <tableColumn id="298" xr3:uid="{CC238890-A6F0-4062-9F72-F872D83B4A43}" name="Column298"/>
    <tableColumn id="299" xr3:uid="{BE2E944C-7CDE-487F-9763-76FA6E7B73C4}" name="Column299"/>
    <tableColumn id="300" xr3:uid="{12C651FD-B1A3-4132-87B5-143D07AE03B2}" name="Column300"/>
    <tableColumn id="301" xr3:uid="{67F568D2-5AC9-4465-8ECA-D607DB579AF6}" name="Column301"/>
    <tableColumn id="302" xr3:uid="{28516523-FCFF-4E3C-92D8-851D120D4BDB}" name="Column302"/>
    <tableColumn id="303" xr3:uid="{23D8AB5D-1924-41CB-A2FF-8A79F539CA03}" name="Column303"/>
    <tableColumn id="304" xr3:uid="{5DD4D024-B679-4512-B369-9129CA3814B3}" name="Column304"/>
    <tableColumn id="305" xr3:uid="{3EEBE752-1869-403F-A4DC-A7F7ABED26D5}" name="Column305"/>
    <tableColumn id="306" xr3:uid="{75EBB16B-3E61-4709-A98F-D9F9178484A3}" name="Column306"/>
    <tableColumn id="307" xr3:uid="{784C9352-2659-4F63-A955-D490B9C7F637}" name="Column307"/>
    <tableColumn id="308" xr3:uid="{31B2BB6B-3919-4128-BF00-167E9B2BCA86}" name="Column308"/>
    <tableColumn id="309" xr3:uid="{814A1ED5-3890-4F08-8FEB-963EA6FA8675}" name="Column309"/>
    <tableColumn id="310" xr3:uid="{F437E75E-8445-45FE-B384-CF1E93E144A1}" name="Column310"/>
    <tableColumn id="311" xr3:uid="{27FAFF79-178F-41D8-BD1F-AA42A4B220A7}" name="Column311"/>
    <tableColumn id="312" xr3:uid="{F22B4634-930D-459F-AE27-0AB456D5E3BD}" name="Column312"/>
    <tableColumn id="313" xr3:uid="{EA4CAA7C-963B-44FB-BC10-EEA30AB33697}" name="Column313"/>
    <tableColumn id="314" xr3:uid="{0E28BE6E-FE14-4CAD-AA5D-0F9A7A766536}" name="Column314"/>
    <tableColumn id="315" xr3:uid="{74B7FC68-8B2D-4B18-8E25-75E34619FEF1}" name="Column315"/>
    <tableColumn id="316" xr3:uid="{45B84F08-D7BC-42F0-8421-2BCE687E4076}" name="Column316"/>
    <tableColumn id="317" xr3:uid="{00952279-39E4-4E9F-9844-613DCE23C031}" name="Column317"/>
    <tableColumn id="318" xr3:uid="{06BA629F-03D1-44E1-BD4B-5EB766017715}" name="Column318"/>
    <tableColumn id="319" xr3:uid="{79A14340-ED94-486E-9035-497F27796E13}" name="Column319"/>
    <tableColumn id="320" xr3:uid="{2B874E42-A25A-4CD5-9586-2CEAFEF82F5B}" name="Column320"/>
    <tableColumn id="321" xr3:uid="{5473E111-F16D-415D-B597-A527A3758CC1}" name="Column321"/>
    <tableColumn id="322" xr3:uid="{50AB3FA9-F375-42F6-AB9C-BEFFEE9FC659}" name="Column322"/>
    <tableColumn id="323" xr3:uid="{19338CB3-C753-4CBB-819E-085BB086A611}" name="Column323"/>
    <tableColumn id="324" xr3:uid="{E768A4D9-4C1F-4A07-A220-F72459DC9459}" name="Column324"/>
    <tableColumn id="325" xr3:uid="{59172A55-5833-45B7-BEC2-B4B1EAFF01FB}" name="Column325"/>
    <tableColumn id="326" xr3:uid="{4FCA16A5-D0B1-4BFD-8997-D68CB9B15B07}" name="Column326"/>
    <tableColumn id="327" xr3:uid="{9A42E7BB-3F6F-4998-AA5E-0CB1B7FC6214}" name="Column327"/>
    <tableColumn id="328" xr3:uid="{6FBAD565-BA8E-428B-A8ED-161897247F35}" name="Column328"/>
    <tableColumn id="329" xr3:uid="{63FC5073-E1F7-4675-B223-9C7F9DACE7DB}" name="Column329"/>
    <tableColumn id="330" xr3:uid="{BABDA8BE-F88A-41CA-BC17-552A5F53C16B}" name="Column330"/>
    <tableColumn id="331" xr3:uid="{04A4AB1B-0810-45FC-9665-7FE18F05C50B}" name="Column331"/>
    <tableColumn id="332" xr3:uid="{9BC32243-E898-4F1A-886E-2835469EE68C}" name="Column332"/>
    <tableColumn id="333" xr3:uid="{20A5AD4D-8BC6-45BB-AA62-189EABACB048}" name="Column333"/>
    <tableColumn id="334" xr3:uid="{DCF593AB-73C4-4AB4-B469-2F768BFDB362}" name="Column334"/>
    <tableColumn id="335" xr3:uid="{E364D31F-FD2D-42EA-BCDF-19579D429E7F}" name="Column335"/>
    <tableColumn id="336" xr3:uid="{6C896161-649C-485C-BD3E-8AC94A32F428}" name="Column336"/>
    <tableColumn id="337" xr3:uid="{B11D726C-4B03-43E4-A594-AF32BBFBD972}" name="Column337"/>
    <tableColumn id="338" xr3:uid="{01101329-515C-4C39-974B-BF7072622E54}" name="Column338"/>
    <tableColumn id="339" xr3:uid="{C0D3A64B-ABB1-44EB-A2F2-C1F669F45E63}" name="Column339"/>
    <tableColumn id="340" xr3:uid="{984DC911-9772-4BEF-B01F-F3C198E7844F}" name="Column340"/>
    <tableColumn id="341" xr3:uid="{1637C33D-B909-4809-A4A1-533994367C1A}" name="Column341"/>
    <tableColumn id="342" xr3:uid="{A0043613-F8D0-4CB5-B30A-A4AEE95D32B1}" name="Column342"/>
    <tableColumn id="343" xr3:uid="{10C8030B-AAAF-4212-8AA3-F59767863246}" name="Column343"/>
    <tableColumn id="344" xr3:uid="{64B155DE-82F3-4038-B686-BE5A78397FED}" name="Column344"/>
    <tableColumn id="345" xr3:uid="{4D9E1F00-603F-4A37-B58F-6868B6617BB9}" name="Column345"/>
    <tableColumn id="346" xr3:uid="{7E3A2C21-0F6D-4EB2-919F-58566AFC4E62}" name="Column346"/>
    <tableColumn id="347" xr3:uid="{3A32608A-45EA-4591-8A29-B3EE5D69E3C9}" name="Column347"/>
    <tableColumn id="348" xr3:uid="{2B558B36-4035-4CB6-BFAB-1A8DFBF81954}" name="Column348"/>
    <tableColumn id="349" xr3:uid="{45359838-F0FD-4869-9610-84F2971A2A3B}" name="Column349"/>
    <tableColumn id="350" xr3:uid="{1026E0C3-8E50-4245-87A7-C10C95F700B3}" name="Column350"/>
    <tableColumn id="351" xr3:uid="{6D9AED18-702D-41AC-A94E-8095BB4056FC}" name="Column351"/>
    <tableColumn id="352" xr3:uid="{7C930940-4C08-4D6C-9222-AECB4AD1D722}" name="Column352"/>
    <tableColumn id="353" xr3:uid="{61BF4258-F1BA-49E4-B373-474E82350B54}" name="Column353"/>
    <tableColumn id="354" xr3:uid="{AFD411A0-F4E0-476E-A586-278CB261DDFC}" name="Column354"/>
    <tableColumn id="355" xr3:uid="{111AB789-EABA-4589-AC9F-1C9E6FDD6CE7}" name="Column355"/>
    <tableColumn id="356" xr3:uid="{FA18880D-69F1-4D97-8CE0-BB780E7A21CD}" name="Column356"/>
    <tableColumn id="357" xr3:uid="{65640D79-88FD-435B-BEF9-B77034928B15}" name="Column357"/>
    <tableColumn id="358" xr3:uid="{216FCE50-9ED1-4B84-89AD-66BB46592357}" name="Column358"/>
    <tableColumn id="359" xr3:uid="{0C3A8CA1-FFF3-4F31-8AC2-C8771CBCAC86}" name="Column359"/>
    <tableColumn id="360" xr3:uid="{8EF95858-C501-4B20-A730-502E6D7C5176}" name="Column360"/>
    <tableColumn id="361" xr3:uid="{E9A2DB48-F963-4908-81BB-518C13BCD476}" name="Column361"/>
    <tableColumn id="362" xr3:uid="{41B3AF45-047F-4AEB-B806-4FB46B0B67BE}" name="Column362"/>
    <tableColumn id="363" xr3:uid="{4A937AF3-2BE1-453F-A742-9DFCEB813A4E}" name="Column363"/>
    <tableColumn id="364" xr3:uid="{3DF7B210-29D9-4D11-A5A9-1983E8C4698E}" name="Column364"/>
    <tableColumn id="365" xr3:uid="{EE41A648-BC3E-44B5-8F14-3A260A81EC6B}" name="Column365"/>
    <tableColumn id="366" xr3:uid="{D4FFCD4A-CE07-40C1-83D6-1983E803246A}" name="Column366"/>
    <tableColumn id="367" xr3:uid="{395A2420-5B9F-4FF4-8FE9-5FD276B6D2F2}" name="Column367"/>
    <tableColumn id="368" xr3:uid="{C05DCAA7-BA6D-44F4-8C10-524A92674BFE}" name="Column368"/>
    <tableColumn id="369" xr3:uid="{6AFC6331-C481-448E-8474-C313C08BDADB}" name="Column369"/>
    <tableColumn id="370" xr3:uid="{305BA459-72ED-4C9D-A8D4-B41F14C9D4B6}" name="Column370"/>
    <tableColumn id="371" xr3:uid="{F23EA30C-9517-485E-AA84-303273F249B8}" name="Column371"/>
    <tableColumn id="372" xr3:uid="{C68C0041-FCA0-4B25-9214-7250875C20E7}" name="Column372"/>
    <tableColumn id="373" xr3:uid="{86353A60-E3BD-4733-9777-541B19B538EF}" name="Column373"/>
    <tableColumn id="374" xr3:uid="{95D85A30-833C-4B5B-B615-2EBFE4256988}" name="Column374"/>
    <tableColumn id="375" xr3:uid="{FF2BBFED-E873-43BC-820D-14054D507989}" name="Column375"/>
    <tableColumn id="376" xr3:uid="{A97E827F-7C64-4678-852C-BA89E323FAC2}" name="Column376"/>
    <tableColumn id="377" xr3:uid="{B93ECF54-2147-4519-B0F7-1463323B5CE2}" name="Column377"/>
    <tableColumn id="378" xr3:uid="{1A5E7960-EFCD-4BAD-AD28-049A0B3D83A7}" name="Column378"/>
    <tableColumn id="379" xr3:uid="{75AF7377-4DC5-42FD-9973-C2A682BB32B5}" name="Column379"/>
    <tableColumn id="380" xr3:uid="{23767C68-72ED-43EC-8ED2-B4F11DFD4279}" name="Column380"/>
    <tableColumn id="381" xr3:uid="{1C4D5E44-F710-48F9-8C9A-8DD1732E1109}" name="Column381"/>
    <tableColumn id="382" xr3:uid="{2A2BB05E-3B0B-491C-A606-32C72A0D8359}" name="Column382"/>
    <tableColumn id="383" xr3:uid="{1C0621BD-61A7-4AEE-92AA-4ABA6C2E672B}" name="Column383"/>
    <tableColumn id="384" xr3:uid="{3D7FA7D6-B384-4A16-B026-2B3FD1331F29}" name="Column384"/>
    <tableColumn id="385" xr3:uid="{E8B5EB9F-332E-4A89-881F-F02355FD82DF}" name="Column385"/>
    <tableColumn id="386" xr3:uid="{F4EC64AC-91DB-42CE-BA19-C5B23F721DB3}" name="Column386"/>
    <tableColumn id="387" xr3:uid="{87A40E53-78E7-4108-81EC-54587F1BE502}" name="Column387"/>
    <tableColumn id="388" xr3:uid="{917CFD2E-74BF-4016-AB21-47B489009C9E}" name="Column388"/>
    <tableColumn id="389" xr3:uid="{2A67DDE0-C61F-4679-AECD-5587C1A52BF2}" name="Column389"/>
    <tableColumn id="390" xr3:uid="{F57A4931-6E61-4521-9866-2276A9F16D6A}" name="Column390"/>
    <tableColumn id="391" xr3:uid="{447D0602-E6CB-4B72-BFEC-6AB77C6E3F0B}" name="Column391"/>
    <tableColumn id="392" xr3:uid="{D703B3FF-5A2D-4290-91D2-6A959D20749E}" name="Column392"/>
    <tableColumn id="393" xr3:uid="{6F2CE8D0-771C-4C3B-A013-60986C9A6A00}" name="Column393"/>
    <tableColumn id="394" xr3:uid="{6F0359C5-84A5-40C0-8DEF-3EF6E510E936}" name="Column394"/>
    <tableColumn id="395" xr3:uid="{59DE111F-6936-4953-AE5C-F59A8FB6D005}" name="Column395"/>
    <tableColumn id="396" xr3:uid="{AEE9FACB-5A32-40F9-9D20-713A54290F22}" name="Column396"/>
    <tableColumn id="397" xr3:uid="{756ADBEF-E4FE-4FE8-A5CE-1114EDE63D66}" name="Column397"/>
    <tableColumn id="398" xr3:uid="{7727461A-20E7-44C2-A96F-512167D83F6E}" name="Column398"/>
    <tableColumn id="399" xr3:uid="{F0D5E319-9E3A-45FE-A138-D48ADA330685}" name="Column399"/>
    <tableColumn id="400" xr3:uid="{A9FBEFAD-CB9C-49D5-ABE2-BDC136877736}" name="Column400"/>
    <tableColumn id="401" xr3:uid="{DCC99F06-5100-4F78-A0D8-B78FF57B4FFC}" name="Column401"/>
    <tableColumn id="402" xr3:uid="{54CCDA05-ED43-4628-92F9-9FCB39E557A0}" name="Column402"/>
    <tableColumn id="403" xr3:uid="{1B6F5765-4F4D-4C3F-BEED-635C5BA050E2}" name="Column403"/>
    <tableColumn id="404" xr3:uid="{AFAA894E-F4BA-44A0-A520-EFBAB17023BD}" name="Column404"/>
    <tableColumn id="405" xr3:uid="{76DAE6C4-1A95-43F0-BEAA-5A283F19FBFB}" name="Column405"/>
    <tableColumn id="406" xr3:uid="{C186BA87-AA7D-472D-899C-5F81322744DD}" name="Column406"/>
    <tableColumn id="407" xr3:uid="{1F271EA8-A8BF-4427-BFD9-F5AEFA269320}" name="Column407"/>
    <tableColumn id="408" xr3:uid="{C67D7098-21ED-4EFE-BF52-7AC3AD3510CB}" name="Column408"/>
    <tableColumn id="409" xr3:uid="{63587ECE-FB29-44C0-BBB3-8AC26AA6CFB7}" name="Column409"/>
    <tableColumn id="410" xr3:uid="{A6347FA0-D6E3-4D96-AE38-6F27E9D6492E}" name="Column410"/>
    <tableColumn id="411" xr3:uid="{54FF2064-6220-4FF1-A3CB-416A03867C26}" name="Column411"/>
    <tableColumn id="412" xr3:uid="{A9209AC9-EC31-4B3D-8712-35F7AA27E17F}" name="Column412"/>
    <tableColumn id="413" xr3:uid="{B4DD3312-7346-4958-AB53-4F31F074381C}" name="Column413"/>
    <tableColumn id="414" xr3:uid="{E20C971D-C651-4FD7-BEE8-09C3D8B57B78}" name="Column414"/>
    <tableColumn id="415" xr3:uid="{C2705126-696C-496E-8F35-36AB36516C27}" name="Column415"/>
    <tableColumn id="416" xr3:uid="{F17EB508-96AA-44EF-9CD3-C6E91B69D4F8}" name="Column416"/>
    <tableColumn id="417" xr3:uid="{3FF80FFB-F99B-4AB5-A926-636AD5C4FB7D}" name="Column417"/>
    <tableColumn id="418" xr3:uid="{F66D5945-8CBC-4F32-B910-191F910A7828}" name="Column418"/>
    <tableColumn id="419" xr3:uid="{D58D087C-B9FC-4A88-BA37-5B17A698436B}" name="Column419"/>
    <tableColumn id="420" xr3:uid="{DD6F21E6-0047-41ED-BD13-E9643C57B891}" name="Column420"/>
    <tableColumn id="421" xr3:uid="{D62A40C4-BF27-4CEB-840A-BC432D6F1ACC}" name="Column421"/>
    <tableColumn id="422" xr3:uid="{10B7836F-B0D0-4845-B1C3-72648E9B9D08}" name="Column422"/>
    <tableColumn id="423" xr3:uid="{C04CAA3A-E88F-4C70-8DF4-665FF30DC9FB}" name="Column423"/>
    <tableColumn id="424" xr3:uid="{AAC0F818-10D8-4E0D-ABEB-2D4A49EC8A7E}" name="Column424"/>
    <tableColumn id="425" xr3:uid="{D194E64E-58E2-4308-9855-764965C673EF}" name="Column425"/>
    <tableColumn id="426" xr3:uid="{D99794E4-87A4-473B-89B0-76B412164D98}" name="Column426"/>
    <tableColumn id="427" xr3:uid="{5A533A16-8E26-4A7E-831A-3FFD651BBE16}" name="Column427"/>
    <tableColumn id="428" xr3:uid="{F0182153-03C4-4D9B-BFA8-7B892CB54467}" name="Column428"/>
    <tableColumn id="429" xr3:uid="{0F347BA5-27C8-4831-AE76-859CA283D13E}" name="Column429"/>
    <tableColumn id="430" xr3:uid="{E4F170FB-F163-4B25-BD12-D58B7237C543}" name="Column430"/>
    <tableColumn id="431" xr3:uid="{0F534902-EB1C-49C5-ADBC-44B7CA4D5C8B}" name="Column431"/>
    <tableColumn id="432" xr3:uid="{85B985FA-F5F3-4E25-B53B-E2AE9D4C4859}" name="Column432"/>
    <tableColumn id="433" xr3:uid="{DAFB4345-6570-438E-9705-73A5960EF574}" name="Column433"/>
    <tableColumn id="434" xr3:uid="{53DB7DC0-21D9-4A9E-AF91-CF678363BE0F}" name="Column434"/>
    <tableColumn id="435" xr3:uid="{3151B56C-967D-4094-8DD6-857D581BFCE9}" name="Column435"/>
    <tableColumn id="436" xr3:uid="{0C9507E6-3C6A-4635-87FC-7E3CF96CE459}" name="Column436"/>
    <tableColumn id="437" xr3:uid="{EC1C7FFE-DC5F-4A91-AA3A-1012A17A1982}" name="Column437"/>
    <tableColumn id="438" xr3:uid="{D696FDEF-07AE-4FA7-9AA0-EAEB032D5112}" name="Column438"/>
    <tableColumn id="439" xr3:uid="{233C4346-DA03-468B-8EE1-6AE4201F1BBA}" name="Column439"/>
    <tableColumn id="440" xr3:uid="{5E6817EA-4B44-4979-B7A4-50C81C22A781}" name="Column440"/>
    <tableColumn id="441" xr3:uid="{6C449D53-AD7B-4B9B-ADE5-6F787AF846D9}" name="Column441"/>
    <tableColumn id="442" xr3:uid="{2A7A7C2E-7763-4A58-BAA7-4FB363D9DA4D}" name="Column442"/>
    <tableColumn id="443" xr3:uid="{69F24794-4A04-4D38-BD76-74DC4F16582A}" name="Column443"/>
    <tableColumn id="444" xr3:uid="{6FCBB4E7-0381-4707-8DE1-E837B460C5F9}" name="Column444"/>
    <tableColumn id="445" xr3:uid="{6B12210F-D33E-4FFA-B136-3BEFF8DBA548}" name="Column445"/>
    <tableColumn id="446" xr3:uid="{0A51BD45-F285-44BC-801C-4DC93D9FE14A}" name="Column446"/>
    <tableColumn id="447" xr3:uid="{52A08345-FF66-4090-8C07-792D5A74C9E6}" name="Column447"/>
    <tableColumn id="448" xr3:uid="{27DC17D7-700B-4489-8185-CD9273D6D552}" name="Column448"/>
    <tableColumn id="449" xr3:uid="{B82CA4E1-836A-4FC9-85B8-D6D1D4281CE9}" name="Column449"/>
    <tableColumn id="450" xr3:uid="{357C0D40-4DBA-4111-B256-D422F6A1827A}" name="Column450"/>
    <tableColumn id="451" xr3:uid="{CE0511F5-DD35-4C9D-B491-89F49F4AD103}" name="Column451"/>
    <tableColumn id="452" xr3:uid="{8B611BA8-BD93-4AEA-A82C-D2719D97E715}" name="Column452"/>
    <tableColumn id="453" xr3:uid="{65AA6480-A96E-4F57-A97F-A3A309A3CB81}" name="Column453"/>
    <tableColumn id="454" xr3:uid="{FB197498-7D88-4A2D-806E-1F9DE03834E6}" name="Column454"/>
    <tableColumn id="455" xr3:uid="{FFF89116-1442-4CCE-A8FD-8C76BB1CD9DB}" name="Column455"/>
    <tableColumn id="456" xr3:uid="{56EF2B05-26B7-4EFA-A85B-F1322673C847}" name="Column456"/>
    <tableColumn id="457" xr3:uid="{A0A42763-A49D-4EE0-AC44-A7EBC7AE6E5A}" name="Column457"/>
    <tableColumn id="458" xr3:uid="{4643FBE3-F3C3-4ADC-B5B2-2BF47CF23F97}" name="Column458"/>
    <tableColumn id="459" xr3:uid="{9A01F96A-4230-4E9D-A56F-2D4465BEB853}" name="Column459"/>
    <tableColumn id="460" xr3:uid="{FCE828E7-DB47-47F9-A8E8-962BF6C3B497}" name="Column460"/>
    <tableColumn id="461" xr3:uid="{53F74E19-C406-4A8F-8F85-DFFC00E15D0D}" name="Column461"/>
    <tableColumn id="462" xr3:uid="{B49F3FE6-E131-4E38-B8F5-3F35A21BDC21}" name="Column462"/>
    <tableColumn id="463" xr3:uid="{5B393EC2-E142-4B98-B5AD-1622B4251465}" name="Column463"/>
    <tableColumn id="464" xr3:uid="{FA347DF5-6F59-49FB-B1BE-202A8E978943}" name="Column464"/>
    <tableColumn id="465" xr3:uid="{E416BD13-57BA-4DF6-9621-21076C492DF6}" name="Column465"/>
    <tableColumn id="466" xr3:uid="{A599483A-FD26-4928-B0B7-D0F89E8687F2}" name="Column466"/>
    <tableColumn id="467" xr3:uid="{A2B017A3-39B3-4C27-BDA1-FE47574A0BD2}" name="Column467"/>
    <tableColumn id="468" xr3:uid="{AD1F5263-4E2A-423B-AEBE-D61953B54540}" name="Column468"/>
    <tableColumn id="469" xr3:uid="{44872A4D-C691-4173-96F7-5066A65D4F3A}" name="Column469"/>
    <tableColumn id="470" xr3:uid="{5A4CBDBA-4A07-45BF-A952-D840DE677D08}" name="Column470"/>
    <tableColumn id="471" xr3:uid="{3DA2BEA0-7826-4161-8706-33483B58268B}" name="Column471"/>
    <tableColumn id="472" xr3:uid="{1267B784-8FA7-4DE8-8207-03564AEDAA2A}" name="Column472"/>
    <tableColumn id="473" xr3:uid="{C4C6C1B0-C729-4946-8620-DD190611AA70}" name="Column473"/>
    <tableColumn id="474" xr3:uid="{DFF3D331-58F8-4E52-ABF4-CC8FDD994F3B}" name="Column474"/>
    <tableColumn id="475" xr3:uid="{1EA3B84E-F06B-4E7B-AE5A-81745A165280}" name="Column475"/>
    <tableColumn id="476" xr3:uid="{52CAAF6A-3496-4B78-95EA-23B435A4B87D}" name="Column476"/>
    <tableColumn id="477" xr3:uid="{997A77F4-9748-422B-846F-B0F6969B67B2}" name="Column477"/>
    <tableColumn id="478" xr3:uid="{F0D2C1EC-D583-4A70-AE12-54C91D765ED4}" name="Column478"/>
    <tableColumn id="479" xr3:uid="{8FD0477A-8399-4598-ADA9-D79E2D705C96}" name="Column479"/>
    <tableColumn id="480" xr3:uid="{1CCC06C6-6FAC-4361-9AD6-D8713A115779}" name="Column480"/>
    <tableColumn id="481" xr3:uid="{8285C29E-0B81-46E7-B0B9-3A7276AAE17C}" name="Column481"/>
    <tableColumn id="482" xr3:uid="{A2CF5757-2E4D-431F-A1FD-0D9CF37720E4}" name="Column482"/>
    <tableColumn id="483" xr3:uid="{EDCCC13F-C7CF-4BEF-9039-AA790CA47C64}" name="Column483"/>
    <tableColumn id="484" xr3:uid="{7A8BF642-B1EF-4398-B68B-917D14BB70A9}" name="Column484"/>
    <tableColumn id="485" xr3:uid="{4DD5EC48-2B54-4FB8-B443-6B81B953E045}" name="Column485"/>
    <tableColumn id="486" xr3:uid="{E5EED1B8-176E-4E56-ACE5-8B01C114C4B7}" name="Column486"/>
    <tableColumn id="487" xr3:uid="{23FCE3CB-D938-47E7-8EF6-EC87CA3ACE68}" name="Column487"/>
    <tableColumn id="488" xr3:uid="{57A6FBE0-2A4B-42F0-987B-9C1E86DE6B96}" name="Column488"/>
    <tableColumn id="489" xr3:uid="{4D014247-4DA6-4959-8989-0F62F1442944}" name="Column489"/>
    <tableColumn id="490" xr3:uid="{8273BB0B-7E6A-43F9-9A5F-B9DE43E48555}" name="Column490"/>
    <tableColumn id="491" xr3:uid="{81C8E4D0-25DA-4A60-9C01-1DF0B8E5E52F}" name="Column491"/>
    <tableColumn id="492" xr3:uid="{56F6AC03-4FB4-4634-A0DA-78DF74BA4B87}" name="Column492"/>
    <tableColumn id="493" xr3:uid="{98321634-83EA-4957-9F9D-8289CB828574}" name="Column493"/>
    <tableColumn id="494" xr3:uid="{60A62851-18E3-4B39-9B14-C99AEF1189D5}" name="Column494"/>
    <tableColumn id="495" xr3:uid="{F16DF554-1CBD-4866-8AB5-E12A7F3A50DC}" name="Column495"/>
    <tableColumn id="496" xr3:uid="{CDF205C0-3858-40A5-9E7E-87CB0C761989}" name="Column496"/>
    <tableColumn id="497" xr3:uid="{E8A12A7D-58A3-4D7B-BB71-CAE0F33F5958}" name="Column497"/>
    <tableColumn id="498" xr3:uid="{3AD3F20E-A63D-4993-A805-CD254A42B20B}" name="Column498"/>
    <tableColumn id="499" xr3:uid="{E901AF04-825D-4D77-86E1-9C0892AA341B}" name="Column499"/>
    <tableColumn id="500" xr3:uid="{CE0B6B63-EF41-48AF-86FE-39F5F8081293}" name="Column500"/>
    <tableColumn id="501" xr3:uid="{C76B5DB6-3287-4E52-99CF-D70F773852AC}" name="Column501"/>
    <tableColumn id="502" xr3:uid="{7C130F20-7060-4368-9BD5-0C5514549616}" name="Column502"/>
    <tableColumn id="503" xr3:uid="{D9006DB8-1DCD-426D-8B07-2F15EAC16F5C}" name="Column503"/>
    <tableColumn id="504" xr3:uid="{D37CB8FA-3C09-4058-8549-E084135217D2}" name="Column504"/>
    <tableColumn id="505" xr3:uid="{E8CF5410-7510-4389-8D02-033C4D75FD71}" name="Column505"/>
    <tableColumn id="506" xr3:uid="{520444F4-653D-49E4-BF3F-D15A2DD22352}" name="Column506"/>
    <tableColumn id="507" xr3:uid="{1781D629-5A1E-461E-8CEC-20C921171C43}" name="Column507"/>
    <tableColumn id="508" xr3:uid="{E709378A-24C2-44F0-BD35-DBF1C9F994FF}" name="Column508"/>
    <tableColumn id="509" xr3:uid="{41C61A07-5E96-4715-A1CE-AE37F441F9AE}" name="Column509"/>
    <tableColumn id="510" xr3:uid="{E6978952-23DC-4380-9387-527AADECECA1}" name="Column510"/>
    <tableColumn id="511" xr3:uid="{B9AC9963-460D-4708-8999-9C633D7D47CB}" name="Column511"/>
    <tableColumn id="512" xr3:uid="{6A164BB1-233A-45A5-B621-CC47D2AAEBE9}" name="Column512"/>
    <tableColumn id="513" xr3:uid="{2E33D6CE-472C-4FBA-8F2D-9A50DE7099F1}" name="Column513"/>
    <tableColumn id="514" xr3:uid="{7EEFD249-A240-4938-8DD1-CBD2F393F8D7}" name="Column514"/>
    <tableColumn id="515" xr3:uid="{536D25AD-6FBB-4370-88F1-6E2261178116}" name="Column515"/>
    <tableColumn id="516" xr3:uid="{5D174FCF-15D2-40CD-8ED1-8A46B4611E30}" name="Column516"/>
    <tableColumn id="517" xr3:uid="{9942A379-562E-4EBA-85EB-78343800EB56}" name="Column517"/>
    <tableColumn id="518" xr3:uid="{6F8F6BD2-4246-437B-9072-DBE0400ADC08}" name="Column518"/>
    <tableColumn id="519" xr3:uid="{DF4D2746-7207-4E87-ACA1-4AAC1D33A884}" name="Column519"/>
    <tableColumn id="520" xr3:uid="{531EB167-689F-4B73-8530-FEB67FF425C2}" name="Column520"/>
    <tableColumn id="521" xr3:uid="{73A71303-F510-4C98-9F3C-879865C61E62}" name="Column521"/>
    <tableColumn id="522" xr3:uid="{3914C683-2520-4C73-BE03-96093BBD7133}" name="Column522"/>
    <tableColumn id="523" xr3:uid="{85C1FB8A-9622-46FF-B810-680EF4352DD4}" name="Column523"/>
    <tableColumn id="524" xr3:uid="{15CB1C74-00B7-432E-A0A9-877C41DAACE5}" name="Column524"/>
    <tableColumn id="525" xr3:uid="{4E224BF5-E7D3-4C14-B4E3-4B4CBCB29E95}" name="Column525"/>
    <tableColumn id="526" xr3:uid="{D6495C2C-C0DD-43CF-9EF1-2A3E87A9963D}" name="Column526"/>
    <tableColumn id="527" xr3:uid="{2CCA58F4-D080-4BA5-8145-28D7F1563399}" name="Column527"/>
    <tableColumn id="528" xr3:uid="{18DC3A0C-B8A1-4647-A062-119C60CFED16}" name="Column528"/>
    <tableColumn id="529" xr3:uid="{4B6E14A6-7A62-46C0-A393-08EC67CD54FF}" name="Column529"/>
    <tableColumn id="530" xr3:uid="{6E6D55C5-AD02-4DF3-A288-8B94CC9954D1}" name="Column530"/>
    <tableColumn id="531" xr3:uid="{5161F13B-9FE8-4539-A2A8-3BE2113C1089}" name="Column531"/>
    <tableColumn id="532" xr3:uid="{03075CA9-DD80-4DE5-A607-81C8121F27FA}" name="Column532"/>
    <tableColumn id="533" xr3:uid="{1EA2E2C7-8468-49E5-8620-ACF3D4357358}" name="Column533"/>
    <tableColumn id="534" xr3:uid="{384CA145-DB1E-4F13-8FD0-FFDC151FDE67}" name="Column534"/>
    <tableColumn id="535" xr3:uid="{75C16AD9-BF96-4D52-9512-3A8FA9CC55C3}" name="Column535"/>
    <tableColumn id="536" xr3:uid="{F36B3B6A-EC72-4FA8-8A4C-F36480CB592B}" name="Column536"/>
    <tableColumn id="537" xr3:uid="{16B1E663-05E8-4155-8D30-D1445B098A09}" name="Column537"/>
    <tableColumn id="538" xr3:uid="{7474DA6A-8DD2-4B1C-B990-48F8E33BF3A2}" name="Column538"/>
    <tableColumn id="539" xr3:uid="{A1CC46EE-0FB7-475C-BBC4-B3F656796A9E}" name="Column539"/>
    <tableColumn id="540" xr3:uid="{A53F7E2C-C52C-4DB3-A31A-B65354086E4C}" name="Column540"/>
    <tableColumn id="541" xr3:uid="{F66087D5-9D72-47E4-9ECB-912A885C2145}" name="Column541"/>
    <tableColumn id="542" xr3:uid="{5BEEB9BC-9E42-4697-B1A0-E36C6248A9EE}" name="Column542"/>
    <tableColumn id="543" xr3:uid="{E59724B6-CEC2-4A04-9DB1-03080007A54D}" name="Column543"/>
    <tableColumn id="544" xr3:uid="{16B76E2B-ED02-4CF7-8911-358B68830521}" name="Column544"/>
    <tableColumn id="545" xr3:uid="{A5B61E0A-780E-47FB-88F9-EAFF62E76A2F}" name="Column545"/>
    <tableColumn id="546" xr3:uid="{AF459449-084D-4A0B-892F-0ADB0DD3BE47}" name="Column546"/>
    <tableColumn id="547" xr3:uid="{0CCC67F2-8F61-4D74-A9ED-3274DA3AA1CF}" name="Column547"/>
    <tableColumn id="548" xr3:uid="{DF743FFA-530E-492D-9B98-5B422FF06FAC}" name="Column548"/>
    <tableColumn id="549" xr3:uid="{A0018076-67E6-43BD-8FB1-839ECD2653FE}" name="Column549"/>
    <tableColumn id="550" xr3:uid="{5BCB5625-B1B3-4E95-A5FE-83AC2D8B42DB}" name="Column550"/>
    <tableColumn id="551" xr3:uid="{0C4FC3D8-6AF4-4C1C-94B5-587EAA874411}" name="Column551"/>
    <tableColumn id="552" xr3:uid="{5C728DD3-499A-40A4-8703-25863B7D2DAE}" name="Column552"/>
    <tableColumn id="553" xr3:uid="{D4C95058-F27F-418E-AC53-A5CCCB997C19}" name="Column553"/>
    <tableColumn id="554" xr3:uid="{EFDE6E6C-4501-4AA0-B7BE-851B1DABB74A}" name="Column554"/>
    <tableColumn id="555" xr3:uid="{5E46DB5B-2B4A-464A-8AAB-8379C097C2B4}" name="Column555"/>
    <tableColumn id="556" xr3:uid="{8B341249-89BC-48F7-9FD7-AC68D372CE9D}" name="Column556"/>
    <tableColumn id="557" xr3:uid="{30D20DAC-2FAA-46CE-928A-4A886EDED14E}" name="Column557"/>
    <tableColumn id="558" xr3:uid="{671A8923-5DEC-4525-B1C7-5D9E83A44474}" name="Column558"/>
    <tableColumn id="559" xr3:uid="{56380143-5284-4D2D-A3C5-BA2EBA265FA3}" name="Column559"/>
    <tableColumn id="560" xr3:uid="{19A0C05F-C14A-4F7C-90AD-E20404E5A314}" name="Column560"/>
    <tableColumn id="561" xr3:uid="{980FA4BA-9852-45EA-A977-4C95DDD047D1}" name="Column561"/>
    <tableColumn id="562" xr3:uid="{6BEF003B-0EB8-4B9A-8B36-30F1A563AF8F}" name="Column562"/>
    <tableColumn id="563" xr3:uid="{7B415F9B-B0C0-4ABD-82F7-F8C17282E471}" name="Column563"/>
    <tableColumn id="564" xr3:uid="{67FB00B4-FC64-41E4-94E0-F0EA748FAE41}" name="Column564"/>
    <tableColumn id="565" xr3:uid="{F3D69815-C811-49A1-896E-E136978C7032}" name="Column565"/>
    <tableColumn id="566" xr3:uid="{DB0E1485-D4F0-40D4-ACC8-B8647C1E82A9}" name="Column566"/>
    <tableColumn id="567" xr3:uid="{323E7D76-93C8-48E3-A8D6-CB94F14FCAAB}" name="Column567"/>
    <tableColumn id="568" xr3:uid="{8B334A78-0BCA-40D1-9E65-CBF9CC99DE51}" name="Column568"/>
    <tableColumn id="569" xr3:uid="{1035612D-2776-453B-9C6A-F6DEDC576484}" name="Column569"/>
    <tableColumn id="570" xr3:uid="{A8B9A2EA-4027-4C0B-9148-EBD69311ECE1}" name="Column570"/>
    <tableColumn id="571" xr3:uid="{E1C551DE-8769-44ED-A544-56EAF7C13906}" name="Column571"/>
    <tableColumn id="572" xr3:uid="{8343A1C4-96B8-4402-955E-80F849959ACB}" name="Column572"/>
    <tableColumn id="573" xr3:uid="{5ADA4F28-7322-45A3-A7F7-60578F9D193A}" name="Column573"/>
    <tableColumn id="574" xr3:uid="{4606B99F-B254-407A-9DF7-497DBB9CE3CA}" name="Column574"/>
    <tableColumn id="575" xr3:uid="{BC672E49-3BD1-40FC-BD39-11FDAA1AA059}" name="Column575"/>
    <tableColumn id="576" xr3:uid="{09589D02-3F05-4FF5-BE42-A9E36352DA84}" name="Column576"/>
    <tableColumn id="577" xr3:uid="{7C64F691-C484-49D7-876E-42A46C14D557}" name="Column577"/>
    <tableColumn id="578" xr3:uid="{D5CC77EF-9002-4964-85B8-35128000E3D2}" name="Column578"/>
    <tableColumn id="579" xr3:uid="{631C4624-6E35-4012-9199-B9E02102753C}" name="Column579"/>
    <tableColumn id="580" xr3:uid="{6F335835-BDC6-47B4-BAC9-85CED0723D3D}" name="Column580"/>
    <tableColumn id="581" xr3:uid="{6DAA2275-4618-4A6B-86AD-A3D72FA6D85A}" name="Column581"/>
    <tableColumn id="582" xr3:uid="{C2DDB049-A500-4C4A-9D5A-1F8950495262}" name="Column582"/>
    <tableColumn id="583" xr3:uid="{B93DE9D7-A859-43C6-815B-6B71D7BFCAD2}" name="Column583"/>
    <tableColumn id="584" xr3:uid="{BBB96CAB-A96E-4267-B013-A925FE11C357}" name="Column584"/>
    <tableColumn id="585" xr3:uid="{D3D451F8-52FF-4D5F-8882-DC0FB93276DE}" name="Column585"/>
    <tableColumn id="586" xr3:uid="{C5803026-6AE1-4AE5-94DC-568E4BB257D2}" name="Column586"/>
    <tableColumn id="587" xr3:uid="{3EADA88F-5FC6-4B4D-922C-B2DB97B24AE1}" name="Column587"/>
    <tableColumn id="588" xr3:uid="{76CFE47E-D2F1-410E-9A90-DFC40205FB9B}" name="Column588"/>
    <tableColumn id="589" xr3:uid="{25325B08-3667-49CF-B7DE-5BAF34BD8DF6}" name="Column589"/>
    <tableColumn id="590" xr3:uid="{1BCACE10-2287-4A22-AD8E-3A78909739F0}" name="Column590"/>
    <tableColumn id="591" xr3:uid="{9BCC2E25-7ED7-4580-9698-82F69A60042F}" name="Column591"/>
    <tableColumn id="592" xr3:uid="{4F1B23D3-A90C-4D47-94C5-E271FC72FA20}" name="Column592"/>
    <tableColumn id="593" xr3:uid="{BBBFA440-FE6F-4855-92A8-4F8625477AC2}" name="Column593"/>
    <tableColumn id="594" xr3:uid="{F1F43B2D-310B-42A3-8E71-DD910AAB4E85}" name="Column594"/>
    <tableColumn id="595" xr3:uid="{1E52B17C-7836-4123-8280-B5974188C781}" name="Column595"/>
    <tableColumn id="596" xr3:uid="{04E54AE1-91E2-4DD0-AEAC-5AD2B0E3E733}" name="Column596"/>
    <tableColumn id="597" xr3:uid="{14AE737F-23F7-4C0A-8891-ABAD502FBD5C}" name="Column597"/>
    <tableColumn id="598" xr3:uid="{EDE67C14-E0AB-4368-98C1-955DDDEDFCCA}" name="Column598"/>
    <tableColumn id="599" xr3:uid="{3720E280-BAD6-4ADC-A1D1-823C9FDA8075}" name="Column599"/>
    <tableColumn id="600" xr3:uid="{85A88AB6-BEDD-4BA5-85F7-24DDC12EDA09}" name="Column600"/>
    <tableColumn id="601" xr3:uid="{64D54F48-1834-4414-8DC7-739C08E1FAEA}" name="Column601"/>
    <tableColumn id="602" xr3:uid="{63CAD3EA-ACB9-4786-B05E-CC06A9F104F7}" name="Column602"/>
    <tableColumn id="603" xr3:uid="{AC4FC46C-1DA0-4C14-9706-0ECB899CCF7A}" name="Column603"/>
    <tableColumn id="604" xr3:uid="{F65FE71A-4EBC-4424-8764-1E90B0B521FE}" name="Column604"/>
    <tableColumn id="605" xr3:uid="{128E6B93-9FB7-4F60-B5CC-F11217594CB7}" name="Column605"/>
    <tableColumn id="606" xr3:uid="{1EBCDDD8-5F6E-4BFF-8FA5-3C61AF7163D8}" name="Column606"/>
    <tableColumn id="607" xr3:uid="{3D65DE41-4C4F-4AFF-8F1B-6F44ED92E9E9}" name="Column607"/>
    <tableColumn id="608" xr3:uid="{4207C7BA-BB61-4525-9FA8-92E690FC3E0B}" name="Column608"/>
    <tableColumn id="609" xr3:uid="{0BB494CA-E544-4205-B759-45212A7FCB0B}" name="Column609"/>
    <tableColumn id="610" xr3:uid="{1A05277F-A9A1-4B02-A0EE-306D4B2C249B}" name="Column610"/>
    <tableColumn id="611" xr3:uid="{F08C6D36-6328-44F4-8746-EAECDFD3E9E0}" name="Column611"/>
    <tableColumn id="612" xr3:uid="{4352139E-8677-41B6-9C74-DD195831AFF5}" name="Column612"/>
    <tableColumn id="613" xr3:uid="{C6CEA0BC-FAD0-49C3-B8EF-54758410A423}" name="Column613"/>
    <tableColumn id="614" xr3:uid="{61535054-BCF0-4680-9ED1-5F4DCF9F8372}" name="Column614"/>
    <tableColumn id="615" xr3:uid="{A25863BB-F170-4B56-9646-10B958A2A3CF}" name="Column615"/>
    <tableColumn id="616" xr3:uid="{0B084703-8DFC-4393-8B73-0FC8A9337DF3}" name="Column616"/>
    <tableColumn id="617" xr3:uid="{FC9A8355-83C8-4AB3-90F4-C09B21ECBA12}" name="Column617"/>
    <tableColumn id="618" xr3:uid="{64150394-9EA5-4799-907F-7F5DE6A45115}" name="Column618"/>
    <tableColumn id="619" xr3:uid="{623AADA6-90B2-45AD-B22E-813A4045D9E4}" name="Column619"/>
    <tableColumn id="620" xr3:uid="{719BCC15-5C30-4A38-9A6E-7D50AE674FFE}" name="Column620"/>
    <tableColumn id="621" xr3:uid="{FBEC1F30-46A8-4119-BDA1-10006C7B60CB}" name="Column621"/>
    <tableColumn id="622" xr3:uid="{F5710B5C-2508-4FE7-B7AC-84BEDE29716D}" name="Column622"/>
    <tableColumn id="623" xr3:uid="{934B08FE-05DC-4972-974B-29B3D5B677DD}" name="Column623"/>
    <tableColumn id="624" xr3:uid="{7DDE9B3D-7452-432F-8089-608EAB450A13}" name="Column624"/>
    <tableColumn id="625" xr3:uid="{3AB0C593-CEBF-46B5-A8D8-89CAC5BBC6FF}" name="Column625"/>
    <tableColumn id="626" xr3:uid="{19DD13DC-6467-45A0-A77C-E2496733E26C}" name="Column626"/>
    <tableColumn id="627" xr3:uid="{C9DFDE22-6793-45CA-A51D-322E1F9C30F2}" name="Column627"/>
    <tableColumn id="628" xr3:uid="{E7B739E2-DE6E-465E-A45F-458B1CDCEFCC}" name="Column628"/>
    <tableColumn id="629" xr3:uid="{4B89A2DC-5695-4E27-B654-4F23FAB9C3D6}" name="Column629"/>
    <tableColumn id="630" xr3:uid="{B272BE71-531B-4F8A-9D30-F5852FEE758B}" name="Column630"/>
    <tableColumn id="631" xr3:uid="{550E6AD4-E44E-4BEF-B6FE-E0E3E09C1F85}" name="Column631"/>
    <tableColumn id="632" xr3:uid="{D33F2032-E11D-458E-AC25-9EA90C18053C}" name="Column632"/>
    <tableColumn id="633" xr3:uid="{A50A7F9F-52DC-46A3-AAEA-C6B0981B0BD1}" name="Column633"/>
    <tableColumn id="634" xr3:uid="{252C6CF7-797C-4049-8C32-E6A4AB8C3700}" name="Column634"/>
    <tableColumn id="635" xr3:uid="{EE35A507-8BED-47BB-8736-EEF0E2CE46D9}" name="Column635"/>
    <tableColumn id="636" xr3:uid="{3AD9DE70-5DA0-4A87-B635-A965F2F11ECB}" name="Column636"/>
    <tableColumn id="637" xr3:uid="{D9482223-3470-4C77-9025-86928275033D}" name="Column637"/>
    <tableColumn id="638" xr3:uid="{DFB7E20F-E248-47CE-9205-1B07B48690B3}" name="Column638"/>
    <tableColumn id="639" xr3:uid="{2185531F-5DCC-4075-A492-2F2CC1C43852}" name="Column639"/>
    <tableColumn id="640" xr3:uid="{505461E4-80CA-414B-AC2F-2385A173FA5B}" name="Column640"/>
    <tableColumn id="641" xr3:uid="{861EB694-3F44-4F11-BC72-189D5BE1F881}" name="Column641"/>
    <tableColumn id="642" xr3:uid="{F9F08692-C625-4038-918F-56CC98C34348}" name="Column642"/>
    <tableColumn id="643" xr3:uid="{194B0D3F-8AB0-4219-915E-1B4319C8E339}" name="Column643"/>
    <tableColumn id="644" xr3:uid="{71561B00-1544-4C31-8D2B-CC12208970B2}" name="Column644"/>
    <tableColumn id="645" xr3:uid="{8EEC0317-C892-49E0-9CDE-554D5F46356F}" name="Column645"/>
    <tableColumn id="646" xr3:uid="{EE4CE80D-DB17-4D6D-BA68-D9F02FC5B38D}" name="Column646"/>
    <tableColumn id="647" xr3:uid="{DA36A73B-C79F-4BA1-92E5-6CFE22FAD4DB}" name="Column647"/>
    <tableColumn id="648" xr3:uid="{75B9FBFC-C15F-4216-8289-B1DDFDB52F48}" name="Column648"/>
    <tableColumn id="649" xr3:uid="{7D226648-28C2-441E-930A-51DA5EF4A47D}" name="Column649"/>
    <tableColumn id="650" xr3:uid="{2ACBA76A-2DA2-4A34-A82D-2069E0814600}" name="Column650"/>
    <tableColumn id="651" xr3:uid="{C03B0826-B8BA-41E4-AE79-818B3E921623}" name="Column651"/>
    <tableColumn id="652" xr3:uid="{C5D02E0A-7D32-47F5-A68F-6E961A3EC4BA}" name="Column652"/>
    <tableColumn id="653" xr3:uid="{2F3FB473-11FA-4C3D-9A92-0941B0CB7A22}" name="Column653"/>
    <tableColumn id="654" xr3:uid="{C860AF75-48E6-498A-BF44-4A2C7C006FC1}" name="Column654"/>
    <tableColumn id="655" xr3:uid="{0759362D-11B7-4330-A938-FC7CF38FBFBE}" name="Column655"/>
    <tableColumn id="656" xr3:uid="{3BABDC8F-E75A-4157-BEE5-62856D67F3D3}" name="Column656"/>
    <tableColumn id="657" xr3:uid="{FA473987-E7A3-4205-AE7D-255D22DCD7F7}" name="Column657"/>
    <tableColumn id="658" xr3:uid="{DE543A0C-0A20-469F-B834-51F82029CD74}" name="Column658"/>
    <tableColumn id="659" xr3:uid="{634EB216-9A1E-41A5-911A-E2D7C42E440E}" name="Column659"/>
    <tableColumn id="660" xr3:uid="{12F2334F-752E-465F-B627-7BEDDE3F0B4F}" name="Column660"/>
    <tableColumn id="661" xr3:uid="{44B0C3BF-E28C-4A50-8CD6-518F028E3CAE}" name="Column661"/>
    <tableColumn id="662" xr3:uid="{B18C769D-3AF7-4332-8961-F059A2E4600B}" name="Column662"/>
    <tableColumn id="663" xr3:uid="{8CFD1EE1-5DAF-4118-A32B-481A5C5DBF75}" name="Column663"/>
    <tableColumn id="664" xr3:uid="{B8BA664E-BA42-48DB-8B1B-32045592BFD7}" name="Column664"/>
    <tableColumn id="665" xr3:uid="{CC9399F3-6213-4135-ABB8-112EE49D7582}" name="Column665"/>
    <tableColumn id="666" xr3:uid="{19908D90-66F6-41BD-BC58-C41B7F01943B}" name="Column666"/>
    <tableColumn id="667" xr3:uid="{2D5EDD1E-8E13-465C-875F-ECA930E6AE4B}" name="Column667"/>
    <tableColumn id="668" xr3:uid="{83EA0F1B-FA3D-4B63-AA6E-579E5451EB68}" name="Column668"/>
    <tableColumn id="669" xr3:uid="{55036E20-2BE7-49C9-983B-31C542FA50E7}" name="Column669"/>
    <tableColumn id="670" xr3:uid="{7A19AD34-11AE-4765-B1DC-926B50EB9D7C}" name="Column670"/>
    <tableColumn id="671" xr3:uid="{C35DFEEC-1C80-4EA1-8203-157ADE815F14}" name="Column671"/>
    <tableColumn id="672" xr3:uid="{BF775110-5E95-4FEE-A0EB-FF9B823D942B}" name="Column672"/>
    <tableColumn id="673" xr3:uid="{4BAAE2BF-9235-48E5-9143-3F2F97023052}" name="Column673"/>
    <tableColumn id="674" xr3:uid="{82EBF3D4-FF17-41AA-8C19-E9930CE851EC}" name="Column674"/>
    <tableColumn id="675" xr3:uid="{B5E6296F-E437-4878-AB8C-78093077E954}" name="Column675"/>
    <tableColumn id="676" xr3:uid="{E5598E7C-FFBC-4EA3-8831-0FE4C528D6A6}" name="Column676"/>
    <tableColumn id="677" xr3:uid="{0E8950E9-92F3-4876-9D8B-09512336B1E7}" name="Column677"/>
    <tableColumn id="678" xr3:uid="{983EBDAF-F533-4110-AC5B-5590F72BF7BE}" name="Column678"/>
    <tableColumn id="679" xr3:uid="{ECE2088C-B6BD-4CB7-BA40-713DB947ED48}" name="Column679"/>
    <tableColumn id="680" xr3:uid="{D6C72F30-98C7-4BB1-A10A-7E0514C08F86}" name="Column680"/>
    <tableColumn id="681" xr3:uid="{8A0D6CA2-6108-4786-9D2C-C4A05AEC747A}" name="Column681"/>
    <tableColumn id="682" xr3:uid="{79AA1E94-85A7-4FEB-B326-654BF3A30192}" name="Column682"/>
    <tableColumn id="683" xr3:uid="{3449C9E9-CCDF-4577-AF0F-F93FD03FF67E}" name="Column683"/>
    <tableColumn id="684" xr3:uid="{5D721C6A-0AF9-4B42-B48A-87B0D5A2B5CA}" name="Column684"/>
    <tableColumn id="685" xr3:uid="{504853FB-8D7D-4D0B-937B-EBECB32BE851}" name="Column685"/>
    <tableColumn id="686" xr3:uid="{F2E9A363-E0DB-4A2F-947A-CB1AA7A6298F}" name="Column686"/>
    <tableColumn id="687" xr3:uid="{60B15C11-BDE9-4361-AB71-C3A959896697}" name="Column687"/>
    <tableColumn id="688" xr3:uid="{F34A8F55-F97E-45F0-8CA9-A61650B3A57D}" name="Column688"/>
    <tableColumn id="689" xr3:uid="{C9A3DD16-C647-4666-8D9D-EDE137A02C9D}" name="Column689"/>
    <tableColumn id="690" xr3:uid="{D08FBDFF-3B59-4C5B-A6DC-7172647E7350}" name="Column690"/>
    <tableColumn id="691" xr3:uid="{4252E4DB-9257-4D4B-B2A5-7EEF21088BE1}" name="Column691"/>
    <tableColumn id="692" xr3:uid="{D6111688-D7BC-42C3-89E9-6052EB8014FD}" name="Column692"/>
    <tableColumn id="693" xr3:uid="{0ED6D732-04F7-4CE3-A47B-C627896EA3E0}" name="Column693"/>
    <tableColumn id="694" xr3:uid="{378C7F91-7198-42B5-B98D-B6A0044D2BEC}" name="Column694"/>
    <tableColumn id="695" xr3:uid="{8793CC97-81E5-4348-9FA7-7621E96E432E}" name="Column695"/>
    <tableColumn id="696" xr3:uid="{9EBEEE45-77DA-481A-B084-72876828B421}" name="Column696"/>
    <tableColumn id="697" xr3:uid="{26FFB230-3FDB-4440-9D82-A74E715DBF29}" name="Column697"/>
    <tableColumn id="698" xr3:uid="{D506F522-6A59-4136-9972-138122E8CF56}" name="Column698"/>
    <tableColumn id="699" xr3:uid="{B5DEFA73-C348-411F-A3F0-B0A0AC8996EA}" name="Column699"/>
    <tableColumn id="700" xr3:uid="{6FF77F14-7714-4B12-8AE2-C11149FDA67C}" name="Column700"/>
    <tableColumn id="701" xr3:uid="{C9D10E17-10E1-4FD5-957A-0C3EFC769381}" name="Column701"/>
    <tableColumn id="702" xr3:uid="{F734E3BC-80FF-4BA5-A3E2-8764AE107E0B}" name="Column702"/>
    <tableColumn id="703" xr3:uid="{45561127-E8E6-4682-BF02-3A0FFBDDA043}" name="Column703"/>
    <tableColumn id="704" xr3:uid="{4BBBA5B6-0731-4D15-9AC1-6FE6E2A9FB52}" name="Column704"/>
    <tableColumn id="705" xr3:uid="{4D0F255C-D14A-437C-A5F4-46F3F070BC36}" name="Column705"/>
    <tableColumn id="706" xr3:uid="{27F1DD4C-C167-4193-83BF-DF5E4563BE2A}" name="Column706"/>
    <tableColumn id="707" xr3:uid="{C8943212-5B96-4CA3-B6CE-8A3B23FAEC0A}" name="Column707"/>
    <tableColumn id="708" xr3:uid="{EA7BBD72-5FC8-406B-A74A-A556C3E29CCE}" name="Column708"/>
    <tableColumn id="709" xr3:uid="{5E95FD9C-7C0F-43CD-9313-0998A9966411}" name="Column709"/>
    <tableColumn id="710" xr3:uid="{0895EF8B-F4D7-4FC8-8CC5-8E3835943D4C}" name="Column710"/>
    <tableColumn id="711" xr3:uid="{88DA8282-FC9B-4CDE-944A-677F712A8DDF}" name="Column711"/>
    <tableColumn id="712" xr3:uid="{FDAF6002-CF1F-41B1-8F71-187BB68C8A37}" name="Column712"/>
    <tableColumn id="713" xr3:uid="{BBA6832C-450A-4DAE-B93F-7BA7271225E9}" name="Column713"/>
    <tableColumn id="714" xr3:uid="{9B3B5CBA-9EAF-4972-B4E6-F2F2EBC439D2}" name="Column714"/>
    <tableColumn id="715" xr3:uid="{8243D8F2-A953-4A0F-815A-C5DEF38383BF}" name="Column715"/>
    <tableColumn id="716" xr3:uid="{8E3301B9-F52E-4B69-83AF-537449E257DA}" name="Column716"/>
    <tableColumn id="717" xr3:uid="{A09A92BF-B05D-4B63-8C1A-4B636076B4D5}" name="Column717"/>
    <tableColumn id="718" xr3:uid="{6EF71EB8-8D52-43F8-A196-228CD937B63C}" name="Column718"/>
    <tableColumn id="719" xr3:uid="{4B767488-5386-412D-881C-6728295D969B}" name="Column719"/>
    <tableColumn id="720" xr3:uid="{C901BB71-483F-42F5-B599-23286D7450DD}" name="Column720"/>
    <tableColumn id="721" xr3:uid="{53E4D0AD-E095-46C6-8B3D-83E276C829BA}" name="Column721"/>
    <tableColumn id="722" xr3:uid="{7957650D-8968-475C-A29D-BCF8F21D2843}" name="Column722"/>
    <tableColumn id="723" xr3:uid="{A27E0A84-D734-4ECF-9E8D-81050803D71A}" name="Column723"/>
    <tableColumn id="724" xr3:uid="{3B990AEA-4243-4703-9692-6CC1F49D7964}" name="Column724"/>
    <tableColumn id="725" xr3:uid="{388F8A51-265D-4735-AC7B-E4F1AB6B4B39}" name="Column725"/>
    <tableColumn id="726" xr3:uid="{820114FE-C2FB-4873-97B4-C0DE83AFB079}" name="Column726"/>
    <tableColumn id="727" xr3:uid="{50056D6F-E9EC-43C4-994C-D6A49653FFFF}" name="Column727"/>
    <tableColumn id="728" xr3:uid="{B1A0FB4E-2616-4980-985D-D6CFBCAA3FEA}" name="Column728"/>
    <tableColumn id="729" xr3:uid="{90F46366-ADC0-488A-80D7-67E08288F33D}" name="Column729"/>
    <tableColumn id="730" xr3:uid="{738F5093-D5F6-468E-BEF7-9010B26FAB3E}" name="Column730"/>
    <tableColumn id="731" xr3:uid="{3E6C6006-D774-4119-95A2-60B2A87C45AE}" name="Column731"/>
    <tableColumn id="732" xr3:uid="{943F1FB3-0DB2-4238-9ACD-7F5A66894DCE}" name="Column732"/>
    <tableColumn id="733" xr3:uid="{F0D7244A-7E6D-4660-95E6-3EE4373B50EE}" name="Column733"/>
    <tableColumn id="734" xr3:uid="{254996AA-23DE-4D46-B824-723F06DE4D44}" name="Column734"/>
    <tableColumn id="735" xr3:uid="{CB42B78A-D9CF-46DB-85D9-38FA59395852}" name="Column735"/>
    <tableColumn id="736" xr3:uid="{BCBCFB0D-D76C-4C87-8A99-B9934AE33DF6}" name="Column736"/>
    <tableColumn id="737" xr3:uid="{5FBE6022-66F0-4CAD-A60B-10A06BB4832D}" name="Column737"/>
    <tableColumn id="738" xr3:uid="{6D914557-6083-48E1-83E3-28F55329CB72}" name="Column738"/>
    <tableColumn id="739" xr3:uid="{DE220B66-C800-434E-9851-026A6BC56EE4}" name="Column739"/>
    <tableColumn id="740" xr3:uid="{D82F41BE-3FBD-4342-BC48-B1B9063947D7}" name="Column740"/>
    <tableColumn id="741" xr3:uid="{EA767EB2-6670-4B33-AB62-89894609552F}" name="Column741"/>
    <tableColumn id="742" xr3:uid="{199779CC-A3F2-4970-9825-EBABEF765F1D}" name="Column742"/>
    <tableColumn id="743" xr3:uid="{C6D1CF24-A3AA-40BD-90B9-692010B3CE3C}" name="Column743"/>
    <tableColumn id="744" xr3:uid="{759870CB-06CF-4981-9359-B1FF20A9C77F}" name="Column744"/>
    <tableColumn id="745" xr3:uid="{F9F551FB-F0DC-4C0C-8897-AAF6A1307D45}" name="Column745"/>
    <tableColumn id="746" xr3:uid="{A3BE76E8-68AB-46CC-8905-5AAD621E8BA7}" name="Column746"/>
    <tableColumn id="747" xr3:uid="{D06BD295-A313-4593-8A12-2F089402B8A9}" name="Column747"/>
    <tableColumn id="748" xr3:uid="{43975B8D-B3EC-43A0-83C6-70B53A748351}" name="Column748"/>
    <tableColumn id="749" xr3:uid="{9A62D1FA-1F3F-4DD5-9FE0-8DCA8975E4B9}" name="Column749"/>
    <tableColumn id="750" xr3:uid="{F3DE3606-D162-4B2A-912B-0F936A23C083}" name="Column750"/>
    <tableColumn id="751" xr3:uid="{2A82E09B-8B5E-4189-85D9-F4EAB40EC77E}" name="Column751"/>
    <tableColumn id="752" xr3:uid="{99AEA067-CDEA-45EF-B547-B1779E0B847D}" name="Column752"/>
    <tableColumn id="753" xr3:uid="{7B1A4339-F25D-4466-BC90-564FABD0088F}" name="Column753"/>
    <tableColumn id="754" xr3:uid="{BFE4ED25-634B-412B-A138-4DFA37800E07}" name="Column754"/>
    <tableColumn id="755" xr3:uid="{A0867907-C5AB-466A-A1D0-96E2A67FD5F8}" name="Column755"/>
    <tableColumn id="756" xr3:uid="{CC658BC3-F11D-4E91-96D6-45E1F8CC7123}" name="Column756"/>
    <tableColumn id="757" xr3:uid="{F23140E6-213A-4A87-B607-244E617DA4E9}" name="Column757"/>
    <tableColumn id="758" xr3:uid="{16B321D9-8530-437B-B589-F2A51B05F37A}" name="Column758"/>
    <tableColumn id="759" xr3:uid="{BC72E2DA-0A98-4B74-B4C0-F0A3BE6F54D9}" name="Column759"/>
    <tableColumn id="760" xr3:uid="{7080CFC7-E403-4E96-972D-019BF55264D1}" name="Column760"/>
    <tableColumn id="761" xr3:uid="{730ECEE6-44F6-4FB7-A36C-D79531AF3D98}" name="Column761"/>
    <tableColumn id="762" xr3:uid="{90BB5637-122C-4CDF-9E69-E78F34EBE58A}" name="Column762"/>
    <tableColumn id="763" xr3:uid="{A7965F40-9BCD-4953-92AB-10FFE4E2AF78}" name="Column763"/>
    <tableColumn id="764" xr3:uid="{4AB6C426-45F5-4187-B9C2-D58BF06C1EDF}" name="Column764"/>
    <tableColumn id="765" xr3:uid="{0D7A84B8-A120-4453-9007-8BDD5EF5E47C}" name="Column765"/>
    <tableColumn id="766" xr3:uid="{8D84278F-933B-4143-B155-3DC04527FA3E}" name="Column766"/>
    <tableColumn id="767" xr3:uid="{CC682BE4-8EC8-4117-ACA6-7AC208259E9A}" name="Column767"/>
    <tableColumn id="768" xr3:uid="{03CA1970-9A68-4013-90BD-BEF3C958A146}" name="Column768"/>
    <tableColumn id="769" xr3:uid="{8281C63B-E234-4BEF-BF82-151ECE5D4B98}" name="Column769"/>
    <tableColumn id="770" xr3:uid="{2277C569-7725-4B96-96EA-B9BC840DDB2F}" name="Column770"/>
    <tableColumn id="771" xr3:uid="{7C45C024-EC38-4A03-B586-81B5B417A161}" name="Column771"/>
    <tableColumn id="772" xr3:uid="{ED285A04-BAB5-40E3-BC75-179DC7F4E901}" name="Column772"/>
    <tableColumn id="773" xr3:uid="{FDEEAD46-CBF0-4648-8CE8-FDB1EB1D114C}" name="Column773"/>
    <tableColumn id="774" xr3:uid="{4C2E370D-F80E-49AA-915A-A939FA1BA17C}" name="Column774"/>
    <tableColumn id="775" xr3:uid="{EE6C31F4-0307-42E3-8EE8-CFD13EEF96BE}" name="Column775"/>
    <tableColumn id="776" xr3:uid="{075FC4B7-0473-482A-953C-282655E11C5A}" name="Column776"/>
    <tableColumn id="777" xr3:uid="{376ADE2A-A6F5-4B29-BD5E-97815787F9A5}" name="Column777"/>
    <tableColumn id="778" xr3:uid="{30386938-BE07-4D15-A3B6-110A1F327FB4}" name="Column778"/>
    <tableColumn id="779" xr3:uid="{26BDAB71-A771-40E9-8224-C43CEB1CB2EA}" name="Column779"/>
    <tableColumn id="780" xr3:uid="{774EBBD7-9AE9-4759-882D-24CF807B794D}" name="Column780"/>
    <tableColumn id="781" xr3:uid="{E1E1830F-A368-4241-AE76-CD10E8CDB146}" name="Column781"/>
    <tableColumn id="782" xr3:uid="{8131B12A-0992-4945-A3C9-E3004DC0CA20}" name="Column782"/>
    <tableColumn id="783" xr3:uid="{2CD65660-E80B-4DFE-BD34-4462B3D399ED}" name="Column783"/>
    <tableColumn id="784" xr3:uid="{7F2CFD15-7269-469A-A992-984941DA9137}" name="Column784"/>
    <tableColumn id="785" xr3:uid="{1B2CB4B0-582E-4E05-8337-0A6C09531ECF}" name="Column785"/>
    <tableColumn id="786" xr3:uid="{C306F8AE-828F-43FF-8DCC-EED2AA6787EF}" name="Column786"/>
    <tableColumn id="787" xr3:uid="{07265341-A35C-4A24-919C-E6C275FAF41B}" name="Column787"/>
    <tableColumn id="788" xr3:uid="{8B987719-7632-4237-BD96-E13E74F3C0F9}" name="Column788"/>
    <tableColumn id="789" xr3:uid="{77C55557-B58E-4E68-BD86-7E508709F3DD}" name="Column789"/>
    <tableColumn id="790" xr3:uid="{EBD4BED1-0AE0-49F8-BD13-AA3729E7E248}" name="Column790"/>
    <tableColumn id="791" xr3:uid="{6F11C60A-083C-44B5-BA2C-A0E352639450}" name="Column791"/>
    <tableColumn id="792" xr3:uid="{E75B12D2-06B0-4FC1-9A62-FFCA4EFABD0F}" name="Column792"/>
    <tableColumn id="793" xr3:uid="{723081FD-00C0-4CAF-BC08-6A02EDCD52F6}" name="Column793"/>
    <tableColumn id="794" xr3:uid="{2A272CA9-3288-49DC-AC2C-5073CBB5226B}" name="Column794"/>
    <tableColumn id="795" xr3:uid="{E0AE67E1-F739-4BC6-B06F-C9B46F5814DB}" name="Column795"/>
    <tableColumn id="796" xr3:uid="{E6FBAE56-8E79-4C80-927E-F6F9664D2F28}" name="Column796"/>
    <tableColumn id="797" xr3:uid="{7131C805-C32E-4825-8C00-E87A93579292}" name="Column797"/>
    <tableColumn id="798" xr3:uid="{4F7D43E5-FAEE-4E42-9196-BEAE58AF9181}" name="Column798"/>
    <tableColumn id="799" xr3:uid="{631C4102-1A08-4D2D-BA52-9B8E05C538B3}" name="Column799"/>
    <tableColumn id="800" xr3:uid="{C0F45AEB-F3E6-41CB-A8C2-9973F1D52D6D}" name="Column800"/>
    <tableColumn id="801" xr3:uid="{28D2B1F0-59A2-445F-A288-5CD8460B3D56}" name="Column801"/>
    <tableColumn id="802" xr3:uid="{21115C73-B2A7-483A-B8E7-71DEF90BE134}" name="Column802"/>
    <tableColumn id="803" xr3:uid="{39BDAF06-8DA2-43E2-8876-A097B939EFF8}" name="Column803"/>
    <tableColumn id="804" xr3:uid="{D02B8675-A7CC-4299-943F-E88A9B9C8CD5}" name="Column804"/>
    <tableColumn id="805" xr3:uid="{B287BF0C-14DE-4093-A2A1-E4EA344EA7EC}" name="Column805"/>
    <tableColumn id="806" xr3:uid="{AA1DC317-C11B-4341-9107-9627A9FFC050}" name="Column806"/>
    <tableColumn id="807" xr3:uid="{3763F60A-1DB5-44E3-AC86-FFEF6BD4C0D1}" name="Column807"/>
    <tableColumn id="808" xr3:uid="{27490060-76CF-4180-8472-7D646D43EC3D}" name="Column808"/>
    <tableColumn id="809" xr3:uid="{A6CABB8D-0303-476B-AF17-D21351D9E050}" name="Column809"/>
    <tableColumn id="810" xr3:uid="{9479E1EE-43CF-4E7B-ABFF-FBD1A41ACEFC}" name="Column810"/>
    <tableColumn id="811" xr3:uid="{0EBE1DBC-0EF7-4A9F-BD0B-203BDC37BD96}" name="Column811"/>
    <tableColumn id="812" xr3:uid="{569BB86B-8BB7-4CB7-9E9C-EAFA753E5C6C}" name="Column812"/>
    <tableColumn id="813" xr3:uid="{4F26AC62-8B7D-4199-A53F-988E7B642D1E}" name="Column813"/>
    <tableColumn id="814" xr3:uid="{6A111777-7676-419A-A5DD-6E77954DB583}" name="Column814"/>
    <tableColumn id="815" xr3:uid="{69D7715C-0160-4740-9DA2-57C1AF2A938C}" name="Column815"/>
    <tableColumn id="816" xr3:uid="{B243361D-5505-4830-A09E-FA9313B58BC9}" name="Column816"/>
    <tableColumn id="817" xr3:uid="{350711DF-40C5-4F4D-9300-7CFC474D22D6}" name="Column817"/>
    <tableColumn id="818" xr3:uid="{9281A4D6-FEE3-4F2F-A665-CA9B7D76B5B6}" name="Column818"/>
    <tableColumn id="819" xr3:uid="{75293C00-D3CA-4585-909A-A3B025EB5F93}" name="Column819"/>
    <tableColumn id="820" xr3:uid="{2C7F97B0-F9F5-4174-BEF3-7C354394E993}" name="Column820"/>
    <tableColumn id="821" xr3:uid="{5BE269EC-1D7A-4E96-9083-116C463BADE7}" name="Column821"/>
    <tableColumn id="822" xr3:uid="{15170A78-090E-49A3-BD18-A64F2048FCC3}" name="Column822"/>
    <tableColumn id="823" xr3:uid="{4C1CC945-D32D-4FAC-87F1-36980A43B68D}" name="Column823"/>
    <tableColumn id="824" xr3:uid="{234469BC-7015-4B99-A58E-3E0CA85BBD77}" name="Column824"/>
    <tableColumn id="825" xr3:uid="{921F1961-4011-43FB-9D48-B3EB9591018B}" name="Column825"/>
    <tableColumn id="826" xr3:uid="{DF3CECD0-37F6-48FA-99F8-8D358A1B18D9}" name="Column826"/>
    <tableColumn id="827" xr3:uid="{B03E191E-361E-481F-8535-2254AACF4213}" name="Column827"/>
    <tableColumn id="828" xr3:uid="{E133FD5E-3857-417B-90CF-D9FFA63991FE}" name="Column828"/>
    <tableColumn id="829" xr3:uid="{C6864C38-DE04-41E5-A09C-F7F99E8935C6}" name="Column829"/>
    <tableColumn id="830" xr3:uid="{C9237EEE-297E-42A1-A428-3B1FE48975E0}" name="Column830"/>
    <tableColumn id="831" xr3:uid="{324166B4-3589-4601-AB0B-E4DD73EB5927}" name="Column831"/>
    <tableColumn id="832" xr3:uid="{25742CA0-9FB3-4D1E-969B-BFBCA7618E40}" name="Column832"/>
    <tableColumn id="833" xr3:uid="{57F86110-7BDC-4E27-9167-18433BEB8F9A}" name="Column833"/>
    <tableColumn id="834" xr3:uid="{DAF2F9B4-0098-4B38-A729-C9151320515A}" name="Column834"/>
    <tableColumn id="835" xr3:uid="{EFCC9254-91E5-461C-A240-3739FCEF7092}" name="Column835"/>
    <tableColumn id="836" xr3:uid="{9890AE73-B4F9-43C0-AFC9-1356685EABD5}" name="Column836"/>
    <tableColumn id="837" xr3:uid="{10F1A819-0E32-46B6-BD7E-3AC726140A27}" name="Column837"/>
    <tableColumn id="838" xr3:uid="{FDC1AE7A-9798-4FDB-930F-508560CD7B2E}" name="Column838"/>
    <tableColumn id="839" xr3:uid="{9F556E14-57DE-4FF2-95F1-6A3A6783B146}" name="Column839"/>
    <tableColumn id="840" xr3:uid="{5622C497-E0BC-4AE9-86AA-3786504018F4}" name="Column840"/>
    <tableColumn id="841" xr3:uid="{0FCBF05F-2DFA-4157-BF69-9FC17E85321F}" name="Column841"/>
    <tableColumn id="842" xr3:uid="{6718027B-2CE5-4567-BE1D-D1ADACCA6B74}" name="Column842"/>
    <tableColumn id="843" xr3:uid="{0C16C58B-5E4F-4C5F-9C2A-0F9DB90BC39F}" name="Column843"/>
    <tableColumn id="844" xr3:uid="{5EFF124F-99A3-46EC-9503-97EC1E178FD0}" name="Column844"/>
    <tableColumn id="845" xr3:uid="{FF848ADE-5965-4C74-9745-25B2AF74000C}" name="Column845"/>
    <tableColumn id="846" xr3:uid="{628C9299-F2CF-4615-8C44-FBDEFB320979}" name="Column846"/>
    <tableColumn id="847" xr3:uid="{5488A767-B20B-4CF6-8A18-9FB701C46375}" name="Column847"/>
    <tableColumn id="848" xr3:uid="{F39368C2-9871-4F7C-8189-9B7ECE2E6C8C}" name="Column848"/>
    <tableColumn id="849" xr3:uid="{33EF591B-395E-41D4-B33D-BEE6A1AAA878}" name="Column849"/>
    <tableColumn id="850" xr3:uid="{D3D7E5BA-D542-4352-ACB3-1F3F2D914F25}" name="Column850"/>
    <tableColumn id="851" xr3:uid="{7A77F7EE-BCBF-4CFB-894F-396795AF064A}" name="Column851"/>
    <tableColumn id="852" xr3:uid="{B0DC40D6-5833-4707-90A6-4F44FE5E6DD8}" name="Column852"/>
    <tableColumn id="853" xr3:uid="{E7C54E8F-F0D7-422F-BC70-3130E695B5A3}" name="Column853"/>
    <tableColumn id="854" xr3:uid="{E151E872-1560-4480-84E3-625689F785D9}" name="Column854"/>
    <tableColumn id="855" xr3:uid="{89DABBA6-24D7-483F-BA7D-D36F3BC9E652}" name="Column855"/>
    <tableColumn id="856" xr3:uid="{076A7BB0-9F0E-47EF-905F-0F4CFE98A39D}" name="Column856"/>
    <tableColumn id="857" xr3:uid="{77E729F1-4959-4729-BCE4-657A5FDBBABE}" name="Column857"/>
    <tableColumn id="858" xr3:uid="{EFB52424-6024-4A27-8138-3F88BD2EDCF1}" name="Column858"/>
    <tableColumn id="859" xr3:uid="{6BEC1AA6-8DFD-448D-A606-95892993F46D}" name="Column859"/>
    <tableColumn id="860" xr3:uid="{CD047EF1-70A4-42F0-BBDF-40C5152C3576}" name="Column860"/>
    <tableColumn id="861" xr3:uid="{FA0D14CA-70E0-4E20-8F3A-CA516A42C79E}" name="Column861"/>
    <tableColumn id="862" xr3:uid="{DB5F5462-8427-42A3-ACCD-A65123B87A45}" name="Column862"/>
    <tableColumn id="863" xr3:uid="{38BB446D-0271-4DFA-8EE8-21EA606B0D26}" name="Column863"/>
    <tableColumn id="864" xr3:uid="{5B82084A-B868-4FC6-ABF2-18862B756BA3}" name="Column864"/>
    <tableColumn id="865" xr3:uid="{18D3ADA5-D85E-4A88-A6FE-DC990684DB8D}" name="Column865"/>
    <tableColumn id="866" xr3:uid="{D47A5DD1-19C3-4677-9CEE-6742A5EC236C}" name="Column866"/>
    <tableColumn id="867" xr3:uid="{D9B603F8-E090-4CA3-9A6E-F50003DABE9D}" name="Column867"/>
    <tableColumn id="868" xr3:uid="{1EB41C39-B73B-4C02-AC04-DAED6CC7A507}" name="Column868"/>
    <tableColumn id="869" xr3:uid="{9CCDAD90-6636-4314-B048-6BF9EA384CE8}" name="Column869"/>
    <tableColumn id="870" xr3:uid="{94BBFC83-B35A-4F87-9C48-98987AC12856}" name="Column870"/>
    <tableColumn id="871" xr3:uid="{AB0DE786-E7D8-4EB2-9308-08CEE8B5E803}" name="Column871"/>
    <tableColumn id="872" xr3:uid="{21B91395-516D-42F5-9ACB-DBE79BD98021}" name="Column872"/>
    <tableColumn id="873" xr3:uid="{595F0593-DBF5-4948-9C9C-C5F5C3AA5278}" name="Column873"/>
    <tableColumn id="874" xr3:uid="{19DDC325-7F09-4C8E-9962-00556FF4DF04}" name="Column874"/>
    <tableColumn id="875" xr3:uid="{8D7A2783-F572-4E02-AD5D-BA03EDD78561}" name="Column875"/>
    <tableColumn id="876" xr3:uid="{437523EF-A047-4ADB-A4F5-C964F348E130}" name="Column876"/>
    <tableColumn id="877" xr3:uid="{F7B5CFDC-914A-4637-8B34-9EB603ED5775}" name="Column877"/>
    <tableColumn id="878" xr3:uid="{BA273611-CD67-4584-9A20-E833B256E9A7}" name="Column878"/>
    <tableColumn id="879" xr3:uid="{130697C9-BFF9-4BE9-9068-ABAE1BB770F6}" name="Column879"/>
    <tableColumn id="880" xr3:uid="{990E3E42-7784-482F-A0E1-522B6F49EF84}" name="Column880"/>
    <tableColumn id="881" xr3:uid="{3AA05370-682E-48C5-B171-C601DF6FFC1F}" name="Column881"/>
    <tableColumn id="882" xr3:uid="{A67C5987-F7F3-41D4-9921-C504ACFD3DD0}" name="Column882"/>
    <tableColumn id="883" xr3:uid="{BCCE2AE1-E7FF-44EA-89B9-D781B2E2513A}" name="Column883"/>
    <tableColumn id="884" xr3:uid="{DD010FC8-1BC6-4038-91F3-2E070815F97F}" name="Column884"/>
    <tableColumn id="885" xr3:uid="{AC8CD611-4414-4CAC-B3D7-E94E73BDCE57}" name="Column885"/>
    <tableColumn id="886" xr3:uid="{81E48564-6787-4636-8350-54A0404D164B}" name="Column886"/>
    <tableColumn id="887" xr3:uid="{534904D9-53B3-4D4E-8EDD-731FD9C5142F}" name="Column887"/>
    <tableColumn id="888" xr3:uid="{C3749CE2-47EC-4DDD-BBDA-70F5CCD27C0C}" name="Column888"/>
    <tableColumn id="889" xr3:uid="{BE5E048C-14F7-441C-ABC7-46407A14ED25}" name="Column889"/>
    <tableColumn id="890" xr3:uid="{6A2D7D75-E912-4F79-945A-71B576C74AFA}" name="Column890"/>
    <tableColumn id="891" xr3:uid="{7B9A4D5E-BA9E-4830-B826-A492C227B2AF}" name="Column891"/>
    <tableColumn id="892" xr3:uid="{19EC8ABF-846C-42D8-B19D-FCB7804A9A0C}" name="Column892"/>
    <tableColumn id="893" xr3:uid="{BFC1A66A-051E-4193-962A-C04C2314C1AA}" name="Column893"/>
    <tableColumn id="894" xr3:uid="{2ADE27D9-FE7C-4D0D-9432-CCFC1367EEFA}" name="Column894"/>
    <tableColumn id="895" xr3:uid="{7A14DC0D-878B-44C2-86D5-74C2AF4D6E70}" name="Column895"/>
    <tableColumn id="896" xr3:uid="{BF9537CC-5F19-4C66-9F8A-B108A5020577}" name="Column896"/>
    <tableColumn id="897" xr3:uid="{B5DDA8AC-1CF3-4B42-A2FB-9E4FE6B685C1}" name="Column897"/>
    <tableColumn id="898" xr3:uid="{76593962-D3E9-49CE-8121-554C8972A196}" name="Column898"/>
    <tableColumn id="899" xr3:uid="{8A1C5789-DF1D-433E-AE5D-B4CD0B4B244F}" name="Column899"/>
    <tableColumn id="900" xr3:uid="{73B9C719-FF9C-4DD4-B0C6-0113E0DF3C67}" name="Column900"/>
    <tableColumn id="901" xr3:uid="{09881C72-131C-4615-BAE3-BB88E140C5E6}" name="Column901"/>
    <tableColumn id="902" xr3:uid="{44D27CBA-0797-4024-882B-FDA01F972965}" name="Column902"/>
    <tableColumn id="903" xr3:uid="{32895EC7-F6FD-42D7-AE0A-3CB3EAF5E2FA}" name="Column903"/>
    <tableColumn id="904" xr3:uid="{8D64A089-421A-44EC-970E-46354EF1C2FD}" name="Column904"/>
    <tableColumn id="905" xr3:uid="{5ADD6F40-D47B-4718-A479-B2E92C16C7D9}" name="Column905"/>
    <tableColumn id="906" xr3:uid="{985DD4B8-32F6-4AA6-873B-6DA9B8A86919}" name="Column906"/>
    <tableColumn id="907" xr3:uid="{F593CD6F-9564-4C9E-9C27-070AF75B5EAF}" name="Column907"/>
    <tableColumn id="908" xr3:uid="{968A8289-6556-4657-BB92-A8611161EF19}" name="Column908"/>
    <tableColumn id="909" xr3:uid="{4B6016C9-B3DE-43DB-B101-A566132C5549}" name="Column909"/>
    <tableColumn id="910" xr3:uid="{3983C4D4-5F65-468A-AECB-64BA8D0D1A08}" name="Column910"/>
    <tableColumn id="911" xr3:uid="{1FB2DD58-0500-4DD2-BC01-5FF2CAA0B0DE}" name="Column911"/>
    <tableColumn id="912" xr3:uid="{DABFD4A4-B060-4DA6-96AA-800A566D7C44}" name="Column912"/>
    <tableColumn id="913" xr3:uid="{B5FFCC62-9131-445B-9B1A-77BE4BBC76F3}" name="Column913"/>
    <tableColumn id="914" xr3:uid="{BF65641C-98E5-4D1D-B11B-9381AF2AC25B}" name="Column914"/>
    <tableColumn id="915" xr3:uid="{9619ADE5-1898-4400-9BB2-7B7A168F9A5C}" name="Column915"/>
    <tableColumn id="916" xr3:uid="{3D08C4DA-75B2-4C2D-88F5-90C02DF912E5}" name="Column916"/>
    <tableColumn id="917" xr3:uid="{6C748940-CDB8-4AA1-A55F-37F52A05ABE2}" name="Column917"/>
    <tableColumn id="918" xr3:uid="{230775D7-1B1F-4884-AF4F-4053D1AD5565}" name="Column918"/>
    <tableColumn id="919" xr3:uid="{5B62A1AE-7CC8-4935-BE52-A0A65FB1C59C}" name="Column919"/>
    <tableColumn id="920" xr3:uid="{2AE03951-4854-44B8-9A6B-47C8630DDE61}" name="Column920"/>
    <tableColumn id="921" xr3:uid="{B96358E9-5A8A-4388-A3F4-734EFB5C8041}" name="Column921"/>
    <tableColumn id="922" xr3:uid="{5A6448EE-9237-4DF6-A071-7A81D52949B3}" name="Column922"/>
    <tableColumn id="923" xr3:uid="{F83A1AF1-A2D7-4AE6-9AAB-E2248C94FC9E}" name="Column923"/>
    <tableColumn id="924" xr3:uid="{07CCB572-A825-46B5-B5C8-B3997EB74B86}" name="Column924"/>
    <tableColumn id="925" xr3:uid="{6718CB61-2FA1-44FA-8EFC-4995DEA08697}" name="Column925"/>
    <tableColumn id="926" xr3:uid="{ECA4AF7B-B37C-4A46-9659-6C9D8EA8E9B3}" name="Column926"/>
    <tableColumn id="927" xr3:uid="{2A25EB97-93CA-45DE-8382-F9668235ACF0}" name="Column927"/>
    <tableColumn id="928" xr3:uid="{C76C4D73-AFA9-4DDA-B998-8CDB7A8E8A67}" name="Column928"/>
    <tableColumn id="929" xr3:uid="{03D3CF39-15FB-444E-AFA8-DDF78FFDDEB8}" name="Column929"/>
    <tableColumn id="930" xr3:uid="{236058CB-100E-4966-B330-C42E513BAC2C}" name="Column930"/>
    <tableColumn id="931" xr3:uid="{F3BBB516-39D5-4A30-9E1D-1D8AD46C5FC8}" name="Column931"/>
    <tableColumn id="932" xr3:uid="{0310D503-FD4E-4BE4-97D0-DA823573890F}" name="Column932"/>
    <tableColumn id="933" xr3:uid="{5ECC3B1D-230F-4942-9AEF-3444FC2C74DF}" name="Column933"/>
    <tableColumn id="934" xr3:uid="{A0D4F3D5-CEB1-4A5B-80AD-305E37EDEE13}" name="Column934"/>
    <tableColumn id="935" xr3:uid="{AF70649B-021C-4AB6-9964-DDB549FF11AE}" name="Column935"/>
    <tableColumn id="936" xr3:uid="{F446D742-8BEB-4626-A4C4-C30FECB13F12}" name="Column936"/>
    <tableColumn id="937" xr3:uid="{25C643CB-34D5-402B-BFC8-DA10FA0BDDD2}" name="Column937"/>
    <tableColumn id="938" xr3:uid="{E4C7A3AA-02BA-434A-861C-374086EFAC30}" name="Column938"/>
    <tableColumn id="939" xr3:uid="{9CFDDA7D-D171-4F50-BB47-1CAD01E54BA4}" name="Column939"/>
    <tableColumn id="940" xr3:uid="{F2E6B7C1-7806-430C-BFDF-1F65AD72B91F}" name="Column940"/>
    <tableColumn id="941" xr3:uid="{984E7AAA-B35D-45C6-AD78-578B44F60431}" name="Column941"/>
    <tableColumn id="942" xr3:uid="{462F77C4-84F9-4033-807B-20C2F9FDD43C}" name="Column942"/>
    <tableColumn id="943" xr3:uid="{C1935833-F212-4236-8420-EDDA988D6A81}" name="Column943"/>
    <tableColumn id="944" xr3:uid="{20A93810-1D39-439B-8063-8189612A84BF}" name="Column944"/>
    <tableColumn id="945" xr3:uid="{C4F01644-DE27-48C2-ABBC-C7241CDD650F}" name="Column945"/>
    <tableColumn id="946" xr3:uid="{20705DF1-99E4-4FE1-BAE8-279BE8877ED4}" name="Column946"/>
    <tableColumn id="947" xr3:uid="{624C740D-3FE0-421B-9CE8-8A3111DC3EB3}" name="Column947"/>
    <tableColumn id="948" xr3:uid="{9DF86BDE-486E-475B-B285-961B3E7F85A9}" name="Column948"/>
    <tableColumn id="949" xr3:uid="{98D2BF7E-92A5-4DBC-A291-29608CDAEE8C}" name="Column949"/>
    <tableColumn id="950" xr3:uid="{987A7AEE-5F37-4ED6-918B-01059E0A350D}" name="Column950"/>
    <tableColumn id="951" xr3:uid="{56EC8128-2023-4DF1-B5AF-E67B522DE0D1}" name="Column951"/>
    <tableColumn id="952" xr3:uid="{A06371AE-770F-4BE9-A4F1-BD8375CD6E16}" name="Column952"/>
    <tableColumn id="953" xr3:uid="{EB7CAF7C-2AC3-4334-BF02-DD3A18C14D01}" name="Column953"/>
    <tableColumn id="954" xr3:uid="{FA461B5A-CE13-45C3-8A32-9C20548B0D18}" name="Column954"/>
    <tableColumn id="955" xr3:uid="{16817847-087F-4ACC-A7E4-EBAAE1C96AC1}" name="Column955"/>
    <tableColumn id="956" xr3:uid="{89ECD6D9-AFF3-4341-930F-EC06F3CB2579}" name="Column956"/>
    <tableColumn id="957" xr3:uid="{12AA1411-2A37-4CC1-8E8B-EEB026FFA842}" name="Column957"/>
    <tableColumn id="958" xr3:uid="{E07DC87D-787E-4BA9-A4FC-FE31A0603A37}" name="Column958"/>
    <tableColumn id="959" xr3:uid="{CF6500B4-9AB4-45C7-A695-7CDFFBA4B18F}" name="Column959"/>
    <tableColumn id="960" xr3:uid="{A479BBFC-261B-4833-9BBD-A3F431C449ED}" name="Column960"/>
    <tableColumn id="961" xr3:uid="{F509740A-88ED-4E0A-B515-7D04D0BC921E}" name="Column961"/>
    <tableColumn id="962" xr3:uid="{85FB5E6D-7B66-40DE-8343-2E11260B7EAD}" name="Column962"/>
    <tableColumn id="963" xr3:uid="{0E4FEEDC-1D34-4F10-9AC5-EAA1E53957AB}" name="Column963"/>
    <tableColumn id="964" xr3:uid="{C220E1F6-0757-4C6E-97DF-9C345E65DF92}" name="Column964"/>
    <tableColumn id="965" xr3:uid="{19748AF7-2576-44DD-AFFF-99408B669987}" name="Column965"/>
    <tableColumn id="966" xr3:uid="{C03B3408-EE67-4D7D-8380-760EE9FF3785}" name="Column966"/>
    <tableColumn id="967" xr3:uid="{3382533F-664A-4632-9EDB-2A8920B61E60}" name="Column967"/>
    <tableColumn id="968" xr3:uid="{F5EAFD92-86B1-4F3F-BFED-F7B5B792C3FA}" name="Column968"/>
    <tableColumn id="969" xr3:uid="{25066390-A8B2-443E-9F8B-680ABD0B35D5}" name="Column969"/>
    <tableColumn id="970" xr3:uid="{F046F053-9EEB-4110-B01A-DFF8C438312E}" name="Column970"/>
    <tableColumn id="971" xr3:uid="{15143046-6392-4990-865F-485C16EEE4B2}" name="Column971"/>
    <tableColumn id="972" xr3:uid="{01AAA4D2-76A5-4CFF-A5F1-C97293F9D95D}" name="Column972"/>
    <tableColumn id="973" xr3:uid="{59547813-36A3-4107-9E25-F3727CA7B7E0}" name="Column973"/>
    <tableColumn id="974" xr3:uid="{0726303E-848C-473B-9921-9C9E551AC8D1}" name="Column974"/>
    <tableColumn id="975" xr3:uid="{99A5708F-46F4-4E0C-A466-9F7019CA57F6}" name="Column975"/>
    <tableColumn id="976" xr3:uid="{4F6D1188-D1B4-4AB7-AA88-260B74161B33}" name="Column976"/>
    <tableColumn id="977" xr3:uid="{FA9A5FA7-D684-4F41-A36F-719AA23BEADD}" name="Column977"/>
    <tableColumn id="978" xr3:uid="{F808AA0A-2DF7-4A2E-8390-4456C72A6A69}" name="Column978"/>
    <tableColumn id="979" xr3:uid="{DCFD02BF-0105-4C9E-B05A-45A3FF96D93A}" name="Column979"/>
    <tableColumn id="980" xr3:uid="{85784228-350B-4673-B41F-F83D04B8C689}" name="Column980"/>
    <tableColumn id="981" xr3:uid="{B1F4E48F-0C1B-4A1C-9AEC-344C1498CC5F}" name="Column981"/>
    <tableColumn id="982" xr3:uid="{CBCA4925-9C84-458B-8702-43AAFEB0A074}" name="Column982"/>
    <tableColumn id="983" xr3:uid="{8F38A939-929D-4A75-8414-B38127CFAAC9}" name="Column983"/>
    <tableColumn id="984" xr3:uid="{2ED19CEC-9647-4827-AE69-CCAF5BCE4603}" name="Column984"/>
    <tableColumn id="985" xr3:uid="{02B00FF0-9D69-45F8-8177-4B7C1F0304CB}" name="Column985"/>
    <tableColumn id="986" xr3:uid="{5C92E008-3CD8-48B1-8589-D4B9A85BE2D7}" name="Column986"/>
    <tableColumn id="987" xr3:uid="{E8059A9E-FEF5-45D7-AAB8-4FBC04AC5176}" name="Column987"/>
    <tableColumn id="988" xr3:uid="{249E1839-14AB-45B9-9146-15076331822D}" name="Column988"/>
    <tableColumn id="989" xr3:uid="{2738A43C-BF02-427E-A6C8-3104DE4B64B2}" name="Column989"/>
    <tableColumn id="990" xr3:uid="{FD3D9EBF-E456-4EA6-86A0-5601447662F3}" name="Column990"/>
    <tableColumn id="991" xr3:uid="{994D20BF-4F0A-4E01-B0A0-A7EF5A1F4013}" name="Column991"/>
    <tableColumn id="992" xr3:uid="{F304A8E5-EEC4-4AA7-9066-49CF04D5993E}" name="Column992"/>
    <tableColumn id="993" xr3:uid="{E484CD5C-5CD6-48F5-A4DE-A87FE059175A}" name="Column993"/>
    <tableColumn id="994" xr3:uid="{8106D710-9094-437B-AE36-8A47458882F7}" name="Column994"/>
    <tableColumn id="995" xr3:uid="{9E8A1FCB-5627-4C48-AF19-C7B6F565F56C}" name="Column995"/>
    <tableColumn id="996" xr3:uid="{7D13FB4A-5D15-4E2B-9005-82E4EB3FB1A9}" name="Column996"/>
    <tableColumn id="997" xr3:uid="{9DE03AAF-BA87-4060-8A42-53A0DDAB01D3}" name="Column997"/>
    <tableColumn id="998" xr3:uid="{030888B1-CE56-47A0-BA74-D375E7EDD0E1}" name="Column998"/>
    <tableColumn id="999" xr3:uid="{E1DE1A46-741B-4BA0-9384-F2D9A4F1CE08}" name="Column999"/>
    <tableColumn id="1000" xr3:uid="{E82C648F-81C4-42F2-9376-EF35514E4F77}" name="Column1000"/>
    <tableColumn id="1001" xr3:uid="{E3FF2AA1-10CF-4CC1-ACFD-9E5F948DD483}" name="Column1001"/>
    <tableColumn id="1002" xr3:uid="{90989D0E-68E5-4454-B550-F60ED9452197}" name="Column1002"/>
    <tableColumn id="1003" xr3:uid="{F552F018-C4EE-4D5B-A29F-2DD6B0794EAB}" name="Column1003"/>
    <tableColumn id="1004" xr3:uid="{B5F9F233-5972-4C47-AF90-C6167029F249}" name="Column1004"/>
    <tableColumn id="1005" xr3:uid="{9E67C41C-800A-4CCB-A29D-512B79063374}" name="Column1005"/>
    <tableColumn id="1006" xr3:uid="{A3B4E728-4BF7-4007-ACDA-D72A65885DB4}" name="Column1006"/>
    <tableColumn id="1007" xr3:uid="{275EFABF-998B-4D84-BE1B-728E3645273F}" name="Column1007"/>
    <tableColumn id="1008" xr3:uid="{2605524B-E0A4-42E5-AA97-DE0AB256F731}" name="Column1008"/>
    <tableColumn id="1009" xr3:uid="{7918B514-6ED1-44D3-8B28-2AEE89BCBF01}" name="Column1009"/>
    <tableColumn id="1010" xr3:uid="{85E9C92A-FC3A-4C8C-BD78-E9A5E099A19B}" name="Column1010"/>
    <tableColumn id="1011" xr3:uid="{5DF5E7F1-133A-49EB-9AE3-523EB14B2CAF}" name="Column1011"/>
    <tableColumn id="1012" xr3:uid="{60703614-7839-4DCE-9B08-124C6E771597}" name="Column1012"/>
    <tableColumn id="1013" xr3:uid="{1C87A9CB-91A3-408F-8513-326B18D11A50}" name="Column1013"/>
    <tableColumn id="1014" xr3:uid="{829272CF-02F3-49CD-97B8-BA86D99BD455}" name="Column1014"/>
    <tableColumn id="1015" xr3:uid="{49FC50F4-4FB1-43E7-9706-623ADA14DE61}" name="Column1015"/>
    <tableColumn id="1016" xr3:uid="{950FC16D-D387-49BD-87A5-27BFF794AA8B}" name="Column1016"/>
    <tableColumn id="1017" xr3:uid="{5F6D4CA5-EB35-4D50-8880-C0C67771C91C}" name="Column1017"/>
    <tableColumn id="1018" xr3:uid="{32FA04AF-BAB6-4CD1-B5BF-1EEB11DD854F}" name="Column1018"/>
    <tableColumn id="1019" xr3:uid="{7FDB3071-93EF-4806-A59E-B5C61031CCED}" name="Column1019"/>
    <tableColumn id="1020" xr3:uid="{19480CD9-9CC7-4461-B2DF-CB1415531F81}" name="Column1020"/>
    <tableColumn id="1021" xr3:uid="{D7CDB2EC-D4F1-4AEE-966F-CEA3B72050D1}" name="Column1021"/>
    <tableColumn id="1022" xr3:uid="{AD0371FB-2DCE-4B49-99A3-76125FF9F4AC}" name="Column1022"/>
    <tableColumn id="1023" xr3:uid="{91ED1293-CAFD-4E8B-8995-15D77C44258B}" name="Column1023"/>
    <tableColumn id="1024" xr3:uid="{1618AEF6-3AD5-4F8E-BE00-8A1AE87BDB3D}" name="Column1024"/>
    <tableColumn id="1025" xr3:uid="{42D3F6CB-E3BD-411C-92D4-8C4CEC6A7235}" name="Column1025"/>
    <tableColumn id="1026" xr3:uid="{396B3ECA-D9F9-47B5-BC22-C3B5C0E83B2A}" name="Column1026"/>
    <tableColumn id="1027" xr3:uid="{3714AD0E-1746-4BA9-9A9D-51129ECC7BA1}" name="Column1027"/>
    <tableColumn id="1028" xr3:uid="{47FF74F5-925C-47D0-8261-A7E8533E56F5}" name="Column1028"/>
    <tableColumn id="1029" xr3:uid="{124D7CA5-79AC-40D8-9F14-2A51B58D0118}" name="Column1029"/>
    <tableColumn id="1030" xr3:uid="{0322842E-F5F8-4D6F-B253-EA3190A9C3AD}" name="Column1030"/>
    <tableColumn id="1031" xr3:uid="{241D5779-2ADE-47E5-83DA-2F0DC0349FC8}" name="Column1031"/>
    <tableColumn id="1032" xr3:uid="{3F83BDA1-7F85-4336-9BDD-64B02DE11772}" name="Column1032"/>
    <tableColumn id="1033" xr3:uid="{9BB37B17-5645-4BBE-B02C-78BF133CAAD8}" name="Column1033"/>
    <tableColumn id="1034" xr3:uid="{6D0B0FA9-04CB-45B3-8793-B35CCDBABFFA}" name="Column1034"/>
    <tableColumn id="1035" xr3:uid="{E0E0FE9D-1EFE-40F5-A9C4-8D5B95D4E8F1}" name="Column1035"/>
    <tableColumn id="1036" xr3:uid="{3B9E6930-2A21-43B8-A040-B3B28D0E2A8A}" name="Column1036"/>
    <tableColumn id="1037" xr3:uid="{EB54C5EB-0FFF-4AA9-AFF7-0A0B12DDE481}" name="Column1037"/>
    <tableColumn id="1038" xr3:uid="{FBB4F503-0F17-4D19-8A5D-8B4B2BC370F2}" name="Column1038"/>
    <tableColumn id="1039" xr3:uid="{6A1A4FF9-4E60-4618-8BF0-49DFC99090BA}" name="Column1039"/>
    <tableColumn id="1040" xr3:uid="{3EC37E8F-C7F0-4C28-877B-6F4CADA0E5D3}" name="Column1040"/>
    <tableColumn id="1041" xr3:uid="{12557283-992E-4520-923E-E2A89CC23DCB}" name="Column1041"/>
    <tableColumn id="1042" xr3:uid="{1A9595DF-4AB9-49AC-8B5C-3968CC6B6D86}" name="Column1042"/>
    <tableColumn id="1043" xr3:uid="{335953F7-639E-4FC2-B077-9EB7241BCDB7}" name="Column1043"/>
    <tableColumn id="1044" xr3:uid="{57317785-EF4C-4A49-AD62-3677737CFF5C}" name="Column1044"/>
    <tableColumn id="1045" xr3:uid="{5C9412A8-3492-4474-8D1B-07E5F1907CCB}" name="Column1045"/>
    <tableColumn id="1046" xr3:uid="{2398ED9D-7DC1-4A91-B13F-DA9AD80FD4B0}" name="Column1046"/>
    <tableColumn id="1047" xr3:uid="{AEC8A83D-590B-47AA-9AFE-FA3B6E232A13}" name="Column1047"/>
    <tableColumn id="1048" xr3:uid="{02F53305-F6E5-41C9-A650-C82B8BCAFB9B}" name="Column1048"/>
    <tableColumn id="1049" xr3:uid="{4A4DE8D0-2040-46EE-98FA-7B4B164E15FC}" name="Column1049"/>
    <tableColumn id="1050" xr3:uid="{B3BF54F9-C57D-4028-875D-94936B5A72F0}" name="Column1050"/>
    <tableColumn id="1051" xr3:uid="{C3524BB3-DB0A-487B-988C-E57844ADFAE6}" name="Column1051"/>
    <tableColumn id="1052" xr3:uid="{B2E6042D-C8B3-4D60-8627-6B7DF648534E}" name="Column1052"/>
    <tableColumn id="1053" xr3:uid="{31559B74-4185-4421-98F3-17DE0334313E}" name="Column1053"/>
    <tableColumn id="1054" xr3:uid="{5A8FF340-D624-474E-A340-46D871D7D3DD}" name="Column1054"/>
    <tableColumn id="1055" xr3:uid="{F56E04AC-4380-4615-AFC8-51721E854E92}" name="Column1055"/>
    <tableColumn id="1056" xr3:uid="{FDBF6C45-1C27-49C8-9362-1BB620B7691B}" name="Column1056"/>
    <tableColumn id="1057" xr3:uid="{FF2DE268-EA85-4713-B663-C6325E05FEDA}" name="Column1057"/>
    <tableColumn id="1058" xr3:uid="{C0B1BF9E-7B0D-4AC0-82CB-C8EB82D3AA2B}" name="Column1058"/>
    <tableColumn id="1059" xr3:uid="{D5CA3D9F-C6BB-4C85-B8B3-F5992CFD1EB5}" name="Column1059"/>
    <tableColumn id="1060" xr3:uid="{306782D2-451F-42D2-B3C1-D3274D0C497D}" name="Column1060"/>
    <tableColumn id="1061" xr3:uid="{6C5B6A76-A7BA-447A-B5E5-A5F60B4F389F}" name="Column1061"/>
    <tableColumn id="1062" xr3:uid="{40905AD3-AC5F-4945-A690-347B99F4E351}" name="Column1062"/>
    <tableColumn id="1063" xr3:uid="{828BD4E3-D65F-48FC-A7CA-C78464DE16A8}" name="Column1063"/>
    <tableColumn id="1064" xr3:uid="{61232FB4-2712-4D1F-90EA-2F40FF40182A}" name="Column1064"/>
    <tableColumn id="1065" xr3:uid="{9FC891F0-79D7-42E3-A0E2-2BD4A3B0FD03}" name="Column1065"/>
    <tableColumn id="1066" xr3:uid="{C4D78DD8-0786-4831-8E70-00CCBFFBAE89}" name="Column1066"/>
    <tableColumn id="1067" xr3:uid="{8C25CBB6-CE3B-40D7-8B8F-86A6345E4E54}" name="Column1067"/>
    <tableColumn id="1068" xr3:uid="{BF2A5298-11EE-4CEE-A610-59091ACA192C}" name="Column1068"/>
    <tableColumn id="1069" xr3:uid="{D72531CB-33CE-4DC7-8DF6-CA24964F68A7}" name="Column1069"/>
    <tableColumn id="1070" xr3:uid="{B034F65E-1898-4EF8-903A-788F93283044}" name="Column1070"/>
    <tableColumn id="1071" xr3:uid="{16D9F4A8-5F56-47B4-A751-3404023CC891}" name="Column1071"/>
    <tableColumn id="1072" xr3:uid="{F3E310EE-0993-41DC-A902-1237E884DB35}" name="Column1072"/>
    <tableColumn id="1073" xr3:uid="{FDDA2A3D-ADC7-4B3B-A5C4-8ADFE224659E}" name="Column1073"/>
    <tableColumn id="1074" xr3:uid="{AD0B38CB-37A5-4704-AF01-36B80C6D398E}" name="Column1074"/>
    <tableColumn id="1075" xr3:uid="{C48A4B4F-F5F6-4784-83D6-8C9E049FD8B2}" name="Column1075"/>
    <tableColumn id="1076" xr3:uid="{FC421861-5184-4065-A3AC-0175F5BF6500}" name="Column1076"/>
    <tableColumn id="1077" xr3:uid="{CE9615AE-55B1-45D8-8D04-6F4A122FA6B5}" name="Column1077"/>
    <tableColumn id="1078" xr3:uid="{46EA447A-B6E8-418D-84E6-56064F5272A5}" name="Column1078"/>
    <tableColumn id="1079" xr3:uid="{61B5CDF1-FE54-412B-A553-28520FC1FED4}" name="Column1079"/>
    <tableColumn id="1080" xr3:uid="{C2DA2F97-4550-434D-B9D1-3CD266F6461C}" name="Column1080"/>
    <tableColumn id="1081" xr3:uid="{61996766-EA5E-49B5-8851-76646AFDF734}" name="Column1081"/>
    <tableColumn id="1082" xr3:uid="{2A1B5502-7E9C-415B-AE05-3D4ABF455427}" name="Column1082"/>
    <tableColumn id="1083" xr3:uid="{AEA944A3-B83A-4FDD-B16B-BC3490C2F1E4}" name="Column1083"/>
    <tableColumn id="1084" xr3:uid="{B9133436-D079-44F4-95D7-1770E3CB82E9}" name="Column1084"/>
    <tableColumn id="1085" xr3:uid="{0A5575AF-9622-4B3B-92F1-94BF00805DCB}" name="Column1085"/>
    <tableColumn id="1086" xr3:uid="{1B392662-2F6A-452B-A045-EFDA2BB5DBA3}" name="Column1086"/>
    <tableColumn id="1087" xr3:uid="{82B996FC-A357-4C21-802D-A8F7A9CA5CB2}" name="Column1087"/>
    <tableColumn id="1088" xr3:uid="{3A0BD4BD-6B8D-4684-BB0B-F6D6F69FD522}" name="Column1088"/>
    <tableColumn id="1089" xr3:uid="{26FC9415-7CC6-4899-B80E-91B107C135B3}" name="Column1089"/>
    <tableColumn id="1090" xr3:uid="{76AA4FE8-FC43-4FEA-ADA4-D73A2E3C974F}" name="Column1090"/>
    <tableColumn id="1091" xr3:uid="{3FEDF2D5-5D35-40D7-BB1C-4EFF365DAF57}" name="Column1091"/>
    <tableColumn id="1092" xr3:uid="{8512ABC3-98E0-41AB-979B-07217FF77302}" name="Column1092"/>
    <tableColumn id="1093" xr3:uid="{9BE995D2-1D5B-4E3F-8FD5-381FB3E2B10A}" name="Column1093"/>
    <tableColumn id="1094" xr3:uid="{F82E4BFE-E815-40C7-9E17-91B060B998AE}" name="Column1094"/>
    <tableColumn id="1095" xr3:uid="{A1C483BB-7947-4085-BB8A-FB6331EE1221}" name="Column1095"/>
    <tableColumn id="1096" xr3:uid="{D6DDCD44-38A7-4694-BE6E-ED467BAEA930}" name="Column1096"/>
    <tableColumn id="1097" xr3:uid="{41B3F167-E24A-41FD-90AB-4848105F538E}" name="Column1097"/>
    <tableColumn id="1098" xr3:uid="{9715F13A-86A2-45D9-A1D3-658CDD97F35E}" name="Column1098"/>
    <tableColumn id="1099" xr3:uid="{6786EB2A-C22A-4F1E-8B5B-AEDACD537C53}" name="Column1099"/>
    <tableColumn id="1100" xr3:uid="{CD60C90E-C598-4CDB-A704-3042CF0FE934}" name="Column1100"/>
    <tableColumn id="1101" xr3:uid="{66E06347-F839-46E5-ACA3-946966D075B8}" name="Column1101"/>
    <tableColumn id="1102" xr3:uid="{7032EC29-2B07-4849-BC59-90B8C82EA574}" name="Column1102"/>
    <tableColumn id="1103" xr3:uid="{80CF4124-7137-4A3E-8A9C-8C559911C61A}" name="Column1103"/>
    <tableColumn id="1104" xr3:uid="{7496B1D6-4DC0-424C-8087-F8235045CC98}" name="Column1104"/>
    <tableColumn id="1105" xr3:uid="{B0EC8A24-EDB7-4B4E-ABED-99C2B4EC64C0}" name="Column1105"/>
    <tableColumn id="1106" xr3:uid="{DEF9B708-B69A-4038-81C2-DB936CC93630}" name="Column1106"/>
    <tableColumn id="1107" xr3:uid="{B5AD8A46-F30B-4F3D-827B-8FB0798004B4}" name="Column1107"/>
    <tableColumn id="1108" xr3:uid="{864605FB-95B1-46E2-818F-F6AFCF46EE13}" name="Column1108"/>
    <tableColumn id="1109" xr3:uid="{80EE830E-6710-4E7A-BEFB-704BB8C57509}" name="Column1109"/>
    <tableColumn id="1110" xr3:uid="{958980A2-FD88-4658-9311-12BDE976E007}" name="Column1110"/>
    <tableColumn id="1111" xr3:uid="{9B0FE139-17D0-4CA4-A95A-B5E63143B630}" name="Column1111"/>
    <tableColumn id="1112" xr3:uid="{226DA0C3-35CC-436F-A8F2-BA5409397BA8}" name="Column1112"/>
    <tableColumn id="1113" xr3:uid="{C62FA8F6-014E-49FB-AA11-79E663BA491E}" name="Column1113"/>
    <tableColumn id="1114" xr3:uid="{00140F64-A1FE-4F67-A1EF-A9D456A0091C}" name="Column1114"/>
    <tableColumn id="1115" xr3:uid="{4EAF79C4-9894-497C-968A-F169502E458D}" name="Column1115"/>
    <tableColumn id="1116" xr3:uid="{D1318066-0C85-475A-95AE-4B5293AC2AB7}" name="Column1116"/>
    <tableColumn id="1117" xr3:uid="{3490831E-52ED-427D-8B5E-A72B79943D72}" name="Column1117"/>
    <tableColumn id="1118" xr3:uid="{F8DA2528-2D5B-4D8A-A9A2-81C42E21B957}" name="Column1118"/>
    <tableColumn id="1119" xr3:uid="{069F9311-FA0F-48B9-8AD0-FEA83E8014CD}" name="Column1119"/>
    <tableColumn id="1120" xr3:uid="{99D3BB1D-3112-4117-B678-56054AD9874A}" name="Column1120"/>
    <tableColumn id="1121" xr3:uid="{B709E72F-7B24-4D9F-9958-42C5E5AC0634}" name="Column1121"/>
    <tableColumn id="1122" xr3:uid="{162C1D49-79AC-4190-9F8B-49ED3BBABBEA}" name="Column1122"/>
    <tableColumn id="1123" xr3:uid="{18EF7DD5-F6C6-4EC2-889C-39D7D44B96D4}" name="Column1123"/>
    <tableColumn id="1124" xr3:uid="{79114D35-E960-47F2-BF1C-56B54A7B86BF}" name="Column1124"/>
    <tableColumn id="1125" xr3:uid="{86982C5F-2BA2-421E-9628-D61CFD147A16}" name="Column1125"/>
    <tableColumn id="1126" xr3:uid="{36CD9DE7-BA5F-4D69-A50D-4817C7E23C36}" name="Column1126"/>
    <tableColumn id="1127" xr3:uid="{8D980796-9285-497A-9086-13CEE4A5A1BA}" name="Column1127"/>
    <tableColumn id="1128" xr3:uid="{95442F01-DECF-4230-A412-6792B72B15C1}" name="Column1128"/>
    <tableColumn id="1129" xr3:uid="{8AE85350-AF4F-4C4A-AAC5-8ADA3C1E14E9}" name="Column1129"/>
    <tableColumn id="1130" xr3:uid="{CF41E2A5-0DF8-4F89-B46E-E4A3F3C80C2B}" name="Column1130"/>
    <tableColumn id="1131" xr3:uid="{B07DA5F8-E236-4C14-8B86-4A38CBEE0E61}" name="Column1131"/>
    <tableColumn id="1132" xr3:uid="{54E008E2-C802-48EB-99C4-370BC2ED73CE}" name="Column1132"/>
    <tableColumn id="1133" xr3:uid="{A7807436-D061-4586-B256-80EEFD8111F5}" name="Column1133"/>
    <tableColumn id="1134" xr3:uid="{784AA093-A378-4409-9705-D52D0AC17C3E}" name="Column1134"/>
    <tableColumn id="1135" xr3:uid="{0E0CDCC5-8345-4843-9FAA-90D2FDFBAA29}" name="Column1135"/>
    <tableColumn id="1136" xr3:uid="{9D58277A-FEF2-4DEB-9ECC-66AD8B42B32B}" name="Column1136"/>
    <tableColumn id="1137" xr3:uid="{2CDC9A47-6133-43BF-9FAC-515C07489B1E}" name="Column1137"/>
    <tableColumn id="1138" xr3:uid="{0B7874AA-052E-4681-BA17-3C7D20E34A38}" name="Column1138"/>
    <tableColumn id="1139" xr3:uid="{89F323AA-4DCE-4E27-9210-94B8389CB4B1}" name="Column1139"/>
    <tableColumn id="1140" xr3:uid="{A9752E6D-DE5D-4694-A6CF-E27388D7D6DC}" name="Column1140"/>
    <tableColumn id="1141" xr3:uid="{1C2A13AA-B3E6-4922-9CAC-7A5E13A15F1C}" name="Column1141"/>
    <tableColumn id="1142" xr3:uid="{E183E24F-C323-4AFA-8716-B5641CFDBFEC}" name="Column1142"/>
    <tableColumn id="1143" xr3:uid="{EBFFC4D2-C610-4E01-B445-BC57E4049528}" name="Column1143"/>
    <tableColumn id="1144" xr3:uid="{78E640B3-03FD-4007-91A8-B8DEFB811D41}" name="Column1144"/>
    <tableColumn id="1145" xr3:uid="{312D0400-6DC4-4B9C-B544-312EEFC1FB44}" name="Column1145"/>
    <tableColumn id="1146" xr3:uid="{76557B39-B731-472E-BABA-3957F283D093}" name="Column1146"/>
    <tableColumn id="1147" xr3:uid="{24D44046-84C9-44AD-9798-7938B09F3D76}" name="Column1147"/>
    <tableColumn id="1148" xr3:uid="{5D263EEC-0360-4505-A537-31BE2785ADE0}" name="Column1148"/>
    <tableColumn id="1149" xr3:uid="{B6A87F60-5A7F-4623-BDED-63DB4F5C26DC}" name="Column1149"/>
    <tableColumn id="1150" xr3:uid="{EDF5E784-5553-403E-8E1E-0417832B8EBD}" name="Column1150"/>
    <tableColumn id="1151" xr3:uid="{C7112121-60D4-4FAC-B180-15648ACAA0B1}" name="Column1151"/>
    <tableColumn id="1152" xr3:uid="{40F4E53D-2FDB-4418-95EA-1DF2D135B900}" name="Column1152"/>
    <tableColumn id="1153" xr3:uid="{78DBB2AF-77EA-4ABD-B4C3-4A83D3F02B61}" name="Column1153"/>
    <tableColumn id="1154" xr3:uid="{740AD535-F3A2-404F-AB24-0984F60902E1}" name="Column1154"/>
    <tableColumn id="1155" xr3:uid="{EDE81263-7A68-409C-A32A-CBE4E0AA608B}" name="Column1155"/>
    <tableColumn id="1156" xr3:uid="{DD062599-5002-4AF3-B32E-9D3B819ACE36}" name="Column1156"/>
    <tableColumn id="1157" xr3:uid="{2415A598-F497-4FB8-B66D-5A08347D09EB}" name="Column1157"/>
    <tableColumn id="1158" xr3:uid="{B4594D45-7A3C-4E06-929C-5C6F494A713A}" name="Column1158"/>
    <tableColumn id="1159" xr3:uid="{A1BFC6C4-35AE-4DE2-8F2B-CC4439DD6E9A}" name="Column1159"/>
    <tableColumn id="1160" xr3:uid="{9313811C-1B05-4DE1-B46B-2A54CC43ED2E}" name="Column1160"/>
    <tableColumn id="1161" xr3:uid="{3589491E-9D05-4C1E-8CD3-D56455B6A3DA}" name="Column1161"/>
    <tableColumn id="1162" xr3:uid="{D7DD6922-DCD1-474F-8653-CB72985AF534}" name="Column1162"/>
    <tableColumn id="1163" xr3:uid="{611C87F0-0E47-4488-A569-18B3C35B7B92}" name="Column1163"/>
    <tableColumn id="1164" xr3:uid="{53BAE012-BEB6-4BF5-AF90-9A31A29A9AA6}" name="Column1164"/>
    <tableColumn id="1165" xr3:uid="{A6D0F187-53C0-4FB1-B051-1C7EA05DC536}" name="Column1165"/>
    <tableColumn id="1166" xr3:uid="{47E11AC9-12FE-45F0-BD7D-556C8A6DE146}" name="Column1166"/>
    <tableColumn id="1167" xr3:uid="{DA0344B1-CB00-4C9F-8BE3-155DA56DA9E3}" name="Column1167"/>
    <tableColumn id="1168" xr3:uid="{B878EAF3-1666-4635-B64A-C3A59921E6A7}" name="Column1168"/>
    <tableColumn id="1169" xr3:uid="{3777DBD6-23A9-48B7-B765-40C817594E7B}" name="Column1169"/>
    <tableColumn id="1170" xr3:uid="{F9EBEACD-A1C6-4B12-9CE8-32765CC633A1}" name="Column1170"/>
    <tableColumn id="1171" xr3:uid="{9331F841-02D6-46A3-B379-D0E53EBC3F4C}" name="Column1171"/>
    <tableColumn id="1172" xr3:uid="{D540C038-1FC7-47C0-ADE8-CFD84DFB8CFB}" name="Column1172"/>
    <tableColumn id="1173" xr3:uid="{BB91871F-8E85-4F8B-96F1-9E21C87C5DAD}" name="Column1173"/>
    <tableColumn id="1174" xr3:uid="{9AA19F5F-1FF9-48BE-992D-9B4D2EECFCD6}" name="Column1174"/>
    <tableColumn id="1175" xr3:uid="{5D910CD8-8157-4C94-BC4B-DC0E7B54CB4A}" name="Column1175"/>
    <tableColumn id="1176" xr3:uid="{F1ADDA3C-5A9C-434A-BFC8-428D8C9F31B4}" name="Column1176"/>
    <tableColumn id="1177" xr3:uid="{04EA805D-F37C-4F47-8A2B-FC375E5315BF}" name="Column1177"/>
    <tableColumn id="1178" xr3:uid="{22590F17-5E4D-4D53-A025-E6424DFB9C6C}" name="Column1178"/>
    <tableColumn id="1179" xr3:uid="{8E1AE658-F6E2-4FF3-A706-DFA65EB5D6E2}" name="Column1179"/>
    <tableColumn id="1180" xr3:uid="{ABC0C069-AE4D-44AF-8627-DFDB99FCB73A}" name="Column1180"/>
    <tableColumn id="1181" xr3:uid="{187E9614-8B75-40C2-99E3-A0772684C171}" name="Column1181"/>
    <tableColumn id="1182" xr3:uid="{1DE95E2A-236E-49FB-9A19-4FC05AC8EA6D}" name="Column1182"/>
    <tableColumn id="1183" xr3:uid="{5C636CD6-A9FA-49A6-A9CD-205E2536B22C}" name="Column1183"/>
    <tableColumn id="1184" xr3:uid="{7B3609F3-00DE-42E3-A8F2-A2F8C6A781DD}" name="Column1184"/>
    <tableColumn id="1185" xr3:uid="{F8EADBF1-84A4-4F5A-AA83-31E6D460050B}" name="Column1185"/>
    <tableColumn id="1186" xr3:uid="{E4C5FA9E-C3AB-4921-A1D8-07F262D75873}" name="Column1186"/>
    <tableColumn id="1187" xr3:uid="{4F3FBA44-493E-490B-89C2-820816D77C43}" name="Column1187"/>
    <tableColumn id="1188" xr3:uid="{A8076B60-089D-4211-864A-2781DE701C9E}" name="Column1188"/>
    <tableColumn id="1189" xr3:uid="{2F35ED22-BA2F-42EA-AB01-72729A8BE27E}" name="Column1189"/>
    <tableColumn id="1190" xr3:uid="{E6D4ED08-8C91-4FDC-A6A1-E29B0E02226C}" name="Column1190"/>
    <tableColumn id="1191" xr3:uid="{0FCCBC15-0AE9-4EE3-B4E7-567399233545}" name="Column1191"/>
    <tableColumn id="1192" xr3:uid="{D68223D7-DCD7-4931-B418-D036AAC4C9C4}" name="Column1192"/>
    <tableColumn id="1193" xr3:uid="{558A19CB-2252-4E42-8AEF-F86121AB3EA0}" name="Column1193"/>
    <tableColumn id="1194" xr3:uid="{D49E8712-ECA3-4D0C-86B4-3C10B487BA3B}" name="Column1194"/>
    <tableColumn id="1195" xr3:uid="{C9BBD528-AED3-4B05-B4A6-2711865F854A}" name="Column1195"/>
    <tableColumn id="1196" xr3:uid="{64603378-B8E1-4302-9FE5-8071500410A5}" name="Column1196"/>
    <tableColumn id="1197" xr3:uid="{7C3C5F8C-C323-4FC1-A358-56ABBF0917BB}" name="Column1197"/>
    <tableColumn id="1198" xr3:uid="{BF85D209-8514-40F0-BDF6-C765182413AF}" name="Column1198"/>
    <tableColumn id="1199" xr3:uid="{9A513CFE-6263-4755-89FA-30E5F59F3257}" name="Column1199"/>
    <tableColumn id="1200" xr3:uid="{A66880ED-5338-4032-873C-1750A725AAFF}" name="Column1200"/>
    <tableColumn id="1201" xr3:uid="{42B4AF5B-E40D-4730-83B3-9C3D07B72BAF}" name="Column1201"/>
    <tableColumn id="1202" xr3:uid="{142F957F-C67A-4CBD-8E0B-2ABECD00140D}" name="Column1202"/>
    <tableColumn id="1203" xr3:uid="{BE51BDF0-352F-48B5-BE81-F7869B9DEEFF}" name="Column1203"/>
    <tableColumn id="1204" xr3:uid="{3FE04E19-48AD-4408-90DC-14881116025B}" name="Column1204"/>
    <tableColumn id="1205" xr3:uid="{7C9046B2-0477-4D64-8919-814CE16D8272}" name="Column1205"/>
    <tableColumn id="1206" xr3:uid="{2B889BF4-ADCD-428C-94EC-D7455F2BB24A}" name="Column1206"/>
    <tableColumn id="1207" xr3:uid="{560AF6EE-2B57-4E37-AE37-17422397EF70}" name="Column1207"/>
    <tableColumn id="1208" xr3:uid="{88FF683C-704E-40D5-B8CC-D5F637C244E6}" name="Column1208"/>
    <tableColumn id="1209" xr3:uid="{3FB1EE5B-2897-4D1A-9C36-B87EB4A8C857}" name="Column1209"/>
    <tableColumn id="1210" xr3:uid="{42896BC0-6952-4E40-883F-6A6E4BDA8B1F}" name="Column1210"/>
    <tableColumn id="1211" xr3:uid="{73A4AF6C-AC96-403F-A296-5598324FBEB0}" name="Column1211"/>
    <tableColumn id="1212" xr3:uid="{6AFE2C13-989A-403A-BA5C-8FD5DA13DE03}" name="Column1212"/>
    <tableColumn id="1213" xr3:uid="{83970437-4F74-4CC2-805E-20209C0704F9}" name="Column1213"/>
    <tableColumn id="1214" xr3:uid="{419E29C7-C500-40B5-A2CA-AD66E84B781C}" name="Column1214"/>
    <tableColumn id="1215" xr3:uid="{8F79725E-3299-4EC3-8F5E-021074367A0D}" name="Column1215"/>
    <tableColumn id="1216" xr3:uid="{1A63C705-29C7-4098-821A-06E8FECC0E32}" name="Column1216"/>
    <tableColumn id="1217" xr3:uid="{23D30467-DFD3-4CA9-BF19-B9B3672701C7}" name="Column1217"/>
    <tableColumn id="1218" xr3:uid="{50E0ACFA-A631-42C2-8E40-4ABEEA419C56}" name="Column1218"/>
    <tableColumn id="1219" xr3:uid="{6965200D-16FB-49E8-AF2A-D8697E1750A6}" name="Column1219"/>
    <tableColumn id="1220" xr3:uid="{444E27DF-9F85-49B0-80DD-95AEFAAF4C7D}" name="Column1220"/>
    <tableColumn id="1221" xr3:uid="{740C8A80-2314-4BDC-AAA5-33A5A166678B}" name="Column1221"/>
    <tableColumn id="1222" xr3:uid="{3E8C8EF4-8EAB-4511-93FB-15FE3392C886}" name="Column1222"/>
    <tableColumn id="1223" xr3:uid="{C7A083BF-9147-42C3-9FC6-39C8065CBF77}" name="Column1223"/>
    <tableColumn id="1224" xr3:uid="{188FB7EC-5F86-48F2-A744-38614B350870}" name="Column1224"/>
    <tableColumn id="1225" xr3:uid="{D91EF6E5-9EB8-40E0-92DE-801CB658006E}" name="Column1225"/>
    <tableColumn id="1226" xr3:uid="{B8573397-D83F-472E-9884-9465AEACA371}" name="Column1226"/>
    <tableColumn id="1227" xr3:uid="{98B42B40-0D33-46FC-B274-0B47B8EC05B9}" name="Column1227"/>
    <tableColumn id="1228" xr3:uid="{99E57628-F4BF-47A4-9498-A5B49E7DD587}" name="Column1228"/>
    <tableColumn id="1229" xr3:uid="{A7533B32-40AB-4362-B9A3-560007A54A39}" name="Column1229"/>
    <tableColumn id="1230" xr3:uid="{FACCA160-3329-4826-9E99-D72ECDA8006E}" name="Column1230"/>
    <tableColumn id="1231" xr3:uid="{FBA68611-63C7-4178-A9E7-A4DF0DEC0E53}" name="Column1231"/>
    <tableColumn id="1232" xr3:uid="{B9AC01E2-74DB-497D-AD97-0FC270CC3461}" name="Column1232"/>
    <tableColumn id="1233" xr3:uid="{F8936AEF-D394-43E2-A16A-6C8A3950EB77}" name="Column1233"/>
    <tableColumn id="1234" xr3:uid="{2F5116BF-98C0-4F71-9A5C-372E0DD29D56}" name="Column1234"/>
    <tableColumn id="1235" xr3:uid="{ED43D966-707B-41E0-A7D2-05DF8D7BDA90}" name="Column1235"/>
    <tableColumn id="1236" xr3:uid="{90D8BD0D-A8DC-4E06-A6B2-880A931E7E00}" name="Column1236"/>
    <tableColumn id="1237" xr3:uid="{0251F054-A5A9-49E2-9EAB-DFB793939FA0}" name="Column1237"/>
    <tableColumn id="1238" xr3:uid="{F821CD0D-6553-41A1-9714-D69FED7FE0A0}" name="Column1238"/>
    <tableColumn id="1239" xr3:uid="{50EC64B8-2BB4-48B0-89F5-CAFD5B914CE7}" name="Column1239"/>
    <tableColumn id="1240" xr3:uid="{0245595B-B535-462C-AC28-419340C65520}" name="Column1240"/>
    <tableColumn id="1241" xr3:uid="{547DEF0E-B200-4A1D-8D9C-59AD2C1B257B}" name="Column1241"/>
    <tableColumn id="1242" xr3:uid="{982AF428-D02E-4876-B4CF-C3F8C5C73188}" name="Column1242"/>
    <tableColumn id="1243" xr3:uid="{991AC465-02CF-46E1-84C2-0DF070A23385}" name="Column1243"/>
    <tableColumn id="1244" xr3:uid="{CC004E3E-5BA7-4E3B-9F1A-9300C7816A2F}" name="Column1244"/>
    <tableColumn id="1245" xr3:uid="{9383F18B-10C6-4325-9A54-232EDF492FBE}" name="Column1245"/>
    <tableColumn id="1246" xr3:uid="{892A3153-D39E-48EE-AAD5-954668458F1F}" name="Column1246"/>
    <tableColumn id="1247" xr3:uid="{FE059E19-99A4-43CB-9B6D-714481867A39}" name="Column1247"/>
    <tableColumn id="1248" xr3:uid="{F80B5CEC-6522-4A31-82F8-ADFB962715BD}" name="Column1248"/>
    <tableColumn id="1249" xr3:uid="{FE5CC52A-3EC5-40A0-8371-792771A97499}" name="Column1249"/>
    <tableColumn id="1250" xr3:uid="{A41535EA-8A34-4F06-9E87-9558F152DA4F}" name="Column1250"/>
    <tableColumn id="1251" xr3:uid="{85C8AE32-F8A3-4E54-AD4D-9C771A194F5C}" name="Column1251"/>
    <tableColumn id="1252" xr3:uid="{A2146803-AD06-4B08-9BB9-F4BCFCD2BAE9}" name="Column1252"/>
    <tableColumn id="1253" xr3:uid="{D78950DF-7F43-4FDC-9D27-4535235A5609}" name="Column1253"/>
    <tableColumn id="1254" xr3:uid="{AFD45B76-7903-4BBF-AFC0-C26C7BEB55F2}" name="Column1254"/>
    <tableColumn id="1255" xr3:uid="{9ECF475F-2601-4083-A5B1-8743DA301145}" name="Column1255"/>
    <tableColumn id="1256" xr3:uid="{2E7A80BA-0006-4644-993B-75A7A9EAC1C4}" name="Column1256"/>
    <tableColumn id="1257" xr3:uid="{BDE8636A-0823-4144-B841-39BBA2403791}" name="Column1257"/>
    <tableColumn id="1258" xr3:uid="{3A58BDF5-0CB5-4C4E-90C3-98EEAC689818}" name="Column1258"/>
    <tableColumn id="1259" xr3:uid="{3C39C416-778B-4C79-B5EF-0D56A51150C8}" name="Column1259"/>
    <tableColumn id="1260" xr3:uid="{1B796C7A-2DD4-4AC9-BC7E-E694AAF7C98A}" name="Column1260"/>
    <tableColumn id="1261" xr3:uid="{DA2AF0F3-BB85-4583-986E-1C55C745C2F2}" name="Column1261"/>
    <tableColumn id="1262" xr3:uid="{D7F38BC9-960F-46C9-A82F-8EB0277778C1}" name="Column1262"/>
    <tableColumn id="1263" xr3:uid="{02A637F6-4F4E-4E6F-9E2A-21BE541EC8E1}" name="Column1263"/>
    <tableColumn id="1264" xr3:uid="{97460138-69F9-4981-9A52-B14E8C2CDF10}" name="Column1264"/>
    <tableColumn id="1265" xr3:uid="{AEB36013-CFA6-4D1F-BF80-C1A40AC83652}" name="Column1265"/>
    <tableColumn id="1266" xr3:uid="{EEF67658-3743-491D-B1A6-6524B80C1827}" name="Column1266"/>
    <tableColumn id="1267" xr3:uid="{63EA5706-F51F-4075-B514-FE1A1784AF1F}" name="Column1267"/>
    <tableColumn id="1268" xr3:uid="{685AA2C0-7428-4B05-916B-0D398F826174}" name="Column1268"/>
    <tableColumn id="1269" xr3:uid="{B8B250A7-91E4-4EA9-9548-BCA4B5A9DE24}" name="Column1269"/>
    <tableColumn id="1270" xr3:uid="{5B1CB3E5-A396-4072-8FF6-114720F6769B}" name="Column1270"/>
    <tableColumn id="1271" xr3:uid="{C2690097-3E96-4FD7-B2AE-393CC3B54C60}" name="Column1271"/>
    <tableColumn id="1272" xr3:uid="{927FA73E-B3F8-427F-8106-F563DFC02A0B}" name="Column1272"/>
    <tableColumn id="1273" xr3:uid="{43B92E6B-C316-424E-B93E-0B5AD1FCCAD0}" name="Column1273"/>
    <tableColumn id="1274" xr3:uid="{E0632CBF-A8FB-412B-9D95-4BCF8F848457}" name="Column1274"/>
    <tableColumn id="1275" xr3:uid="{8E376F0B-793E-4B45-9B94-32148A6B3646}" name="Column1275"/>
    <tableColumn id="1276" xr3:uid="{29F8C180-6D1E-466C-946A-5D4C552A7F15}" name="Column1276"/>
    <tableColumn id="1277" xr3:uid="{1AF5EEEE-071A-43C2-A68E-F27C5C4F9D20}" name="Column1277"/>
    <tableColumn id="1278" xr3:uid="{9A159129-9A0E-47FA-8AB5-56388B4A7FB8}" name="Column1278"/>
    <tableColumn id="1279" xr3:uid="{EECB5B3C-42BF-497C-BC38-FD8B39A7C7C7}" name="Column1279"/>
    <tableColumn id="1280" xr3:uid="{8E068128-71DD-44C7-97F5-3BB11B8217A9}" name="Column1280"/>
    <tableColumn id="1281" xr3:uid="{58709A61-26AB-4DA7-AC2A-37DFF035466D}" name="Column1281"/>
    <tableColumn id="1282" xr3:uid="{6A2B8E3F-FA20-4F8B-8AB7-656CE79E8EBC}" name="Column1282"/>
    <tableColumn id="1283" xr3:uid="{DCDA2495-0D39-47FD-8200-7FBC0A0F41C7}" name="Column1283"/>
    <tableColumn id="1284" xr3:uid="{F27C657A-DF95-4302-8712-75BBDA1A0FEA}" name="Column1284"/>
    <tableColumn id="1285" xr3:uid="{8957B8E4-CEEB-47AC-B739-5C7AB5C0EE3D}" name="Column1285"/>
    <tableColumn id="1286" xr3:uid="{0B09FAA3-1DD0-4A4E-AA6C-73825CF54C7E}" name="Column1286"/>
    <tableColumn id="1287" xr3:uid="{D3E56B58-1056-4523-8D8E-8910B167ADB4}" name="Column1287"/>
    <tableColumn id="1288" xr3:uid="{35EC49AA-6A1D-405B-AE8F-7704F23F8A06}" name="Column1288"/>
    <tableColumn id="1289" xr3:uid="{B4C9DFF5-5E5E-43DA-B861-1A40CEF85B41}" name="Column1289"/>
    <tableColumn id="1290" xr3:uid="{FD03D04B-C4D9-47E8-8839-447DEAD2A92C}" name="Column1290"/>
    <tableColumn id="1291" xr3:uid="{AEF92264-5F46-4AE9-8464-371E91C57086}" name="Column1291"/>
    <tableColumn id="1292" xr3:uid="{3A073376-C100-4CEA-BCFA-046AE59C1BE3}" name="Column1292"/>
    <tableColumn id="1293" xr3:uid="{3B1EE5A8-6D28-4F55-999F-8988E4321E27}" name="Column1293"/>
    <tableColumn id="1294" xr3:uid="{29DE7E70-0272-45B9-95B3-8667117257B4}" name="Column1294"/>
    <tableColumn id="1295" xr3:uid="{CD3F8A39-AEF4-49D8-868A-003344DD9CD5}" name="Column1295"/>
    <tableColumn id="1296" xr3:uid="{07754DB2-642D-4A0D-BB6C-6BAA09E9F132}" name="Column1296"/>
    <tableColumn id="1297" xr3:uid="{00986FC9-247E-4289-83A5-E03D1765A501}" name="Column1297"/>
    <tableColumn id="1298" xr3:uid="{CEDEF004-901E-4062-810F-B15BC9131B96}" name="Column1298"/>
    <tableColumn id="1299" xr3:uid="{C3BAE4FB-0649-4FAA-8109-1BF286FF089F}" name="Column1299"/>
    <tableColumn id="1300" xr3:uid="{F1CB8DF0-6991-45B2-8573-1AE9C4C00F37}" name="Column1300"/>
    <tableColumn id="1301" xr3:uid="{7280CC87-AFB6-425E-BC3F-624D3CC8D1BA}" name="Column1301"/>
    <tableColumn id="1302" xr3:uid="{64811E67-CF42-43DD-A3DD-3C8A7DC07A23}" name="Column1302"/>
    <tableColumn id="1303" xr3:uid="{5E703D5B-030B-45BB-AA42-6483992A0121}" name="Column1303"/>
    <tableColumn id="1304" xr3:uid="{BC6D3116-BDF6-4387-A205-53EF34E75176}" name="Column1304"/>
    <tableColumn id="1305" xr3:uid="{537490ED-FFC9-4801-AD44-1ED499C29E3E}" name="Column1305"/>
    <tableColumn id="1306" xr3:uid="{1275025B-91F4-4D97-A5BF-9F4D4E0962AE}" name="Column1306"/>
    <tableColumn id="1307" xr3:uid="{27F09028-CFEA-44C3-8B5C-5D86C5136661}" name="Column1307"/>
    <tableColumn id="1308" xr3:uid="{1B965B55-6265-40C0-852F-D8284F56AC21}" name="Column1308"/>
    <tableColumn id="1309" xr3:uid="{836F9B6C-549A-476F-89E2-4D4BEF18CB41}" name="Column1309"/>
    <tableColumn id="1310" xr3:uid="{A3FB57DC-CFB5-445F-9EB8-6F9AE152B73D}" name="Column1310"/>
    <tableColumn id="1311" xr3:uid="{03F59287-12E7-4675-8F80-966A3AFD0724}" name="Column1311"/>
    <tableColumn id="1312" xr3:uid="{43F2386B-CA0C-4FFC-8526-62F0696E9318}" name="Column1312"/>
    <tableColumn id="1313" xr3:uid="{12052EFB-80E4-4AD3-A9DA-D460C61E16F3}" name="Column1313"/>
    <tableColumn id="1314" xr3:uid="{AA0EDACD-BA61-4147-8493-F1FDF0B1C09F}" name="Column1314"/>
    <tableColumn id="1315" xr3:uid="{A92A258D-C0B5-4488-9583-D64A41D61112}" name="Column1315"/>
    <tableColumn id="1316" xr3:uid="{E69D38F9-4246-49D7-AFA6-F2137FDC1A36}" name="Column1316"/>
    <tableColumn id="1317" xr3:uid="{17AA7822-99F5-4562-B107-7DE441449B8F}" name="Column1317"/>
    <tableColumn id="1318" xr3:uid="{60D8C836-7759-4912-B113-B65E72424C43}" name="Column1318"/>
    <tableColumn id="1319" xr3:uid="{7FCFB8AD-7FB8-4736-B11B-C9E651ABD966}" name="Column1319"/>
    <tableColumn id="1320" xr3:uid="{9A85B34D-65A4-4BE3-9B2D-AC6F334330B3}" name="Column1320"/>
    <tableColumn id="1321" xr3:uid="{4DDC9D55-5C78-407E-9D6E-62D00D2DADED}" name="Column1321"/>
    <tableColumn id="1322" xr3:uid="{F2D6625E-B613-4AE3-9E08-9AA8EE1F441B}" name="Column1322"/>
    <tableColumn id="1323" xr3:uid="{C1AFFF23-9B07-484C-81C4-2032C5E337EC}" name="Column1323"/>
    <tableColumn id="1324" xr3:uid="{450C8922-36F4-4E19-8034-8BB83563E177}" name="Column1324"/>
    <tableColumn id="1325" xr3:uid="{1FE0C13B-63E8-42B7-8B0D-0F8A1F63F084}" name="Column1325"/>
    <tableColumn id="1326" xr3:uid="{9344ED4A-1CEB-4B8E-A538-F529A5F4E955}" name="Column1326"/>
    <tableColumn id="1327" xr3:uid="{6905B406-C868-4298-ACA7-1F0195CBF83D}" name="Column1327"/>
    <tableColumn id="1328" xr3:uid="{4E6F0A19-20A3-410B-9ED9-44B94D5820C3}" name="Column1328"/>
    <tableColumn id="1329" xr3:uid="{25F2FB94-A335-4C94-B9A4-838ACC6A0821}" name="Column1329"/>
    <tableColumn id="1330" xr3:uid="{A06E867B-5DBA-439E-AC90-4644852C88FF}" name="Column1330"/>
    <tableColumn id="1331" xr3:uid="{46BFA188-52C9-4A8B-9002-07582AF2D96A}" name="Column1331"/>
    <tableColumn id="1332" xr3:uid="{7EF75A01-E1FE-4D3B-BF34-AE3469E31EB7}" name="Column1332"/>
    <tableColumn id="1333" xr3:uid="{9E9D4D32-1A57-43A0-8C7A-DFD980998A04}" name="Column1333"/>
    <tableColumn id="1334" xr3:uid="{DB855B0C-0A87-4ECE-B5D1-D22943314280}" name="Column1334"/>
    <tableColumn id="1335" xr3:uid="{050D4C64-8BE4-45E5-8FED-760F9930F0D7}" name="Column1335"/>
    <tableColumn id="1336" xr3:uid="{778B0259-789C-4D9B-90F8-AA33366D417B}" name="Column1336"/>
    <tableColumn id="1337" xr3:uid="{9C14CCA5-3E39-4408-9E26-0EDBEB62EEAC}" name="Column1337"/>
    <tableColumn id="1338" xr3:uid="{82366726-A1FE-4C98-8A05-25322D3F7138}" name="Column1338"/>
    <tableColumn id="1339" xr3:uid="{B3EBC793-B0E5-4EFD-8384-C792AD40DB75}" name="Column1339"/>
    <tableColumn id="1340" xr3:uid="{17E0DEDA-F8DD-4FD7-B032-078B184D65E3}" name="Column1340"/>
    <tableColumn id="1341" xr3:uid="{D55D951F-1EB8-4685-83EA-19B561BEC213}" name="Column1341"/>
    <tableColumn id="1342" xr3:uid="{64777B63-D323-4612-9FCC-72EA666B1447}" name="Column1342"/>
    <tableColumn id="1343" xr3:uid="{D7B276F2-5E92-4533-A1EE-472007A4FEA9}" name="Column1343"/>
    <tableColumn id="1344" xr3:uid="{7CD3100C-3FA8-48C5-9AC4-9F0D1F64694A}" name="Column1344"/>
    <tableColumn id="1345" xr3:uid="{4CA764FF-00CF-4F29-AD1D-9B3CF61AAFF7}" name="Column1345"/>
    <tableColumn id="1346" xr3:uid="{5D68C50D-09E8-4ADF-961C-30ADA9C9B751}" name="Column1346"/>
    <tableColumn id="1347" xr3:uid="{8FE00A4C-F7F0-4A60-91EA-2633891A7354}" name="Column1347"/>
    <tableColumn id="1348" xr3:uid="{17659A04-2A38-4C07-8D9A-071EB93D3F68}" name="Column1348"/>
    <tableColumn id="1349" xr3:uid="{872C4327-82A8-42FA-95A8-77744424D4E8}" name="Column1349"/>
    <tableColumn id="1350" xr3:uid="{3DF3F48B-8083-4F9B-9BCE-0CD6DE3194F5}" name="Column1350"/>
    <tableColumn id="1351" xr3:uid="{A8440A62-71F0-472E-A66C-BFACCE560112}" name="Column1351"/>
    <tableColumn id="1352" xr3:uid="{3522FD72-DD79-43C2-80DF-12D9AFF3ED42}" name="Column1352"/>
    <tableColumn id="1353" xr3:uid="{5BF98862-D626-4AC3-B061-09317A913630}" name="Column1353"/>
    <tableColumn id="1354" xr3:uid="{A22ACDE2-82F1-41E6-987E-598789C91A99}" name="Column1354"/>
    <tableColumn id="1355" xr3:uid="{F87A2B9A-1781-4492-BD45-F24BB93A5354}" name="Column1355"/>
    <tableColumn id="1356" xr3:uid="{C0AEFB7D-AF90-4290-87A0-52311D026486}" name="Column1356"/>
    <tableColumn id="1357" xr3:uid="{0F08B405-0EA0-4D86-9422-54D6FCFE37EE}" name="Column1357"/>
    <tableColumn id="1358" xr3:uid="{573F84F1-6A9B-4D30-8B37-FB6C2E5F144D}" name="Column1358"/>
    <tableColumn id="1359" xr3:uid="{CED36DE2-ED57-4551-95F7-D6EC821F3F47}" name="Column1359"/>
    <tableColumn id="1360" xr3:uid="{F4EC1A0B-0C8D-4F57-A36B-B4729629B96F}" name="Column1360"/>
    <tableColumn id="1361" xr3:uid="{0396F926-D6FA-44AF-BFE9-D590E52AA2A6}" name="Column1361"/>
    <tableColumn id="1362" xr3:uid="{F9C124E9-A403-4BAF-A1B0-F7672B4D589C}" name="Column1362"/>
    <tableColumn id="1363" xr3:uid="{0FE13328-FD8E-473C-852F-BDFD33F465BA}" name="Column1363"/>
    <tableColumn id="1364" xr3:uid="{16EFD5C3-EA20-4C6D-A685-9ADA4F2AB7FF}" name="Column1364"/>
    <tableColumn id="1365" xr3:uid="{7E292B5C-DCF3-4BA0-9289-AFEB0481DFDC}" name="Column1365"/>
    <tableColumn id="1366" xr3:uid="{100132CA-E3FC-487D-8E09-D3DAA479CFDE}" name="Column1366"/>
    <tableColumn id="1367" xr3:uid="{3A13F27B-8615-4768-AFF7-BC30364B7BC3}" name="Column1367"/>
    <tableColumn id="1368" xr3:uid="{9F807C2F-EE67-4A11-A647-8FEB4FDC03C8}" name="Column1368"/>
    <tableColumn id="1369" xr3:uid="{FAAA904B-8BFF-4A3C-9C10-95EF676C48B4}" name="Column1369"/>
    <tableColumn id="1370" xr3:uid="{44A97EB7-D64A-486A-8C5E-54783BCEA851}" name="Column1370"/>
    <tableColumn id="1371" xr3:uid="{62D98278-3A2B-41F7-94C4-8278963EC5FC}" name="Column1371"/>
    <tableColumn id="1372" xr3:uid="{63E6E69A-8067-40A7-A006-881563B4463B}" name="Column1372"/>
    <tableColumn id="1373" xr3:uid="{F8D85817-A4CB-4C37-A7E1-ADC42830CA5B}" name="Column1373"/>
    <tableColumn id="1374" xr3:uid="{66158204-552F-4734-A176-1E5F8270AAFA}" name="Column1374"/>
    <tableColumn id="1375" xr3:uid="{D107FFF7-F99C-4B6F-9498-A9EE10590CE1}" name="Column1375"/>
    <tableColumn id="1376" xr3:uid="{F8317FB6-4A6D-4710-B189-A96D49B1A000}" name="Column1376"/>
    <tableColumn id="1377" xr3:uid="{A6EE7405-4870-4E47-A2FE-0E9248DA0054}" name="Column1377"/>
    <tableColumn id="1378" xr3:uid="{567EA495-7AD4-4075-9724-D3D56A8DFCC4}" name="Column1378"/>
    <tableColumn id="1379" xr3:uid="{B4CCE96F-8DFB-4151-8755-90D674C0B132}" name="Column1379"/>
    <tableColumn id="1380" xr3:uid="{38759126-5699-489A-B3B6-7A280BA656B2}" name="Column1380"/>
    <tableColumn id="1381" xr3:uid="{B394242A-D449-4289-832F-C78732F96595}" name="Column1381"/>
    <tableColumn id="1382" xr3:uid="{4F60FC81-F544-4588-A554-02123ED16BC5}" name="Column1382"/>
    <tableColumn id="1383" xr3:uid="{EE2E404A-5637-44BA-BA51-78D4E3AD7D8B}" name="Column1383"/>
    <tableColumn id="1384" xr3:uid="{F33A518B-5F60-4887-AB62-975E86E96FD8}" name="Column1384"/>
    <tableColumn id="1385" xr3:uid="{E396188B-F08C-4F9B-8E6C-A055B5B4E0BC}" name="Column1385"/>
    <tableColumn id="1386" xr3:uid="{F346C24E-D4AD-47BE-B05E-74054C0CEED1}" name="Column1386"/>
    <tableColumn id="1387" xr3:uid="{D829ECE2-B9F6-4937-BA0E-9B737D6272E9}" name="Column1387"/>
    <tableColumn id="1388" xr3:uid="{DD810267-BFCC-4288-941E-25F85D482A71}" name="Column1388"/>
    <tableColumn id="1389" xr3:uid="{718E7885-99C1-412E-B2AA-20CCEF12417E}" name="Column1389"/>
    <tableColumn id="1390" xr3:uid="{D97DE910-E39F-4838-A3D2-638D7A094039}" name="Column1390"/>
    <tableColumn id="1391" xr3:uid="{3300A328-EA2E-45FA-8F92-4786365F9082}" name="Column1391"/>
    <tableColumn id="1392" xr3:uid="{5797740E-E301-488B-A8F6-9E576DC5A7F6}" name="Column1392"/>
    <tableColumn id="1393" xr3:uid="{08CEA695-0D2B-4606-8C0B-47C2724CEA58}" name="Column1393"/>
    <tableColumn id="1394" xr3:uid="{B9B5B1A7-4239-4188-B70F-BBF5662B3F5F}" name="Column1394"/>
    <tableColumn id="1395" xr3:uid="{A8F9277C-1336-4522-9741-2958C7C74273}" name="Column1395"/>
    <tableColumn id="1396" xr3:uid="{995B31E1-C590-4B4C-A778-88B048D47E43}" name="Column1396"/>
    <tableColumn id="1397" xr3:uid="{8B861FED-FC10-457F-AA54-37E809798D0B}" name="Column1397"/>
    <tableColumn id="1398" xr3:uid="{0306B4FC-27F3-4597-BDF6-2AD31A04CF7E}" name="Column1398"/>
    <tableColumn id="1399" xr3:uid="{7DFD0E53-FA9E-4249-89F6-84BF0278AA9A}" name="Column1399"/>
    <tableColumn id="1400" xr3:uid="{3D1BC4A2-6EEA-49E4-BF67-9771E76FCDFA}" name="Column1400"/>
    <tableColumn id="1401" xr3:uid="{EE8EDC6D-AE63-44BB-B263-6F37605BB1A4}" name="Column1401"/>
    <tableColumn id="1402" xr3:uid="{20A67A51-8145-4D23-99D2-815D19F7DD57}" name="Column1402"/>
    <tableColumn id="1403" xr3:uid="{0D011C93-5FD1-49DE-91B5-E4C1736F5B60}" name="Column1403"/>
    <tableColumn id="1404" xr3:uid="{6C8E1319-DC10-4375-AF0D-FE6E1AC26D59}" name="Column1404"/>
    <tableColumn id="1405" xr3:uid="{96BA1D9C-25CD-4743-93F0-C17300F1A8D0}" name="Column1405"/>
    <tableColumn id="1406" xr3:uid="{4861A3DE-CE79-483B-9BAE-6C80E9D87026}" name="Column1406"/>
    <tableColumn id="1407" xr3:uid="{51F19526-7731-478C-A463-01C70651A576}" name="Column1407"/>
    <tableColumn id="1408" xr3:uid="{08A27FFC-8986-494F-9C6E-73B6EAB1F107}" name="Column1408"/>
    <tableColumn id="1409" xr3:uid="{77EEAE43-5B29-4A61-9B17-B2E69B7DE5A7}" name="Column1409"/>
    <tableColumn id="1410" xr3:uid="{00C99B00-B6E3-4D78-BB13-4C0F897573DA}" name="Column1410"/>
    <tableColumn id="1411" xr3:uid="{472ED01A-7913-473C-8E09-1B7B8F24BDB9}" name="Column1411"/>
    <tableColumn id="1412" xr3:uid="{F16EB69C-1005-4C86-B762-D03030F83C0C}" name="Column1412"/>
    <tableColumn id="1413" xr3:uid="{8B2AF3FE-9B75-4949-8A61-DC498328A7FC}" name="Column1413"/>
    <tableColumn id="1414" xr3:uid="{A9EBD62E-1F1A-4A41-8FD6-0DA4C78AA157}" name="Column1414"/>
    <tableColumn id="1415" xr3:uid="{E0833465-8721-4E0A-8391-538223ACBCF1}" name="Column1415"/>
    <tableColumn id="1416" xr3:uid="{FA7F2AF9-3D3C-49E6-8CFA-98CCA8B84493}" name="Column1416"/>
    <tableColumn id="1417" xr3:uid="{959FDCA0-BC0C-48C4-8BE7-7CC5F920428E}" name="Column1417"/>
    <tableColumn id="1418" xr3:uid="{3A1CECC5-A771-47C2-805D-915C9E2BDC2E}" name="Column1418"/>
    <tableColumn id="1419" xr3:uid="{C9D3D99B-44DC-4505-BB96-7280215AF798}" name="Column1419"/>
    <tableColumn id="1420" xr3:uid="{C7C1A3B7-23A1-43DE-B220-BC52F47B3C2C}" name="Column1420"/>
    <tableColumn id="1421" xr3:uid="{9E9C8620-6683-4435-B3C6-624FF0DAE124}" name="Column1421"/>
    <tableColumn id="1422" xr3:uid="{A4563F9D-B6AC-4037-A9F2-ADA7C015D382}" name="Column1422"/>
    <tableColumn id="1423" xr3:uid="{B412FEAA-5475-4C75-919E-8DAD99FAEB9C}" name="Column1423"/>
    <tableColumn id="1424" xr3:uid="{9D08DF24-E852-41BF-B95D-064F733A2DA2}" name="Column1424"/>
    <tableColumn id="1425" xr3:uid="{20972F01-BF17-4979-A806-F204044EC284}" name="Column1425"/>
    <tableColumn id="1426" xr3:uid="{CA7BFB6B-8384-45A9-BC7D-90F3F28D957D}" name="Column1426"/>
    <tableColumn id="1427" xr3:uid="{7117F07C-E467-45A8-B35A-1F50DB5D1AC7}" name="Column1427"/>
    <tableColumn id="1428" xr3:uid="{9EAD3904-26BC-456A-AD8D-AE0A533FF192}" name="Column1428"/>
    <tableColumn id="1429" xr3:uid="{10B2252B-14A4-4D0E-909A-3E3E4E11293B}" name="Column1429"/>
    <tableColumn id="1430" xr3:uid="{7C7CFE72-AE23-47B1-91BC-E96D930E22B0}" name="Column1430"/>
    <tableColumn id="1431" xr3:uid="{E321AD50-86A1-4D07-88F2-4E74F5BB2B21}" name="Column1431"/>
    <tableColumn id="1432" xr3:uid="{D8D9BC3B-3C96-4511-956B-410C24CE0CF9}" name="Column1432"/>
    <tableColumn id="1433" xr3:uid="{1879AA84-E1FF-49E4-8E96-537608A170B1}" name="Column1433"/>
    <tableColumn id="1434" xr3:uid="{23AA043B-A977-4EEC-A997-003FEDEB8957}" name="Column1434"/>
    <tableColumn id="1435" xr3:uid="{3543385C-952B-4DF3-93C3-BD501F6A1DDB}" name="Column1435"/>
    <tableColumn id="1436" xr3:uid="{D2343BFB-8A7F-420E-8C36-FE1B5AA8664F}" name="Column1436"/>
    <tableColumn id="1437" xr3:uid="{30A1C67A-2A86-42DA-9F09-62AEC8772C5A}" name="Column1437"/>
    <tableColumn id="1438" xr3:uid="{A04DF118-8BAC-40A4-8AD2-06E38CA413D7}" name="Column1438"/>
    <tableColumn id="1439" xr3:uid="{D1B320C4-E4C7-483A-B730-D3F71DFA1331}" name="Column1439"/>
    <tableColumn id="1440" xr3:uid="{6DDA43F1-1C2F-42BD-B4C9-92860531D4BD}" name="Column1440"/>
    <tableColumn id="1441" xr3:uid="{5551B595-891A-43FA-99A6-268DD1B62649}" name="Column1441"/>
    <tableColumn id="1442" xr3:uid="{D3F2D980-AF22-4323-A1EB-1AF9E9B345CD}" name="Column1442"/>
    <tableColumn id="1443" xr3:uid="{CD4EB260-E814-4D56-9D2B-0B6399C69C8D}" name="Column1443"/>
    <tableColumn id="1444" xr3:uid="{CEB0AAE6-94E8-403B-88D3-F8B78A0AF1E2}" name="Column1444"/>
    <tableColumn id="1445" xr3:uid="{972489DF-3755-44E8-A87B-27F1FBD6F550}" name="Column1445"/>
    <tableColumn id="1446" xr3:uid="{A297DB9A-5855-4477-AAA2-573A1F9A0504}" name="Column1446"/>
    <tableColumn id="1447" xr3:uid="{B4F2BBC5-407A-42CC-9954-C279142F326B}" name="Column1447"/>
    <tableColumn id="1448" xr3:uid="{6FE46347-5703-4860-9EC3-E1F9819E8F27}" name="Column1448"/>
    <tableColumn id="1449" xr3:uid="{CE45E901-3108-4F62-A411-3F7D6ABB3EC0}" name="Column1449"/>
    <tableColumn id="1450" xr3:uid="{F908D19B-AE8E-443E-88F4-BB7362519244}" name="Column1450"/>
    <tableColumn id="1451" xr3:uid="{B063EA59-077C-4CA9-8913-B35CDD6D5F64}" name="Column1451"/>
    <tableColumn id="1452" xr3:uid="{805A5519-8FD5-4CB8-889B-0CF05221B441}" name="Column1452"/>
    <tableColumn id="1453" xr3:uid="{8B359592-ED75-4860-B532-7C2D93CA2AAD}" name="Column1453"/>
    <tableColumn id="1454" xr3:uid="{134B6020-6D5A-4573-B8B3-601DF6BF670C}" name="Column1454"/>
    <tableColumn id="1455" xr3:uid="{A7FF31C8-079E-4BA6-9640-5C93CC9DBB81}" name="Column1455"/>
    <tableColumn id="1456" xr3:uid="{018851D2-6A8E-4870-B786-EB81FD35C162}" name="Column1456"/>
    <tableColumn id="1457" xr3:uid="{1534421B-9852-4420-A66B-F3999C0184B6}" name="Column1457"/>
    <tableColumn id="1458" xr3:uid="{779FD01F-B130-486E-8577-0E2FF55453F9}" name="Column1458"/>
    <tableColumn id="1459" xr3:uid="{03B1397D-0722-4263-9838-6948CD610A4B}" name="Column1459"/>
    <tableColumn id="1460" xr3:uid="{3BA37D3A-676B-4E69-B689-40CF8278E328}" name="Column1460"/>
    <tableColumn id="1461" xr3:uid="{C33B7BD3-8CF1-4A0C-B1D3-E9B0F5739D5D}" name="Column1461"/>
    <tableColumn id="1462" xr3:uid="{3D90FBF3-C0E2-419C-AAA9-9EBA8C87DFFF}" name="Column1462"/>
    <tableColumn id="1463" xr3:uid="{372336CB-B714-4F71-8EA9-014ED9061827}" name="Column1463"/>
    <tableColumn id="1464" xr3:uid="{B54F4C57-EF0B-4CD6-AB2E-25648D1BAD08}" name="Column1464"/>
    <tableColumn id="1465" xr3:uid="{F42056D4-9D41-4359-A04C-15FF52E7B1DD}" name="Column1465"/>
    <tableColumn id="1466" xr3:uid="{EC34DF49-6D88-455E-B49B-7B456A2D73D2}" name="Column1466"/>
    <tableColumn id="1467" xr3:uid="{5226F1FD-158D-43F1-8711-ACB93C738475}" name="Column1467"/>
    <tableColumn id="1468" xr3:uid="{57144597-1EE0-46B1-B76A-47326FEACF71}" name="Column1468"/>
    <tableColumn id="1469" xr3:uid="{926955CA-6D93-41FD-8035-0DAEB88F09BD}" name="Column1469"/>
    <tableColumn id="1470" xr3:uid="{4654AF8C-EDAF-4B62-A086-0D540DEFC48D}" name="Column1470"/>
    <tableColumn id="1471" xr3:uid="{7A9C4567-AEB2-4346-9025-69806B590638}" name="Column1471"/>
    <tableColumn id="1472" xr3:uid="{2D9F779F-3D99-407A-9F4D-8B18BE90B98B}" name="Column1472"/>
    <tableColumn id="1473" xr3:uid="{0B2EC766-6A2F-45AF-AEFD-48F12BC7A6F8}" name="Column1473"/>
    <tableColumn id="1474" xr3:uid="{D3F943AE-2439-42A1-8567-BD728DD5E7EA}" name="Column1474"/>
    <tableColumn id="1475" xr3:uid="{6B193185-6981-4259-8436-6D16EFFF33EE}" name="Column1475"/>
    <tableColumn id="1476" xr3:uid="{3FAA79E2-7172-488B-840D-04D217F1675C}" name="Column1476"/>
    <tableColumn id="1477" xr3:uid="{C3981D3B-BBEA-4F47-B7C6-D618E046E577}" name="Column1477"/>
    <tableColumn id="1478" xr3:uid="{35A68B6D-D304-454E-B53A-5B8DB71060F8}" name="Column1478"/>
    <tableColumn id="1479" xr3:uid="{C2272248-577E-4C19-AC52-9E0FE490BC3B}" name="Column1479"/>
    <tableColumn id="1480" xr3:uid="{930D55E3-CB21-4B27-974F-07ED9C8C7027}" name="Column1480"/>
    <tableColumn id="1481" xr3:uid="{444C6A55-FEC3-4244-A07C-1C6BEB520697}" name="Column1481"/>
    <tableColumn id="1482" xr3:uid="{305E6B7F-FF31-4D3E-85B5-C8B9CBF63E96}" name="Column1482"/>
    <tableColumn id="1483" xr3:uid="{E92E1B7B-8425-4101-8F2F-4CC39534F988}" name="Column1483"/>
    <tableColumn id="1484" xr3:uid="{D88736F2-A640-4DA7-B34B-EEBB9FE6CF39}" name="Column1484"/>
    <tableColumn id="1485" xr3:uid="{748B7336-C238-4C79-AEBD-BFACF8E206CC}" name="Column1485"/>
    <tableColumn id="1486" xr3:uid="{BC2140F3-4F02-4687-BBBC-A519E4C65DA8}" name="Column1486"/>
    <tableColumn id="1487" xr3:uid="{DB752A5D-4DC5-48E3-BEE2-4A9123B01292}" name="Column1487"/>
    <tableColumn id="1488" xr3:uid="{CE3F041E-E362-44D8-833C-73EAF562FF21}" name="Column1488"/>
    <tableColumn id="1489" xr3:uid="{AF584D80-0CA4-49BD-AA9A-A8BF99CDC2D3}" name="Column1489"/>
    <tableColumn id="1490" xr3:uid="{39E5311B-4309-4AFF-BD04-DBABD0064E84}" name="Column1490"/>
    <tableColumn id="1491" xr3:uid="{91DC3803-719B-431E-B69F-AF118D7185D4}" name="Column1491"/>
    <tableColumn id="1492" xr3:uid="{54324914-C4C6-427C-8D52-3D3B00D591CF}" name="Column1492"/>
    <tableColumn id="1493" xr3:uid="{456DF9E8-B0DF-44FA-A955-7CF2746BA345}" name="Column1493"/>
    <tableColumn id="1494" xr3:uid="{6B8003E3-636B-4C2D-9B4D-D2771E08B2C8}" name="Column1494"/>
    <tableColumn id="1495" xr3:uid="{ECC493A8-74A8-4E43-A946-1A5F5B08771E}" name="Column1495"/>
    <tableColumn id="1496" xr3:uid="{772BE664-7792-4D10-B491-0908CFB6EDAF}" name="Column1496"/>
    <tableColumn id="1497" xr3:uid="{2267FF2E-D564-44D5-BD03-94D212F31131}" name="Column1497"/>
    <tableColumn id="1498" xr3:uid="{1257525A-F630-4F85-A118-B659BD579357}" name="Column1498"/>
    <tableColumn id="1499" xr3:uid="{46B61D8B-83D1-4B4C-A9CB-2FBBDFFA17A0}" name="Column1499"/>
    <tableColumn id="1500" xr3:uid="{78C47606-CBA3-4C6F-8CAB-BBF36FA15516}" name="Column1500"/>
    <tableColumn id="1501" xr3:uid="{CB33E02E-6AC7-487F-AE61-FE9FDA5049E6}" name="Column1501"/>
    <tableColumn id="1502" xr3:uid="{A9CDF30A-08F9-47DE-8EE7-5331FB1B8753}" name="Column1502"/>
    <tableColumn id="1503" xr3:uid="{3EA79936-93D0-417D-B45F-EF98EC111616}" name="Column1503"/>
    <tableColumn id="1504" xr3:uid="{746699C2-18E9-4ED6-A93E-CBA4F883A1E7}" name="Column1504"/>
    <tableColumn id="1505" xr3:uid="{D9E6BC66-BC7C-4E7C-9861-F2FFAD8370B3}" name="Column1505"/>
    <tableColumn id="1506" xr3:uid="{CBF7C052-0799-4000-94A3-19119D1D60BD}" name="Column1506"/>
    <tableColumn id="1507" xr3:uid="{D8CAA645-CFD2-4494-8464-7E000BC44875}" name="Column1507"/>
    <tableColumn id="1508" xr3:uid="{4222CB8D-A75E-4271-89B4-66EB2D619AA8}" name="Column1508"/>
    <tableColumn id="1509" xr3:uid="{64BEF222-B6FB-43B5-94A7-79C1A6E25802}" name="Column1509"/>
    <tableColumn id="1510" xr3:uid="{59923909-F205-4975-807F-A632A4946278}" name="Column1510"/>
    <tableColumn id="1511" xr3:uid="{BFC1D00E-B304-4B6F-B55C-7F02D5BA00D2}" name="Column1511"/>
    <tableColumn id="1512" xr3:uid="{6A314E69-D8AD-4E0B-8A0E-CE5ECDE89187}" name="Column1512"/>
    <tableColumn id="1513" xr3:uid="{A4154E91-40CF-4BF5-B2ED-0B6147EC5092}" name="Column1513"/>
    <tableColumn id="1514" xr3:uid="{AA0E584A-3029-461E-9ACC-52719AE491AE}" name="Column1514"/>
    <tableColumn id="1515" xr3:uid="{D48075FD-89FE-4C6A-9E72-15D10E07986E}" name="Column1515"/>
    <tableColumn id="1516" xr3:uid="{68293752-8265-49FB-AA3A-E7653910B275}" name="Column1516"/>
    <tableColumn id="1517" xr3:uid="{455A6130-F5A2-49E7-8F8C-D91D3ABB4A19}" name="Column1517"/>
    <tableColumn id="1518" xr3:uid="{04FFE3AF-C331-4AC6-BB57-C1EAF4BD7753}" name="Column1518"/>
    <tableColumn id="1519" xr3:uid="{09B5355F-C9AA-4581-9434-513B1DD6EFE9}" name="Column1519"/>
    <tableColumn id="1520" xr3:uid="{48DF7E73-D415-4D1E-BED2-2D2C82EE3372}" name="Column1520"/>
    <tableColumn id="1521" xr3:uid="{4296F341-7C53-43A0-81F3-12F1BE577A3C}" name="Column1521"/>
    <tableColumn id="1522" xr3:uid="{B6ED518D-DA36-497F-86F0-CEBFB5A97B39}" name="Column1522"/>
    <tableColumn id="1523" xr3:uid="{685F258F-16BE-43ED-9DBE-02AC8910BD21}" name="Column1523"/>
    <tableColumn id="1524" xr3:uid="{F5285ACF-A939-40E1-86C8-EAB58FE27DAA}" name="Column1524"/>
    <tableColumn id="1525" xr3:uid="{5106B432-446A-4107-B476-FC553D5C5FDB}" name="Column1525"/>
    <tableColumn id="1526" xr3:uid="{4AFF7F0A-BCBC-4B64-9EC7-F135B764C260}" name="Column1526"/>
    <tableColumn id="1527" xr3:uid="{A8064455-3F65-4B52-A5A4-D8C0D9602EA7}" name="Column1527"/>
    <tableColumn id="1528" xr3:uid="{C3543274-7E79-4A46-A32F-BB049165F3C0}" name="Column1528"/>
    <tableColumn id="1529" xr3:uid="{79EBCF95-AFCC-469C-9178-FC69B4ABB542}" name="Column1529"/>
    <tableColumn id="1530" xr3:uid="{F9A27C26-519C-4155-A64E-C79E718E5A76}" name="Column1530"/>
    <tableColumn id="1531" xr3:uid="{1A381C04-A00A-4431-ABD1-1DE34D0D6C60}" name="Column1531"/>
    <tableColumn id="1532" xr3:uid="{C8BFBF1E-C94D-43BA-8070-71330B79EB94}" name="Column1532"/>
    <tableColumn id="1533" xr3:uid="{2DD303C4-7B9A-4900-8D12-27F9ED0CC838}" name="Column1533"/>
    <tableColumn id="1534" xr3:uid="{4E45FBA8-BAD0-4EE7-8BB4-DD6041831227}" name="Column1534"/>
    <tableColumn id="1535" xr3:uid="{567E0840-2EF7-4D11-A5B1-4DB8D604C5E2}" name="Column1535"/>
    <tableColumn id="1536" xr3:uid="{80C637FB-195E-42DF-AF4C-77D538A240A4}" name="Column1536"/>
    <tableColumn id="1537" xr3:uid="{8CB9F82B-6C60-41D8-812E-1F9C26C5FB3C}" name="Column1537"/>
    <tableColumn id="1538" xr3:uid="{B98978FC-E2A0-4453-AE09-556B732DC034}" name="Column1538"/>
    <tableColumn id="1539" xr3:uid="{6286CAC7-8BA8-4D14-B8FF-3D530915C757}" name="Column1539"/>
    <tableColumn id="1540" xr3:uid="{3F5514CE-8378-4580-991A-6A6CC5129B35}" name="Column1540"/>
    <tableColumn id="1541" xr3:uid="{3DAB3389-0D4B-4266-AA06-53C9EF46CEF0}" name="Column1541"/>
    <tableColumn id="1542" xr3:uid="{B4ADCC18-83C2-45C8-95EC-09CC9725216F}" name="Column1542"/>
    <tableColumn id="1543" xr3:uid="{F2F5DF29-18C6-4CC7-B2DD-BEB00D7A77D1}" name="Column1543"/>
    <tableColumn id="1544" xr3:uid="{5685FC32-E921-4F30-92AE-F1B63024785F}" name="Column1544"/>
    <tableColumn id="1545" xr3:uid="{E42D2109-29E2-411A-852C-E2DF10858B78}" name="Column1545"/>
    <tableColumn id="1546" xr3:uid="{DD6F561A-83C0-433D-AA12-BF7FD4520B63}" name="Column1546"/>
    <tableColumn id="1547" xr3:uid="{39CFCBC1-C54F-4457-9B71-2CFF00A13ACD}" name="Column1547"/>
    <tableColumn id="1548" xr3:uid="{86E91CE1-ABDB-45D2-AF69-E3CE0B389078}" name="Column1548"/>
    <tableColumn id="1549" xr3:uid="{75AA870D-E805-44EC-9951-50CD26857BE0}" name="Column1549"/>
    <tableColumn id="1550" xr3:uid="{AA0810EF-59F8-40D4-A896-3F8C370A8D27}" name="Column1550"/>
    <tableColumn id="1551" xr3:uid="{65CFA9F0-25E4-4891-9AEF-5701DD701B29}" name="Column1551"/>
    <tableColumn id="1552" xr3:uid="{E5ED408F-0063-4805-8BFA-06A1F6B30FA8}" name="Column1552"/>
    <tableColumn id="1553" xr3:uid="{97CF94B8-5C7A-4172-A1EF-197A5330C65D}" name="Column1553"/>
    <tableColumn id="1554" xr3:uid="{4A6C543C-F4A2-4FF6-AC13-0A8733984AF2}" name="Column1554"/>
    <tableColumn id="1555" xr3:uid="{FE9ACE87-B6DD-463F-978F-02896C186517}" name="Column1555"/>
    <tableColumn id="1556" xr3:uid="{61AA8044-E21D-444D-90B6-FE751F1AAE94}" name="Column1556"/>
    <tableColumn id="1557" xr3:uid="{67B6F649-23B1-4E8A-902A-E9C9FEFFBAE7}" name="Column1557"/>
    <tableColumn id="1558" xr3:uid="{86A9CD3B-5F67-4055-A7AF-46E4BFA68C08}" name="Column1558"/>
    <tableColumn id="1559" xr3:uid="{EFEA9DDE-E61C-49C7-B6C2-0FD7F4077DC1}" name="Column1559"/>
    <tableColumn id="1560" xr3:uid="{02C99ADA-8158-4363-865D-F3DA57A9B953}" name="Column1560"/>
    <tableColumn id="1561" xr3:uid="{0333344B-2D6E-4946-9476-D764159A671A}" name="Column1561"/>
    <tableColumn id="1562" xr3:uid="{CD228B84-17FB-495B-A617-6F2A7E1FDC8A}" name="Column1562"/>
    <tableColumn id="1563" xr3:uid="{DF4A42E2-C981-4F37-8D1D-7A269BFE4B26}" name="Column1563"/>
    <tableColumn id="1564" xr3:uid="{59FAC6DA-ADBA-4421-A2FA-85BBC3EA82B3}" name="Column1564"/>
    <tableColumn id="1565" xr3:uid="{44C5A855-C8D6-4F2A-8232-84C2A7C76B8F}" name="Column1565"/>
    <tableColumn id="1566" xr3:uid="{7F0BD201-0366-4FC9-8074-21AF8F98FD55}" name="Column1566"/>
    <tableColumn id="1567" xr3:uid="{BC993C74-50E9-409C-A378-C2A95758C99D}" name="Column1567"/>
    <tableColumn id="1568" xr3:uid="{E68D4A3C-7424-4905-BF65-D6FC70BAF358}" name="Column1568"/>
    <tableColumn id="1569" xr3:uid="{2EBEE02A-8F89-4F6B-B23E-F9F7B153E194}" name="Column1569"/>
    <tableColumn id="1570" xr3:uid="{919D9832-9B36-4B90-AC00-990E2DF0CE6A}" name="Column1570"/>
    <tableColumn id="1571" xr3:uid="{F6776473-1BFF-458C-9A43-5EE0923E5519}" name="Column1571"/>
    <tableColumn id="1572" xr3:uid="{22B883F6-D627-4E99-AAD0-CF35307D813F}" name="Column1572"/>
    <tableColumn id="1573" xr3:uid="{80466A23-F422-47BE-99B8-746B41AD7938}" name="Column1573"/>
    <tableColumn id="1574" xr3:uid="{0FA4AA79-2558-411C-B736-0661D9D61BC0}" name="Column1574"/>
    <tableColumn id="1575" xr3:uid="{961E43DA-C37E-42DD-937C-FAC864820499}" name="Column1575"/>
    <tableColumn id="1576" xr3:uid="{385440C3-ABAF-4CB7-89AD-DA1111063F88}" name="Column1576"/>
    <tableColumn id="1577" xr3:uid="{D99F7EC7-D1F4-4D04-B6A6-AC97822A5DD1}" name="Column1577"/>
    <tableColumn id="1578" xr3:uid="{E6523D04-7A67-435E-98CE-6FC9BFFC92DF}" name="Column1578"/>
    <tableColumn id="1579" xr3:uid="{480762A8-1101-48EB-95F1-241A084D8FBF}" name="Column1579"/>
    <tableColumn id="1580" xr3:uid="{DF05BAE8-F32E-4617-B634-A35315E8CE03}" name="Column1580"/>
    <tableColumn id="1581" xr3:uid="{2F8873A0-C310-48C8-A789-543621ABC9CD}" name="Column1581"/>
    <tableColumn id="1582" xr3:uid="{36EE9CC7-8CDF-475E-8BD0-C266C81D1C9C}" name="Column1582"/>
    <tableColumn id="1583" xr3:uid="{75E4DDDC-D62C-442C-95BA-E3851FC0E077}" name="Column1583"/>
    <tableColumn id="1584" xr3:uid="{6B4BDE54-5656-4908-AE52-AE5E3DF67D2D}" name="Column1584"/>
    <tableColumn id="1585" xr3:uid="{A50BC555-100C-42A8-B23D-02FA814A0A3C}" name="Column1585"/>
    <tableColumn id="1586" xr3:uid="{B8F741AD-42BC-4AC0-B941-D7E32B99192D}" name="Column1586"/>
    <tableColumn id="1587" xr3:uid="{6810AB80-7D76-49D7-8D7C-08C9A301EA26}" name="Column1587"/>
    <tableColumn id="1588" xr3:uid="{A15651E1-25A4-49ED-8F8A-526FCCCC06A9}" name="Column1588"/>
    <tableColumn id="1589" xr3:uid="{82EA5EBC-DFC9-427C-9A7C-EE5706AD0E45}" name="Column1589"/>
    <tableColumn id="1590" xr3:uid="{74FC2422-584F-496F-B7F3-B1ADC388CB38}" name="Column1590"/>
    <tableColumn id="1591" xr3:uid="{84167B13-4801-439F-A49B-1A910D72F6E2}" name="Column1591"/>
    <tableColumn id="1592" xr3:uid="{C24DBD81-CF80-4B50-90E4-7434C6A1580C}" name="Column1592"/>
    <tableColumn id="1593" xr3:uid="{F8A26EFE-BE96-482F-B5B0-091AE92F5155}" name="Column1593"/>
    <tableColumn id="1594" xr3:uid="{0826E310-1D56-4B68-8C50-4AF95B098928}" name="Column1594"/>
    <tableColumn id="1595" xr3:uid="{09758A75-6B69-4485-A491-6260D3FB5ABA}" name="Column1595"/>
    <tableColumn id="1596" xr3:uid="{D046687E-BA0A-4636-B7D8-885A86B86D31}" name="Column1596"/>
    <tableColumn id="1597" xr3:uid="{D5E01471-5584-48B0-8AE0-9455516589C5}" name="Column1597"/>
    <tableColumn id="1598" xr3:uid="{6E03DE0D-7BF4-417C-A888-697644172C46}" name="Column1598"/>
    <tableColumn id="1599" xr3:uid="{E18D8564-EE3D-4662-94A7-AFDDD75E83AD}" name="Column1599"/>
    <tableColumn id="1600" xr3:uid="{700A0335-CFA2-4E56-8CDF-CCE8920A7140}" name="Column1600"/>
    <tableColumn id="1601" xr3:uid="{503E78B1-E3F4-4953-A92F-7D4FAA8F664E}" name="Column1601"/>
    <tableColumn id="1602" xr3:uid="{DE6D504B-C4CC-40A7-BEDB-6F900A450C80}" name="Column1602"/>
    <tableColumn id="1603" xr3:uid="{203E866B-2D12-453E-992E-B5CE2CFAD838}" name="Column1603"/>
    <tableColumn id="1604" xr3:uid="{3089780F-C9AB-4560-AA46-947F21E7DA01}" name="Column1604"/>
    <tableColumn id="1605" xr3:uid="{52F04249-8AD1-437F-9449-36951BFD46F5}" name="Column1605"/>
    <tableColumn id="1606" xr3:uid="{F28AFCF3-1F46-4B38-91A3-22CE38B26CCB}" name="Column1606"/>
    <tableColumn id="1607" xr3:uid="{C10C8438-D3B5-4A18-A979-ED612319D602}" name="Column1607"/>
    <tableColumn id="1608" xr3:uid="{7E2896C6-4A31-400C-A0E8-A6C44122A8CD}" name="Column1608"/>
    <tableColumn id="1609" xr3:uid="{1E47B4F5-D106-4422-B5D3-419390F0CDFA}" name="Column1609"/>
    <tableColumn id="1610" xr3:uid="{7DD6FBCF-B6DD-4D41-871C-FC1F006BC1F8}" name="Column1610"/>
    <tableColumn id="1611" xr3:uid="{C67D981F-C76B-4A77-B403-6750D7A96473}" name="Column1611"/>
    <tableColumn id="1612" xr3:uid="{CCC9108A-A050-45B2-8070-B4DF8CF83E2C}" name="Column1612"/>
    <tableColumn id="1613" xr3:uid="{F33EAE22-BBF2-4577-BD88-22712DEDBDA5}" name="Column1613"/>
    <tableColumn id="1614" xr3:uid="{C6664EAE-7C8A-48C2-A0B2-4BA82BE800CA}" name="Column1614"/>
    <tableColumn id="1615" xr3:uid="{AB6CD0A2-7EE5-45C9-8BF9-95C3E91BD214}" name="Column1615"/>
    <tableColumn id="1616" xr3:uid="{344F89C8-8DAC-4701-BD85-5F2FD940696C}" name="Column1616"/>
    <tableColumn id="1617" xr3:uid="{27BC6385-671A-419F-BA58-2B8693B0E796}" name="Column1617"/>
    <tableColumn id="1618" xr3:uid="{9CDDA4B2-4765-4CA7-8A7E-41F6C3DB68B7}" name="Column1618"/>
    <tableColumn id="1619" xr3:uid="{3C8EBF7E-A38B-4B93-868D-148054A1D5B6}" name="Column1619"/>
    <tableColumn id="1620" xr3:uid="{EFD0AFB9-A9A9-4521-A14D-1BB0D043FB19}" name="Column1620"/>
    <tableColumn id="1621" xr3:uid="{D76E2143-FAD7-4F08-991C-C7B2B8DAB73B}" name="Column1621"/>
    <tableColumn id="1622" xr3:uid="{56D4B371-2BB4-4F66-8A20-99F040E36715}" name="Column1622"/>
    <tableColumn id="1623" xr3:uid="{486F2F85-F355-4AED-800F-A1E640A1075F}" name="Column1623"/>
    <tableColumn id="1624" xr3:uid="{7BE0AB97-E401-4D23-B9FB-012D94C00745}" name="Column1624"/>
    <tableColumn id="1625" xr3:uid="{3DD9D309-2047-4203-B3F1-1DE67CD327DB}" name="Column1625"/>
    <tableColumn id="1626" xr3:uid="{90663C4E-6E38-4AD1-8894-6387D299E4B0}" name="Column1626"/>
    <tableColumn id="1627" xr3:uid="{B5287E3A-C605-45FE-8BDF-2E463269A38C}" name="Column1627"/>
    <tableColumn id="1628" xr3:uid="{2DCFE9F9-6463-4B42-9D35-0249335905D9}" name="Column1628"/>
    <tableColumn id="1629" xr3:uid="{3C9CD3B7-89FE-4ACE-AAD4-2F26ED3BA93A}" name="Column1629"/>
    <tableColumn id="1630" xr3:uid="{61DE6E23-CB0D-4901-A215-9C3B7FD22604}" name="Column1630"/>
    <tableColumn id="1631" xr3:uid="{65D01673-BE87-4931-B574-EEB88BE54133}" name="Column1631"/>
    <tableColumn id="1632" xr3:uid="{2319E35D-4B83-4D42-9291-8B86AE4C3356}" name="Column1632"/>
    <tableColumn id="1633" xr3:uid="{0C5E55FC-57E2-413B-BA9C-4633FD474EDB}" name="Column1633"/>
    <tableColumn id="1634" xr3:uid="{2C41A64C-8599-4EEC-8CF3-65A41FF029B2}" name="Column1634"/>
    <tableColumn id="1635" xr3:uid="{379DE33D-BA13-4CF1-BAC0-256E20D03AD4}" name="Column1635"/>
    <tableColumn id="1636" xr3:uid="{05AD85C2-35DE-4A8A-9128-FB2D8CA8BF40}" name="Column1636"/>
    <tableColumn id="1637" xr3:uid="{674A43ED-E171-48E3-8B8C-075926B495F7}" name="Column1637"/>
    <tableColumn id="1638" xr3:uid="{754EA1B7-EB52-47BB-8121-9D5A7264C7E7}" name="Column1638"/>
    <tableColumn id="1639" xr3:uid="{D63F48BA-CA33-4512-A4B5-9BAACB71FDBE}" name="Column1639"/>
    <tableColumn id="1640" xr3:uid="{A9F08A24-9B02-49AB-BC4F-7996BEB4592A}" name="Column1640"/>
    <tableColumn id="1641" xr3:uid="{6E72DCE2-FBBC-493F-9CBE-D4ECA194A1E3}" name="Column1641"/>
    <tableColumn id="1642" xr3:uid="{7762F60A-8806-4952-BC85-480524800B26}" name="Column1642"/>
    <tableColumn id="1643" xr3:uid="{073C6ACD-F845-4848-BCF3-EB72BDD335F2}" name="Column1643"/>
    <tableColumn id="1644" xr3:uid="{F1397C13-97C6-4EF5-9F91-4C8C11E5BA9E}" name="Column1644"/>
    <tableColumn id="1645" xr3:uid="{486B5357-1A27-4780-B3B5-91D0E4AAE44F}" name="Column1645"/>
    <tableColumn id="1646" xr3:uid="{E65A5AE5-2406-4776-8BDB-9F809DD6E332}" name="Column1646"/>
    <tableColumn id="1647" xr3:uid="{7FCC1BD3-E9EC-40B9-97EE-E7A0EBF12B2A}" name="Column1647"/>
    <tableColumn id="1648" xr3:uid="{5E9A518D-BE1C-40C9-8EB8-467225EC0693}" name="Column1648"/>
    <tableColumn id="1649" xr3:uid="{0E25E19C-4FE0-4F9F-8CED-E8312C6B8013}" name="Column1649"/>
    <tableColumn id="1650" xr3:uid="{17028AE7-A7C7-4CA4-BF83-9CD03B8CC703}" name="Column1650"/>
    <tableColumn id="1651" xr3:uid="{7DDAE4A1-251D-4399-BE58-618810FFD03D}" name="Column1651"/>
    <tableColumn id="1652" xr3:uid="{D2413F48-74C6-403D-B8B7-267BF792ABBE}" name="Column1652"/>
    <tableColumn id="1653" xr3:uid="{3EAA6BB8-D197-4D18-9706-1FE0728D2A12}" name="Column1653"/>
    <tableColumn id="1654" xr3:uid="{DEF75ADF-470F-4E64-9788-1FF413F6C208}" name="Column1654"/>
    <tableColumn id="1655" xr3:uid="{C42D30A8-ADCE-4F65-B99F-DD3BEBCF8854}" name="Column1655"/>
    <tableColumn id="1656" xr3:uid="{9259F95C-CAD7-4DDC-A5AB-4BF545CEBED8}" name="Column1656"/>
    <tableColumn id="1657" xr3:uid="{BE198EAC-B2C0-4D23-9DA7-797EBD034A32}" name="Column1657"/>
    <tableColumn id="1658" xr3:uid="{BBB98BF2-BB4D-436A-B91E-C54E30E5D8A1}" name="Column1658"/>
    <tableColumn id="1659" xr3:uid="{A3655A96-22F4-4CA0-91A3-E11717EEFD85}" name="Column1659"/>
    <tableColumn id="1660" xr3:uid="{AE52B564-CA4B-4FAF-B851-0443DC631248}" name="Column1660"/>
    <tableColumn id="1661" xr3:uid="{1329D29B-4CBC-4D4F-B26C-8ADA9411C436}" name="Column1661"/>
    <tableColumn id="1662" xr3:uid="{5651EFC1-3E0B-4A9B-B804-A88BC8A3BCBD}" name="Column1662"/>
    <tableColumn id="1663" xr3:uid="{CB5646ED-E4D1-4F09-8394-81C12FD1A733}" name="Column1663"/>
    <tableColumn id="1664" xr3:uid="{0A5DC2A5-8EE5-4F3B-81E7-D7CB8CD72634}" name="Column1664"/>
    <tableColumn id="1665" xr3:uid="{AB4EC2F6-BD20-4381-B52B-A0D61D19F10F}" name="Column1665"/>
    <tableColumn id="1666" xr3:uid="{2B14DC43-AAC6-4A97-9F39-3EC205CC43A0}" name="Column1666"/>
    <tableColumn id="1667" xr3:uid="{32CBE768-B009-457A-A8C1-01DB57B8624C}" name="Column1667"/>
    <tableColumn id="1668" xr3:uid="{83BC9427-0AEE-4A61-8C2B-B1A9F77D95C7}" name="Column1668"/>
    <tableColumn id="1669" xr3:uid="{5FC5FD6A-8395-42CA-81DD-FBCCFEBA9DBF}" name="Column1669"/>
    <tableColumn id="1670" xr3:uid="{4445D307-2F66-4B56-84BC-74443C94CD89}" name="Column1670"/>
    <tableColumn id="1671" xr3:uid="{0E0826A9-1668-4E6A-BC5F-1B462FE5DB02}" name="Column1671"/>
    <tableColumn id="1672" xr3:uid="{C3E8FBCB-0BDC-4DC2-ADF3-3407BDE5D3B6}" name="Column1672"/>
    <tableColumn id="1673" xr3:uid="{175FD06C-7CFC-4EC5-8016-82A22690581B}" name="Column1673"/>
    <tableColumn id="1674" xr3:uid="{89A1044B-A553-487B-AF37-F8C2D30C904E}" name="Column1674"/>
    <tableColumn id="1675" xr3:uid="{0AB3686E-FDE4-4097-A5A4-46FF8EEAFA19}" name="Column1675"/>
    <tableColumn id="1676" xr3:uid="{A10549F4-4C22-4B07-9F58-3ABE489EF14D}" name="Column1676"/>
    <tableColumn id="1677" xr3:uid="{182E1397-135E-40D0-B4C3-7AB2D235D7E8}" name="Column1677"/>
    <tableColumn id="1678" xr3:uid="{4DE56449-9B45-4779-AB30-258D8544E13D}" name="Column1678"/>
    <tableColumn id="1679" xr3:uid="{BF1EACF6-5FF4-4035-90A2-6F7D46AA359D}" name="Column1679"/>
    <tableColumn id="1680" xr3:uid="{BCEB1C5F-01C6-45AE-A44A-5D3A6FF8E5D1}" name="Column1680"/>
    <tableColumn id="1681" xr3:uid="{B1BD28C2-B92C-48B0-AB17-B24007A9E605}" name="Column1681"/>
    <tableColumn id="1682" xr3:uid="{157591C6-F0D9-4FCA-80B2-7E39B8B6A917}" name="Column1682"/>
    <tableColumn id="1683" xr3:uid="{5850870A-0D9E-4D16-9561-F9DFAC6CB04C}" name="Column1683"/>
    <tableColumn id="1684" xr3:uid="{81B0341B-AA92-4B1B-836C-5F7524388111}" name="Column1684"/>
    <tableColumn id="1685" xr3:uid="{B2597361-1140-4CB8-9006-24038C3A2AA0}" name="Column1685"/>
    <tableColumn id="1686" xr3:uid="{D12A169E-CA54-4085-BBF2-7D766F3DF469}" name="Column1686"/>
    <tableColumn id="1687" xr3:uid="{12AA9111-B277-4A62-9E4F-8419B5D890E1}" name="Column1687"/>
    <tableColumn id="1688" xr3:uid="{31D69F71-4665-415C-9DAD-58F81EB5EE47}" name="Column1688"/>
    <tableColumn id="1689" xr3:uid="{7AD51871-6801-47E6-9801-0DADB8B027C8}" name="Column1689"/>
    <tableColumn id="1690" xr3:uid="{13CA59D1-69FB-49B5-AAB9-2BC35DE2ED63}" name="Column1690"/>
    <tableColumn id="1691" xr3:uid="{EF2F076A-5950-463D-9426-3A4761B7A605}" name="Column1691"/>
    <tableColumn id="1692" xr3:uid="{5BCA8512-4465-4722-8FD3-E9B63A910DE0}" name="Column1692"/>
    <tableColumn id="1693" xr3:uid="{956A8DC1-EAE4-4FA5-A3B3-69CFA47675E9}" name="Column1693"/>
    <tableColumn id="1694" xr3:uid="{7038C7F9-5B89-4AB4-8BE5-659E8295EC7F}" name="Column1694"/>
    <tableColumn id="1695" xr3:uid="{AEAA4CAA-C9BD-4DAE-ACFF-7DC14DBC7F58}" name="Column1695"/>
    <tableColumn id="1696" xr3:uid="{04B65270-451B-4770-B822-87781598B5E1}" name="Column1696"/>
    <tableColumn id="1697" xr3:uid="{305D5767-F7AA-4FD7-A952-99873F87B08C}" name="Column1697"/>
    <tableColumn id="1698" xr3:uid="{0630FAE9-F2ED-4722-A004-E7C722ABE769}" name="Column1698"/>
    <tableColumn id="1699" xr3:uid="{85B56242-B9BF-4E13-9351-22EB9F06C89C}" name="Column1699"/>
    <tableColumn id="1700" xr3:uid="{C8E30F71-72A5-462E-B18A-242FE680B752}" name="Column1700"/>
    <tableColumn id="1701" xr3:uid="{92FF029F-6037-446D-9BBF-DA7FBD363798}" name="Column1701"/>
    <tableColumn id="1702" xr3:uid="{64FDDB18-FB89-4713-822E-206E0C378BC4}" name="Column1702"/>
    <tableColumn id="1703" xr3:uid="{FCBE5BAD-7251-4A6F-95A1-24675C255AB7}" name="Column1703"/>
    <tableColumn id="1704" xr3:uid="{5BC9C176-0ECB-485B-8248-BF62E6AB8C7A}" name="Column1704"/>
    <tableColumn id="1705" xr3:uid="{0BE97C0C-6C39-4436-9F0A-BF7FA4F232C1}" name="Column1705"/>
    <tableColumn id="1706" xr3:uid="{5F6B2F45-2F9B-43E6-9567-B394F966BC4E}" name="Column1706"/>
    <tableColumn id="1707" xr3:uid="{F8F51AD7-1B31-4245-8EB9-089F7B3493B9}" name="Column1707"/>
    <tableColumn id="1708" xr3:uid="{8FCC5C5B-E56F-4F3D-A193-62A911D1CD67}" name="Column1708"/>
    <tableColumn id="1709" xr3:uid="{A2C3EC04-8EC1-4792-A29C-FB7B4955EBF7}" name="Column1709"/>
    <tableColumn id="1710" xr3:uid="{9827C0F5-E1FB-41C5-ADAF-7F7883C727A5}" name="Column1710"/>
    <tableColumn id="1711" xr3:uid="{529338A4-1461-46C6-B63A-EE8CFFC73219}" name="Column1711"/>
    <tableColumn id="1712" xr3:uid="{ADBB9902-1AA1-4630-A325-FE782DCBF414}" name="Column1712"/>
    <tableColumn id="1713" xr3:uid="{649FC933-CFA2-460F-BC04-E18B8A6E08A3}" name="Column1713"/>
    <tableColumn id="1714" xr3:uid="{CB57E670-7476-4A7E-AC63-3889FBA4420E}" name="Column1714"/>
    <tableColumn id="1715" xr3:uid="{05A6144F-F32A-4207-B8D8-08AFAF3CB9B3}" name="Column1715"/>
    <tableColumn id="1716" xr3:uid="{8485BA4B-124E-41BC-AA0F-3506B7C80881}" name="Column1716"/>
    <tableColumn id="1717" xr3:uid="{A016BB06-28EE-4131-82BA-0934C802A4DF}" name="Column1717"/>
    <tableColumn id="1718" xr3:uid="{805D0C3E-62ED-4C6D-B8E4-7DF0A43CF85F}" name="Column1718"/>
    <tableColumn id="1719" xr3:uid="{D3E8CE00-5C04-4190-BFF0-B94465EDA89E}" name="Column1719"/>
    <tableColumn id="1720" xr3:uid="{FEBC7E44-27E4-4B73-A519-1E859D4E1625}" name="Column1720"/>
    <tableColumn id="1721" xr3:uid="{C268F381-1E24-4722-8DF4-5B18A5DC51EC}" name="Column1721"/>
    <tableColumn id="1722" xr3:uid="{58CEC053-2574-4DC5-B8FF-81D3EF247711}" name="Column1722"/>
    <tableColumn id="1723" xr3:uid="{070CB4A8-70CE-4E2C-AA66-1E620F37B879}" name="Column1723"/>
    <tableColumn id="1724" xr3:uid="{A40B9761-BE58-45AC-81C8-A110A123C9D5}" name="Column1724"/>
    <tableColumn id="1725" xr3:uid="{06959077-B647-4553-A6F3-4767C72A1586}" name="Column1725"/>
    <tableColumn id="1726" xr3:uid="{5B3473A6-CFB6-4B0A-809E-FF0FE54A0DFB}" name="Column1726"/>
    <tableColumn id="1727" xr3:uid="{3FE095DD-33E4-4554-984F-C5D2C6FD55CE}" name="Column1727"/>
    <tableColumn id="1728" xr3:uid="{009F62B4-F95E-40E6-BAFD-BBDE09960DFC}" name="Column1728"/>
    <tableColumn id="1729" xr3:uid="{6F1E1782-3351-46DE-BAFD-D3AB5FC42970}" name="Column1729"/>
    <tableColumn id="1730" xr3:uid="{0E1E046F-0B45-45CA-918D-34CE9DED5629}" name="Column1730"/>
    <tableColumn id="1731" xr3:uid="{195F5B35-B8A3-4C33-B6D7-61ABE8606E8D}" name="Column1731"/>
    <tableColumn id="1732" xr3:uid="{5DD54B58-E2B5-454A-83A7-34491B094C03}" name="Column1732"/>
    <tableColumn id="1733" xr3:uid="{EDDA9511-A9C7-4DE6-B87A-45C021CE7692}" name="Column1733"/>
    <tableColumn id="1734" xr3:uid="{5E4DEB02-795A-4AA3-851D-BC600264B784}" name="Column1734"/>
    <tableColumn id="1735" xr3:uid="{39558631-A4D2-47A2-A1DE-68F48CA926E8}" name="Column1735"/>
    <tableColumn id="1736" xr3:uid="{9957BB90-EFF3-4487-851A-F8EE07157914}" name="Column1736"/>
    <tableColumn id="1737" xr3:uid="{ADC7712C-0209-4F87-88D7-CB7762E582B2}" name="Column1737"/>
    <tableColumn id="1738" xr3:uid="{389A67AD-849E-4834-A20E-99E62F2FD8DE}" name="Column1738"/>
    <tableColumn id="1739" xr3:uid="{23E88E98-2747-4FBB-8C79-2CCCACB8F0D2}" name="Column1739"/>
    <tableColumn id="1740" xr3:uid="{EB69DA4F-6DB1-4F41-92B4-2EAB8DAC60A6}" name="Column1740"/>
    <tableColumn id="1741" xr3:uid="{EC5DF72D-CBB9-4819-9263-8DFB39B445D2}" name="Column1741"/>
    <tableColumn id="1742" xr3:uid="{38F557A8-B87F-4292-833A-D91D959D58BC}" name="Column1742"/>
    <tableColumn id="1743" xr3:uid="{E2B74E7C-2711-416E-A2AC-90AF0FF30904}" name="Column1743"/>
    <tableColumn id="1744" xr3:uid="{C22FB2F3-16E1-49C5-B60E-AFDB36ED94D1}" name="Column1744"/>
    <tableColumn id="1745" xr3:uid="{8C1CC33D-7159-4112-8F8E-4EAB2267817F}" name="Column1745"/>
    <tableColumn id="1746" xr3:uid="{8CB5CAD2-07CD-4B19-BD53-AAD2F955F5EA}" name="Column1746"/>
    <tableColumn id="1747" xr3:uid="{7A1BB765-B5AD-41A9-A5A7-01432A2D0181}" name="Column1747"/>
    <tableColumn id="1748" xr3:uid="{B5581F56-EB00-42AE-82A6-3CA33A8CD091}" name="Column1748"/>
    <tableColumn id="1749" xr3:uid="{234DAB90-C796-4344-84B5-8B2DF928DD98}" name="Column1749"/>
    <tableColumn id="1750" xr3:uid="{BC868AC9-C0D8-4434-9D20-BD7E5AA1509F}" name="Column1750"/>
    <tableColumn id="1751" xr3:uid="{78CD6C17-70FC-4A82-A376-E79ED084828A}" name="Column1751"/>
    <tableColumn id="1752" xr3:uid="{9E2A14ED-A454-48DA-B3F8-2A855E9B275B}" name="Column1752"/>
    <tableColumn id="1753" xr3:uid="{A5AF4E8A-F020-4B87-AE6A-ECC7D219C918}" name="Column1753"/>
    <tableColumn id="1754" xr3:uid="{570569E4-726C-45B8-9790-F7402DF97E13}" name="Column1754"/>
    <tableColumn id="1755" xr3:uid="{954BEFDD-E5F0-4AA8-A761-A2A88DF376DC}" name="Column1755"/>
    <tableColumn id="1756" xr3:uid="{8B935A3B-A1A3-4BAE-9AF2-5F6345B50586}" name="Column1756"/>
    <tableColumn id="1757" xr3:uid="{E48AC2E7-BD74-4CB1-8989-17EE0F5F309D}" name="Column1757"/>
    <tableColumn id="1758" xr3:uid="{576E2E09-EEF4-40ED-8C25-21815A18E634}" name="Column1758"/>
    <tableColumn id="1759" xr3:uid="{85A29463-669F-4A09-9B99-9A2BBBC0A211}" name="Column1759"/>
    <tableColumn id="1760" xr3:uid="{3D464E5D-F944-4137-ACA9-4D128929E80E}" name="Column1760"/>
    <tableColumn id="1761" xr3:uid="{9AB774D9-0C53-41E8-98D5-323EECAFFAD6}" name="Column1761"/>
    <tableColumn id="1762" xr3:uid="{14EEDFC3-D7A2-49F8-956B-361C27D38830}" name="Column1762"/>
    <tableColumn id="1763" xr3:uid="{9C9F0D37-4196-4CF0-8EB6-3D6B3FAFA428}" name="Column1763"/>
    <tableColumn id="1764" xr3:uid="{5417D695-4F55-4D45-B366-76C975FFA6AD}" name="Column1764"/>
    <tableColumn id="1765" xr3:uid="{B447BD3E-C7AD-428C-9298-B4FA9D031261}" name="Column1765"/>
    <tableColumn id="1766" xr3:uid="{E9B1F330-D636-4AC6-819E-EC1BE9E41BFB}" name="Column1766"/>
    <tableColumn id="1767" xr3:uid="{A55A72BC-DA55-4144-9AEF-CFF7EB8204F6}" name="Column1767"/>
    <tableColumn id="1768" xr3:uid="{D873C40E-D926-466F-83AF-B3F04791A19B}" name="Column1768"/>
    <tableColumn id="1769" xr3:uid="{14C5745D-9AFC-44BA-A0EC-20B0E796C627}" name="Column1769"/>
    <tableColumn id="1770" xr3:uid="{2F3055DF-23EA-4843-BD47-54D491227FC8}" name="Column1770"/>
    <tableColumn id="1771" xr3:uid="{95CB9289-C86B-4DA2-B43A-04B95618D605}" name="Column1771"/>
    <tableColumn id="1772" xr3:uid="{6140977C-2635-48BD-A762-9DD31BC04881}" name="Column1772"/>
    <tableColumn id="1773" xr3:uid="{7C974CC3-7584-45AB-8A52-47E16CE50CC5}" name="Column1773"/>
    <tableColumn id="1774" xr3:uid="{BF21CF04-2489-4BC3-BEE2-E43F720BCF12}" name="Column1774"/>
    <tableColumn id="1775" xr3:uid="{2E798644-10D6-486D-81E0-7ECC72F37246}" name="Column1775"/>
    <tableColumn id="1776" xr3:uid="{2F74A4C9-7802-44AF-B525-5ED763A9FFC9}" name="Column1776"/>
    <tableColumn id="1777" xr3:uid="{FB285052-160B-45FF-8C3D-2B88F47D70CF}" name="Column1777"/>
    <tableColumn id="1778" xr3:uid="{470C77D8-5FDA-48ED-A61C-61128A90976D}" name="Column1778"/>
    <tableColumn id="1779" xr3:uid="{9486FFD2-5A49-4C7D-BCA0-20AC43990D01}" name="Column1779"/>
    <tableColumn id="1780" xr3:uid="{E69B1231-77DF-45A5-99CA-9E3E9F549AA2}" name="Column1780"/>
    <tableColumn id="1781" xr3:uid="{DF3C9A90-4340-4229-B416-4FC614918BDF}" name="Column1781"/>
    <tableColumn id="1782" xr3:uid="{5C531243-C120-4B66-B3DC-9DAE47581BC0}" name="Column1782"/>
    <tableColumn id="1783" xr3:uid="{FED9662A-3A10-4B6C-B87E-1860D2436D6B}" name="Column1783"/>
    <tableColumn id="1784" xr3:uid="{F58C379F-35C6-4C89-A956-6E9384161F1D}" name="Column1784"/>
    <tableColumn id="1785" xr3:uid="{3D574ED1-EF57-438F-B89E-7C0EBDCE47B6}" name="Column1785"/>
    <tableColumn id="1786" xr3:uid="{F53DC87A-8E4F-442C-B022-3EAA5C0A345A}" name="Column1786"/>
    <tableColumn id="1787" xr3:uid="{D665BBEE-F34C-4C80-A656-33491E5286CB}" name="Column1787"/>
    <tableColumn id="1788" xr3:uid="{6F7738A8-C1D4-4F27-8CC1-DC7633FE7592}" name="Column1788"/>
    <tableColumn id="1789" xr3:uid="{1F09B749-93DE-4E76-8FC2-19CD7A7962CB}" name="Column1789"/>
    <tableColumn id="1790" xr3:uid="{BF8CF681-0743-4964-9369-E5F6A338CE4C}" name="Column1790"/>
    <tableColumn id="1791" xr3:uid="{A1A2B803-A245-4EDB-AA24-D0A3E618C58A}" name="Column1791"/>
    <tableColumn id="1792" xr3:uid="{8FB64C66-AA21-4E52-912B-4939411CDD18}" name="Column1792"/>
    <tableColumn id="1793" xr3:uid="{3893C7B8-E135-46B8-999D-67671DAF0298}" name="Column1793"/>
    <tableColumn id="1794" xr3:uid="{EA0349A5-AE66-4595-9509-8DDAFA244034}" name="Column1794"/>
    <tableColumn id="1795" xr3:uid="{128470E8-9355-4521-9318-B685A8DFEADF}" name="Column1795"/>
    <tableColumn id="1796" xr3:uid="{DB7FC170-C056-4FBA-8002-B116016CCE65}" name="Column1796"/>
    <tableColumn id="1797" xr3:uid="{2BF0E07E-AFA2-4889-B331-C3C2C6D48FC5}" name="Column1797"/>
    <tableColumn id="1798" xr3:uid="{C5DECA85-DD2E-454D-AD4F-95527043403B}" name="Column1798"/>
    <tableColumn id="1799" xr3:uid="{F0144B1B-19E6-4259-B744-A83B102F1239}" name="Column1799"/>
    <tableColumn id="1800" xr3:uid="{B850EACF-B3FF-4CE2-B8BD-EED0A861A9CC}" name="Column1800"/>
    <tableColumn id="1801" xr3:uid="{68015D04-F15B-4823-BCDA-1A34E944539F}" name="Column1801"/>
    <tableColumn id="1802" xr3:uid="{B98DA228-0CCC-4ED7-9C19-435190ECE265}" name="Column1802"/>
    <tableColumn id="1803" xr3:uid="{BC089684-E0F8-45D0-A52C-424BD9DB5798}" name="Column1803"/>
    <tableColumn id="1804" xr3:uid="{8B0FE381-1B72-43B3-A758-E36150B22BE7}" name="Column1804"/>
    <tableColumn id="1805" xr3:uid="{0530E400-7AAB-487D-947B-DCD4CBBBCA96}" name="Column1805"/>
    <tableColumn id="1806" xr3:uid="{243671F1-2EB2-4BCE-AD72-6AD5387162D1}" name="Column1806"/>
    <tableColumn id="1807" xr3:uid="{ED8543A8-F6B9-450D-9E44-200743F19A8B}" name="Column1807"/>
    <tableColumn id="1808" xr3:uid="{1219AF24-3292-4C73-9B3D-D2173CA83AC0}" name="Column1808"/>
    <tableColumn id="1809" xr3:uid="{32E4D840-99FE-4620-AEBA-F5F5F290393A}" name="Column1809"/>
    <tableColumn id="1810" xr3:uid="{2CDDB901-951B-454D-8DD4-0A0FE57C8504}" name="Column1810"/>
    <tableColumn id="1811" xr3:uid="{51331C67-430E-491C-AA70-806A19BA2B44}" name="Column1811"/>
    <tableColumn id="1812" xr3:uid="{56854342-4800-4E10-9BFA-EC3F49A18413}" name="Column1812"/>
    <tableColumn id="1813" xr3:uid="{69E84502-D3F0-41FB-94F4-64CE998D2722}" name="Column1813"/>
    <tableColumn id="1814" xr3:uid="{95B3B3D7-85EE-4096-B491-99F3DC4843F0}" name="Column1814"/>
    <tableColumn id="1815" xr3:uid="{D0343432-5E32-4EF0-B272-8889387B3334}" name="Column1815"/>
    <tableColumn id="1816" xr3:uid="{EC43B2BA-F295-4D27-8A82-546958DC352B}" name="Column1816"/>
    <tableColumn id="1817" xr3:uid="{F811BE49-96D9-4117-9890-0237B4979437}" name="Column1817"/>
    <tableColumn id="1818" xr3:uid="{A1EE0E62-8577-45EF-BBD0-F644D0A31EC0}" name="Column1818"/>
    <tableColumn id="1819" xr3:uid="{412A5FA9-ACB5-471D-B2C6-02485E91576D}" name="Column1819"/>
    <tableColumn id="1820" xr3:uid="{ECA8B406-9D60-4835-A1B3-99E103416F0B}" name="Column1820"/>
    <tableColumn id="1821" xr3:uid="{F515DD86-5945-4EF0-8DD2-BC3C43C735AB}" name="Column1821"/>
    <tableColumn id="1822" xr3:uid="{312B3183-B795-4189-9D6B-13B394D8E78C}" name="Column1822"/>
    <tableColumn id="1823" xr3:uid="{DEE47157-254C-4374-BA17-43B33A334B31}" name="Column1823"/>
    <tableColumn id="1824" xr3:uid="{E807D526-C629-4974-918A-0455C2215B58}" name="Column1824"/>
    <tableColumn id="1825" xr3:uid="{79C1A43C-EA95-47FB-ABDB-DFAF65239D48}" name="Column1825"/>
    <tableColumn id="1826" xr3:uid="{C59587DB-F4E6-4856-8D14-E744CC647490}" name="Column1826"/>
    <tableColumn id="1827" xr3:uid="{4496F420-7714-442D-947B-2AAD306F2064}" name="Column1827"/>
    <tableColumn id="1828" xr3:uid="{4A707582-D546-4792-A9DA-780B26FDC6FA}" name="Column1828"/>
    <tableColumn id="1829" xr3:uid="{D614C2FF-B1F4-4A58-BBAE-E821BB5420E0}" name="Column1829"/>
    <tableColumn id="1830" xr3:uid="{51674F12-74C8-4571-BD3E-7957BC3B3D31}" name="Column1830"/>
    <tableColumn id="1831" xr3:uid="{E4CC05E6-A3EF-41D1-895B-68BB002059E0}" name="Column1831"/>
    <tableColumn id="1832" xr3:uid="{0DC79BEF-C4B5-448C-BEEE-5ADA3002642A}" name="Column1832"/>
    <tableColumn id="1833" xr3:uid="{4F9E8387-DA56-44DA-BF00-4CB4E106D99C}" name="Column1833"/>
    <tableColumn id="1834" xr3:uid="{5D9EFC2D-9077-4EC9-AAE7-630BBCF8C718}" name="Column1834"/>
    <tableColumn id="1835" xr3:uid="{E82DB16D-92CC-4A98-82D3-E7B10F834496}" name="Column1835"/>
    <tableColumn id="1836" xr3:uid="{6919F651-79D9-4FC0-8901-88BAD60A05B4}" name="Column1836"/>
    <tableColumn id="1837" xr3:uid="{F754F6AB-AF4B-458E-92A1-5D9A4B4451D4}" name="Column1837"/>
    <tableColumn id="1838" xr3:uid="{3DFDB479-FC12-43D1-BB27-FC451CBF0D9C}" name="Column1838"/>
    <tableColumn id="1839" xr3:uid="{F35CE2D8-CC36-4A60-ACE1-3C343CA0CE9B}" name="Column1839"/>
    <tableColumn id="1840" xr3:uid="{10EDF732-70FE-42CA-9154-C0CD456D9030}" name="Column1840"/>
    <tableColumn id="1841" xr3:uid="{4184458B-AAEF-4203-9FD5-41FE17EA847D}" name="Column1841"/>
    <tableColumn id="1842" xr3:uid="{B984BE37-FA1B-4F05-92C7-99D6BF6B415A}" name="Column1842"/>
    <tableColumn id="1843" xr3:uid="{9FF88855-3C81-426C-8D34-C27CA05C4002}" name="Column1843"/>
    <tableColumn id="1844" xr3:uid="{4629AD8E-7337-4823-A468-CA97E9122DA7}" name="Column1844"/>
    <tableColumn id="1845" xr3:uid="{D12D45F6-9F86-492E-A032-21B77E06066A}" name="Column1845"/>
    <tableColumn id="1846" xr3:uid="{223407D7-427A-40DC-9250-66082D7A3663}" name="Column1846"/>
    <tableColumn id="1847" xr3:uid="{5121B130-91FC-4895-86AC-244265C7D615}" name="Column1847"/>
    <tableColumn id="1848" xr3:uid="{A093CAA7-3985-4251-BC94-5CE882F43741}" name="Column1848"/>
    <tableColumn id="1849" xr3:uid="{833580E7-18FB-4E3F-B5D6-68A9B76862E8}" name="Column1849"/>
    <tableColumn id="1850" xr3:uid="{648500DF-BB56-44DE-99D1-22F9808D3802}" name="Column1850"/>
    <tableColumn id="1851" xr3:uid="{858E83AE-AB74-4F45-846F-2025B535671A}" name="Column1851"/>
    <tableColumn id="1852" xr3:uid="{411E8458-3A01-49A6-9459-00EAA737D7EA}" name="Column1852"/>
    <tableColumn id="1853" xr3:uid="{3E40CDA8-AD64-4AF0-8259-CFEABB747EE0}" name="Column1853"/>
    <tableColumn id="1854" xr3:uid="{DFA58176-49C8-401B-9348-9983291191CE}" name="Column1854"/>
    <tableColumn id="1855" xr3:uid="{D2155CAC-FDF2-4288-BD08-191812D5EEF3}" name="Column1855"/>
    <tableColumn id="1856" xr3:uid="{6431B40F-9E91-4211-98C4-32F3EAA08DB9}" name="Column1856"/>
    <tableColumn id="1857" xr3:uid="{8DCD0BC8-2169-49C6-8379-CDA4F3AEB42B}" name="Column1857"/>
    <tableColumn id="1858" xr3:uid="{22E252B1-88E5-4400-A3D1-22F995B7A82A}" name="Column1858"/>
    <tableColumn id="1859" xr3:uid="{E8123229-4903-4446-9406-B5CDFD24EB08}" name="Column1859"/>
    <tableColumn id="1860" xr3:uid="{FB175BA9-4ABB-4789-8CFF-30EA07DABCB5}" name="Column1860"/>
    <tableColumn id="1861" xr3:uid="{B410E005-E77B-4F75-BFAF-2A123FA13A75}" name="Column1861"/>
    <tableColumn id="1862" xr3:uid="{8CD2E5DD-1603-4C6E-A040-E0BFD65E62E9}" name="Column1862"/>
    <tableColumn id="1863" xr3:uid="{4EB32A93-3290-4866-8077-5D9878405A09}" name="Column1863"/>
    <tableColumn id="1864" xr3:uid="{467D09D2-6B12-423F-8C68-2424D5809761}" name="Column1864"/>
    <tableColumn id="1865" xr3:uid="{50B56128-CC63-49A6-B94C-9292EA1FA9D9}" name="Column1865"/>
    <tableColumn id="1866" xr3:uid="{BFF520FF-9F70-4F3F-AF97-34D96188FA23}" name="Column1866"/>
    <tableColumn id="1867" xr3:uid="{983C900F-9C2C-46F1-9D31-61F64E0B60E0}" name="Column1867"/>
    <tableColumn id="1868" xr3:uid="{EB4638C4-A1CC-4382-B853-5355B781D2D2}" name="Column1868"/>
    <tableColumn id="1869" xr3:uid="{75488317-976F-4084-9BF7-44D2DEB64A61}" name="Column1869"/>
    <tableColumn id="1870" xr3:uid="{ADE21C4E-94D9-4DB7-8F73-F08AAF645A1A}" name="Column1870"/>
    <tableColumn id="1871" xr3:uid="{A0CDEDDB-6B99-4544-948E-2707F8B0CA00}" name="Column1871"/>
    <tableColumn id="1872" xr3:uid="{8C228127-101F-435C-8B5F-883ED3055CDC}" name="Column1872"/>
    <tableColumn id="1873" xr3:uid="{6831AB26-24D8-4E00-A4CC-AF4F552FD92E}" name="Column1873"/>
    <tableColumn id="1874" xr3:uid="{13551E12-2582-471D-9A35-8EEE302EBC55}" name="Column1874"/>
    <tableColumn id="1875" xr3:uid="{6B029EA5-5FC8-48E7-8AFE-3AF43FC95EF9}" name="Column1875"/>
    <tableColumn id="1876" xr3:uid="{C435C871-1B92-405F-B67B-943C8ABF0336}" name="Column1876"/>
    <tableColumn id="1877" xr3:uid="{9A2735A2-3910-4C44-A598-4ED11FB67B8E}" name="Column1877"/>
    <tableColumn id="1878" xr3:uid="{10704EDF-7B3E-4D98-811D-118E9DFAD618}" name="Column1878"/>
    <tableColumn id="1879" xr3:uid="{EAD6424B-9B38-42C8-9DC0-D5F287A150D3}" name="Column1879"/>
    <tableColumn id="1880" xr3:uid="{47E0DCA8-CBE8-4FDF-BD6F-327D3A9B85E5}" name="Column1880"/>
    <tableColumn id="1881" xr3:uid="{5CA1825C-CA7B-4C9C-90DD-CB51AACBB855}" name="Column1881"/>
    <tableColumn id="1882" xr3:uid="{F3A47460-719B-4CAD-B12C-9B08D8F645CE}" name="Column1882"/>
    <tableColumn id="1883" xr3:uid="{D1AF8D4C-2C69-4FA2-ACBB-1A9E5F5AC9D4}" name="Column1883"/>
    <tableColumn id="1884" xr3:uid="{F6CB9F99-3004-4B6B-8554-9D4C9D681085}" name="Column1884"/>
    <tableColumn id="1885" xr3:uid="{9180F0E0-1D54-423C-9EF2-D94170D1E776}" name="Column1885"/>
    <tableColumn id="1886" xr3:uid="{7850A3A1-F1A2-4609-A30C-7A36ABE0E01D}" name="Column1886"/>
    <tableColumn id="1887" xr3:uid="{6C027A24-485E-45F2-A3CE-8692D10ADB10}" name="Column1887"/>
    <tableColumn id="1888" xr3:uid="{9AE497E1-7487-4C53-91AD-30124E0357C1}" name="Column1888"/>
    <tableColumn id="1889" xr3:uid="{FAEF6CD8-F8D4-4E67-A738-0A556BC43E9B}" name="Column1889"/>
    <tableColumn id="1890" xr3:uid="{117D3399-05F5-4994-8557-00B339E381F9}" name="Column1890"/>
    <tableColumn id="1891" xr3:uid="{0DA77B36-3F44-4FFF-A454-8538A4E3B2A6}" name="Column1891"/>
    <tableColumn id="1892" xr3:uid="{CDD56EAA-A3DA-4289-B914-3C2711C9E6D7}" name="Column1892"/>
    <tableColumn id="1893" xr3:uid="{5275AD0F-985F-40DD-880E-6B53ED86C1AC}" name="Column1893"/>
    <tableColumn id="1894" xr3:uid="{5275B9ED-78ED-4771-BEAE-4C5847E0F7CC}" name="Column1894"/>
    <tableColumn id="1895" xr3:uid="{E818E9D0-6C03-4F90-8907-7DF1311F9AE5}" name="Column1895"/>
    <tableColumn id="1896" xr3:uid="{054E23AE-E01B-4FE3-AF96-74EDA0237662}" name="Column1896"/>
    <tableColumn id="1897" xr3:uid="{1F659EAF-5066-4CF0-A11E-A20F57BEBAAD}" name="Column1897"/>
    <tableColumn id="1898" xr3:uid="{8AA103AE-490A-458C-875A-4EB31D7C09AA}" name="Column1898"/>
    <tableColumn id="1899" xr3:uid="{AD3E84EA-6A65-41FC-9618-08687509FE8F}" name="Column1899"/>
    <tableColumn id="1900" xr3:uid="{965CE756-FFA4-4E14-A86E-098471BAE7E3}" name="Column1900"/>
    <tableColumn id="1901" xr3:uid="{C0134B84-D138-418E-9E1F-DB5A124B75FF}" name="Column1901"/>
    <tableColumn id="1902" xr3:uid="{8FB5D269-2F47-4891-A24F-471B18C8D243}" name="Column1902"/>
    <tableColumn id="1903" xr3:uid="{0427193F-C38A-4377-9979-AD7202E9890A}" name="Column1903"/>
    <tableColumn id="1904" xr3:uid="{439B1D7E-B7C3-4BC4-A289-89CD4F5B4605}" name="Column1904"/>
    <tableColumn id="1905" xr3:uid="{3076E660-895D-4DEE-8689-833A126EEF15}" name="Column1905"/>
    <tableColumn id="1906" xr3:uid="{09A7BB86-5ECB-40C6-9844-B4C46D75F03A}" name="Column1906"/>
    <tableColumn id="1907" xr3:uid="{F3703162-C96F-4DE4-86E9-1C0FF4D5A53D}" name="Column1907"/>
    <tableColumn id="1908" xr3:uid="{09F911B1-732F-4DA8-A8FE-58DA9202C257}" name="Column1908"/>
    <tableColumn id="1909" xr3:uid="{08CCF702-6AEC-45FC-B2C2-3A134A18DD13}" name="Column1909"/>
    <tableColumn id="1910" xr3:uid="{AFD3E3AE-902D-4947-AB29-F45E5E24A384}" name="Column1910"/>
    <tableColumn id="1911" xr3:uid="{C6F54E40-52C3-49C4-9528-66A2D4F153CE}" name="Column1911"/>
    <tableColumn id="1912" xr3:uid="{8971632A-23FE-4A94-837A-C700A616BFCF}" name="Column1912"/>
    <tableColumn id="1913" xr3:uid="{4F954BDC-279F-4C09-BFFB-FA6A015D566B}" name="Column1913"/>
    <tableColumn id="1914" xr3:uid="{A5E645E4-72BF-421A-BA95-3A10F1950C80}" name="Column1914"/>
    <tableColumn id="1915" xr3:uid="{260F29CA-42C0-4D66-91EA-FBF1C279EED3}" name="Column1915"/>
    <tableColumn id="1916" xr3:uid="{DE236F3C-F908-44D6-9E86-CAAAA13B1B02}" name="Column1916"/>
    <tableColumn id="1917" xr3:uid="{DB4B69EB-9625-404C-9699-E41B221CFADA}" name="Column1917"/>
    <tableColumn id="1918" xr3:uid="{CC3FCD9F-BF57-423A-B6EB-412F5444B240}" name="Column1918"/>
    <tableColumn id="1919" xr3:uid="{A6EA2BCA-4EDE-4A6A-9929-9FC9B05BA3E1}" name="Column1919"/>
    <tableColumn id="1920" xr3:uid="{0DF07ADF-59A2-4253-81C9-26042F31F9CD}" name="Column1920"/>
    <tableColumn id="1921" xr3:uid="{B1D2DDAB-71AD-4C5A-B344-D2164F5C3E99}" name="Column1921"/>
    <tableColumn id="1922" xr3:uid="{473F5FBB-D05B-424C-AF3D-40B16AB78F5C}" name="Column1922"/>
    <tableColumn id="1923" xr3:uid="{828F52A7-FD6A-41FE-A584-16EE69DEB77F}" name="Column1923"/>
    <tableColumn id="1924" xr3:uid="{F58C465C-6D51-4946-9F50-2BF2E26C1756}" name="Column1924"/>
    <tableColumn id="1925" xr3:uid="{CB015AB6-CB32-4968-9D7C-C4630D3DC0D7}" name="Column1925"/>
    <tableColumn id="1926" xr3:uid="{40BA06B0-9A69-4B34-ACCF-CB3F3F037D52}" name="Column1926"/>
    <tableColumn id="1927" xr3:uid="{82AB1AA6-7EF1-476C-9E99-81CEE293A6FF}" name="Column1927"/>
    <tableColumn id="1928" xr3:uid="{1D95AAEF-923F-4D52-BC91-DFA0E9688D91}" name="Column1928"/>
    <tableColumn id="1929" xr3:uid="{1C1B3615-9666-4464-A84C-4227E45284AC}" name="Column1929"/>
    <tableColumn id="1930" xr3:uid="{5D6023C0-01B8-4C4A-83A5-A0864819BA4C}" name="Column1930"/>
    <tableColumn id="1931" xr3:uid="{E2006597-0104-4AA8-93AE-E6594D07FD70}" name="Column1931"/>
    <tableColumn id="1932" xr3:uid="{460544F0-CD1C-4A03-82B2-48AD5792C37E}" name="Column1932"/>
    <tableColumn id="1933" xr3:uid="{34EA2617-0DAC-4124-8120-2715987F1046}" name="Column1933"/>
    <tableColumn id="1934" xr3:uid="{40E4C530-9C39-422B-BE50-6B9FC30D929A}" name="Column1934"/>
    <tableColumn id="1935" xr3:uid="{CA518359-DD3A-457C-A55F-5FCF9B301A36}" name="Column1935"/>
    <tableColumn id="1936" xr3:uid="{2007491A-7983-4012-8EEE-7B1F4DB8193E}" name="Column1936"/>
    <tableColumn id="1937" xr3:uid="{7663ADCA-3C17-43E2-A669-BDB6BBAC96BD}" name="Column1937"/>
    <tableColumn id="1938" xr3:uid="{32F0D3CC-DE8B-452C-9735-3947EE74592C}" name="Column1938"/>
    <tableColumn id="1939" xr3:uid="{CB63CC65-D396-4C9B-A2A3-B1B7B5C68B3D}" name="Column1939"/>
    <tableColumn id="1940" xr3:uid="{069247E9-5A48-4FA6-93BD-5A853B26E623}" name="Column1940"/>
    <tableColumn id="1941" xr3:uid="{611136F4-EE6A-459C-8172-6AB552D3B05C}" name="Column1941"/>
    <tableColumn id="1942" xr3:uid="{56141907-32CD-4C8F-AAB1-569D0CFEF587}" name="Column1942"/>
    <tableColumn id="1943" xr3:uid="{83C00703-8A7C-458F-B6CD-C7EA96FD6B11}" name="Column1943"/>
    <tableColumn id="1944" xr3:uid="{C5F898F7-0DB9-4BD7-8BC2-D08F7E9F8963}" name="Column1944"/>
    <tableColumn id="1945" xr3:uid="{13B57D2A-B276-49EE-AB28-6A57F80B0668}" name="Column1945"/>
    <tableColumn id="1946" xr3:uid="{3E44EFF3-FAC9-43C7-A313-DA12F97F844D}" name="Column1946"/>
    <tableColumn id="1947" xr3:uid="{EDD487FE-2CBC-4913-911A-46F2B8E102B0}" name="Column1947"/>
    <tableColumn id="1948" xr3:uid="{18CD4B63-C390-4DD3-9C5B-B0F8D71A82CB}" name="Column1948"/>
    <tableColumn id="1949" xr3:uid="{A7AE693C-C212-46B7-8BBA-15CB474F15BB}" name="Column1949"/>
    <tableColumn id="1950" xr3:uid="{CC091D51-B73D-4031-A7C2-43F226B38048}" name="Column1950"/>
    <tableColumn id="1951" xr3:uid="{791C4F59-19C8-4B58-9456-3514A7D1A345}" name="Column1951"/>
    <tableColumn id="1952" xr3:uid="{ED0791A1-6259-4C38-8562-A6E5C7139017}" name="Column1952"/>
    <tableColumn id="1953" xr3:uid="{C9F1761E-42D4-4A8C-98FA-64B6AC5E1106}" name="Column1953"/>
    <tableColumn id="1954" xr3:uid="{65BB8444-2BE8-4584-A5D0-EAB9A1412178}" name="Column1954"/>
    <tableColumn id="1955" xr3:uid="{DBBBC455-6E3E-4450-AA13-BFAD15A975F0}" name="Column1955"/>
    <tableColumn id="1956" xr3:uid="{8A9F8FA2-0B06-47AF-90AD-0B6FB031A111}" name="Column1956"/>
    <tableColumn id="1957" xr3:uid="{E31F622A-2D05-4297-A406-F75F89788FD8}" name="Column1957"/>
    <tableColumn id="1958" xr3:uid="{19E1F6CE-36D3-4BCA-8E3B-6E63FED64F7A}" name="Column1958"/>
    <tableColumn id="1959" xr3:uid="{EE2EE022-8C1C-46FF-98FC-FD18AF778B22}" name="Column1959"/>
    <tableColumn id="1960" xr3:uid="{BEBAA30C-97F8-4609-9918-792D5E497508}" name="Column1960"/>
    <tableColumn id="1961" xr3:uid="{80C50B1F-F5E4-4D82-A287-DBC2DD55E290}" name="Column1961"/>
    <tableColumn id="1962" xr3:uid="{1838620B-AB77-4E01-BF20-8344F820A65B}" name="Column1962"/>
    <tableColumn id="1963" xr3:uid="{C3B3F4DD-5810-485E-9C6A-BA7594753BE4}" name="Column1963"/>
    <tableColumn id="1964" xr3:uid="{FD098A8B-3F7A-47E4-8AFD-5AC98932EA47}" name="Column1964"/>
    <tableColumn id="1965" xr3:uid="{B07F33E8-2E12-4CE1-984F-7C103D754F67}" name="Column1965"/>
    <tableColumn id="1966" xr3:uid="{6CD3B3F1-8E75-40A3-A729-0316E448E519}" name="Column1966"/>
    <tableColumn id="1967" xr3:uid="{8F24FC8B-B4D6-44A7-916A-A031A91D3A36}" name="Column1967"/>
    <tableColumn id="1968" xr3:uid="{ED07FF89-5CC8-4E3A-843A-7CD9F3E4E041}" name="Column1968"/>
    <tableColumn id="1969" xr3:uid="{F5F24556-90D0-418C-BC40-80C29BA2063A}" name="Column1969"/>
    <tableColumn id="1970" xr3:uid="{3F533109-48BA-45A8-A730-326E30BE8F1A}" name="Column1970"/>
    <tableColumn id="1971" xr3:uid="{447C244E-201A-452F-BF3B-18A1B826A68C}" name="Column1971"/>
    <tableColumn id="1972" xr3:uid="{EBD08370-B684-49E0-8B57-A13819833F75}" name="Column1972"/>
    <tableColumn id="1973" xr3:uid="{B2B77750-F215-40C6-8F74-DE128D151948}" name="Column1973"/>
    <tableColumn id="1974" xr3:uid="{CC313D50-8F5C-4737-91CB-0A6BF93F4638}" name="Column1974"/>
    <tableColumn id="1975" xr3:uid="{12331E3D-ED34-46F5-A792-FDF07553DBA6}" name="Column1975"/>
    <tableColumn id="1976" xr3:uid="{2F09D175-4DA5-40DD-8DB8-E0FEB8DA1980}" name="Column1976"/>
    <tableColumn id="1977" xr3:uid="{6AFF4D7F-2009-4048-9E8E-EDDCC4B18EF4}" name="Column1977"/>
    <tableColumn id="1978" xr3:uid="{75BB7A9E-0D3D-43F0-95EF-40F04EB13410}" name="Column1978"/>
    <tableColumn id="1979" xr3:uid="{6C326B60-2C57-48BE-9AC7-ABE8079F9DE1}" name="Column1979"/>
    <tableColumn id="1980" xr3:uid="{CA504207-82AC-4F55-BD98-419481798A79}" name="Column1980"/>
    <tableColumn id="1981" xr3:uid="{1F26F09F-6683-4DBA-8F40-DFF8E8715E5A}" name="Column1981"/>
    <tableColumn id="1982" xr3:uid="{272BFDEB-C587-46FE-B978-568ECAA13D56}" name="Column1982"/>
    <tableColumn id="1983" xr3:uid="{C1AD59F5-2ADF-4172-82D7-C4F4CD989D09}" name="Column1983"/>
    <tableColumn id="1984" xr3:uid="{69D57C82-C8E3-4E87-9922-89F8DEA546A1}" name="Column1984"/>
    <tableColumn id="1985" xr3:uid="{3035EACE-B243-4C9A-9681-3DBC184FCCE8}" name="Column1985"/>
    <tableColumn id="1986" xr3:uid="{6ED09F80-5C7B-4F4A-AB6C-FC6420F83EAB}" name="Column1986"/>
    <tableColumn id="1987" xr3:uid="{B36D5833-59C2-46F8-ABB9-E7388437EADA}" name="Column1987"/>
    <tableColumn id="1988" xr3:uid="{B64343CD-BBDC-4AA5-AC70-D9006917D4F4}" name="Column1988"/>
    <tableColumn id="1989" xr3:uid="{2ACC0E89-FF8C-40A0-AD03-27247C8F719E}" name="Column1989"/>
    <tableColumn id="1990" xr3:uid="{9341F87B-F70A-49D1-944E-CE4D00D42E21}" name="Column1990"/>
    <tableColumn id="1991" xr3:uid="{58A9BF94-DF4F-4693-A237-5D8D246E15C3}" name="Column1991"/>
    <tableColumn id="1992" xr3:uid="{5218C2D0-00A2-4B79-B484-A103E744FCEB}" name="Column1992"/>
    <tableColumn id="1993" xr3:uid="{3D898E55-A51A-403B-AB3C-4E29564327C9}" name="Column1993"/>
    <tableColumn id="1994" xr3:uid="{AED11F6E-6ABA-4707-91BD-FAB1FCB6370B}" name="Column1994"/>
    <tableColumn id="1995" xr3:uid="{8E2A7A27-C928-4B70-9161-4D4CB59B3A35}" name="Column1995"/>
    <tableColumn id="1996" xr3:uid="{2350642F-93E9-4932-8C73-983079E4A98D}" name="Column1996"/>
    <tableColumn id="1997" xr3:uid="{FDFC49BE-E5BF-4EBD-9DAA-BD315362DFE5}" name="Column1997"/>
    <tableColumn id="1998" xr3:uid="{98AB4C07-18FB-4B47-B95E-D678AA5D4991}" name="Column1998"/>
    <tableColumn id="1999" xr3:uid="{9B9EE889-E805-4065-93B9-65ED711223CC}" name="Column1999"/>
    <tableColumn id="2000" xr3:uid="{C31034C0-ECAF-4205-AEED-0B0E165C9E6B}" name="Column2000"/>
    <tableColumn id="2001" xr3:uid="{CE9FE9B9-B3F6-4ECB-B5A5-1EBED025F846}" name="Column2001"/>
    <tableColumn id="2002" xr3:uid="{E0B767E4-8B2D-4CDC-A1C1-4663A195CC34}" name="Column2002"/>
    <tableColumn id="2003" xr3:uid="{AC6CDAC1-5075-42F4-98F7-499782246989}" name="Column2003"/>
    <tableColumn id="2004" xr3:uid="{02AF29FD-05A6-45A9-BBC1-237415C2A5B1}" name="Column2004"/>
    <tableColumn id="2005" xr3:uid="{B7D8A10A-5D3D-4764-A516-F3AF8F72E5B6}" name="Column2005"/>
    <tableColumn id="2006" xr3:uid="{93524FB8-2074-4C4F-A931-6829D443C53C}" name="Column2006"/>
    <tableColumn id="2007" xr3:uid="{DE692C6B-12CC-442E-9EE2-AE87DD6DD0CA}" name="Column2007"/>
    <tableColumn id="2008" xr3:uid="{68633C17-9080-41DA-880F-8028274319CB}" name="Column2008"/>
    <tableColumn id="2009" xr3:uid="{2101AC6C-8864-4651-89C2-58C6794B5673}" name="Column2009"/>
    <tableColumn id="2010" xr3:uid="{92CB04B8-5EE3-4A14-ACB8-F4ABDA1773BD}" name="Column2010"/>
    <tableColumn id="2011" xr3:uid="{3286D488-6B06-45FE-87D1-E3E7C78A23DC}" name="Column2011"/>
    <tableColumn id="2012" xr3:uid="{7FB69514-66A1-4AF1-9D0B-2BB7CEEC72E6}" name="Column2012"/>
    <tableColumn id="2013" xr3:uid="{4C878778-2CE4-4F53-84B2-8E18595E00BE}" name="Column2013"/>
    <tableColumn id="2014" xr3:uid="{51F5E993-A82C-4D8A-B4D5-82C71BCD5461}" name="Column2014"/>
    <tableColumn id="2015" xr3:uid="{E57F8A72-51C8-48BA-8416-192C4E353784}" name="Column2015"/>
    <tableColumn id="2016" xr3:uid="{1ADB2F5C-1E01-4FA9-9849-145C718554B2}" name="Column2016"/>
    <tableColumn id="2017" xr3:uid="{3F0AAC56-1606-4EBE-AA8D-10868CB081BF}" name="Column2017"/>
    <tableColumn id="2018" xr3:uid="{57B16244-C046-45D3-B281-F9267D47436F}" name="Column2018"/>
    <tableColumn id="2019" xr3:uid="{3C4B20BE-F026-46E9-BB28-2F385C7CE7DD}" name="Column2019"/>
    <tableColumn id="2020" xr3:uid="{5DE143E6-25C0-47D9-847D-C6E00F787AE2}" name="Column2020"/>
    <tableColumn id="2021" xr3:uid="{D5D206F7-BB08-4F53-B894-6EE1B236F1B4}" name="Column2021"/>
    <tableColumn id="2022" xr3:uid="{23C4FDFA-CE8D-46C8-8994-F4104C3BA9B0}" name="Column2022"/>
    <tableColumn id="2023" xr3:uid="{4C3DD968-9119-4B92-BFF7-656EFC41AD40}" name="Column2023"/>
    <tableColumn id="2024" xr3:uid="{3DB6E605-2A4B-489F-A65C-30310A911863}" name="Column2024"/>
    <tableColumn id="2025" xr3:uid="{3B58DA67-427F-46DB-862F-60EFD472E577}" name="Column2025"/>
    <tableColumn id="2026" xr3:uid="{47B9CAE6-488F-4229-A2D8-36D59EAD5972}" name="Column2026"/>
    <tableColumn id="2027" xr3:uid="{3A3B457D-45AB-441E-AD13-AA0DBE72219E}" name="Column2027"/>
    <tableColumn id="2028" xr3:uid="{AD67B2E3-B350-4FF6-B938-934DAE74B47B}" name="Column2028"/>
    <tableColumn id="2029" xr3:uid="{72827D05-B635-44FB-81A8-C00F193641D6}" name="Column2029"/>
    <tableColumn id="2030" xr3:uid="{70962A93-3151-45D8-80B8-2917E113C0E9}" name="Column2030"/>
    <tableColumn id="2031" xr3:uid="{25C8C14B-C435-4D83-B278-00715BACAFFD}" name="Column2031"/>
    <tableColumn id="2032" xr3:uid="{7A21FA83-33C6-459F-834A-20E123832879}" name="Column2032"/>
    <tableColumn id="2033" xr3:uid="{954294B8-2E43-433E-AA26-5B07CD4DC477}" name="Column2033"/>
    <tableColumn id="2034" xr3:uid="{6ED98327-9EA9-4830-A613-77ED53033BCF}" name="Column2034"/>
    <tableColumn id="2035" xr3:uid="{85A09151-ED59-4EBA-9144-95CFC9A55E4C}" name="Column2035"/>
    <tableColumn id="2036" xr3:uid="{432C3698-1CCC-4D8A-AB85-CDB3E11E1C64}" name="Column2036"/>
    <tableColumn id="2037" xr3:uid="{76B437E4-23DC-420C-BE2A-6B1729D8CDE1}" name="Column2037"/>
    <tableColumn id="2038" xr3:uid="{7CB852AC-95E3-417A-A628-5C0D68358BAE}" name="Column2038"/>
    <tableColumn id="2039" xr3:uid="{AB84399C-A1DA-4B78-BED9-44FCEDA53800}" name="Column2039"/>
    <tableColumn id="2040" xr3:uid="{08E05D2C-8727-4DEF-9528-87C2A74F3910}" name="Column2040"/>
    <tableColumn id="2041" xr3:uid="{45F23F30-13C0-4E3A-94C4-434BE81F6DF8}" name="Column2041"/>
    <tableColumn id="2042" xr3:uid="{0E988A42-F453-4B6D-84BD-C77A49C898D2}" name="Column2042"/>
    <tableColumn id="2043" xr3:uid="{DDC33CE7-8410-4284-8DE7-AC3E4B336D52}" name="Column2043"/>
    <tableColumn id="2044" xr3:uid="{8EACDB43-2216-4C00-8EBA-94D5AC7D819E}" name="Column2044"/>
    <tableColumn id="2045" xr3:uid="{8F800CF7-1BC8-4D0F-8F18-85356581D580}" name="Column2045"/>
    <tableColumn id="2046" xr3:uid="{64FE9144-7FDB-4D2B-8292-956C512896FC}" name="Column2046"/>
    <tableColumn id="2047" xr3:uid="{6EB02551-B838-498E-A15E-8D7BDD744CA9}" name="Column2047"/>
    <tableColumn id="2048" xr3:uid="{6B79B91A-737E-4B81-913A-0861A0137922}" name="Column2048"/>
    <tableColumn id="2049" xr3:uid="{9D8DB752-4532-48C6-AB90-930876BB5F02}" name="Column2049"/>
    <tableColumn id="2050" xr3:uid="{C1F0AE8B-AEFC-4101-9AE1-5C46E42FA5BE}" name="Column2050"/>
    <tableColumn id="2051" xr3:uid="{24D073C2-D6D7-4F9A-A650-895C6B16A910}" name="Column2051"/>
    <tableColumn id="2052" xr3:uid="{74652AFE-2DA1-41CE-B0BC-9AE926C7C71D}" name="Column2052"/>
    <tableColumn id="2053" xr3:uid="{80FB7FAD-66BF-41A5-80B2-402895328E12}" name="Column2053"/>
    <tableColumn id="2054" xr3:uid="{024913D2-6A65-4AEF-A7F0-F18F092D7B35}" name="Column2054"/>
    <tableColumn id="2055" xr3:uid="{DF1A5735-4EDC-4B30-942A-0C6A7F60DF63}" name="Column2055"/>
    <tableColumn id="2056" xr3:uid="{A5827A18-705D-4684-A04A-98A466864ACA}" name="Column2056"/>
    <tableColumn id="2057" xr3:uid="{58A06AA7-A75A-4205-8D00-0BD00BE34DE1}" name="Column2057"/>
    <tableColumn id="2058" xr3:uid="{9B8EA3DE-B385-4762-AD1C-B21C5AFCC810}" name="Column2058"/>
    <tableColumn id="2059" xr3:uid="{64695797-0DBA-47D4-A961-C3AB4A9E009F}" name="Column2059"/>
    <tableColumn id="2060" xr3:uid="{02DEF009-70FE-409C-A1F1-086BB1D861CD}" name="Column2060"/>
    <tableColumn id="2061" xr3:uid="{9AC136BF-35A8-4289-B221-656B76188134}" name="Column2061"/>
    <tableColumn id="2062" xr3:uid="{5AEC29D1-E05D-4AA1-8C11-D25F1188C49F}" name="Column2062"/>
    <tableColumn id="2063" xr3:uid="{B03D6508-DE1D-4063-AD5A-3CD81FD15853}" name="Column2063"/>
    <tableColumn id="2064" xr3:uid="{514D06C4-B9F4-4399-822D-004DEB35F49F}" name="Column2064"/>
    <tableColumn id="2065" xr3:uid="{EEEBB84D-FE85-4652-95B1-110F05113C4A}" name="Column2065"/>
    <tableColumn id="2066" xr3:uid="{E40E752D-3EA9-4815-B15E-AA4642BAFC05}" name="Column2066"/>
    <tableColumn id="2067" xr3:uid="{232A33A0-323B-4F01-8904-8DCE799BA30A}" name="Column2067"/>
    <tableColumn id="2068" xr3:uid="{64F4F1B2-FE07-4DD1-B7FB-155B7C7983DB}" name="Column2068"/>
    <tableColumn id="2069" xr3:uid="{3BF0D554-6AB0-4CA6-BA79-141AE13A5998}" name="Column2069"/>
    <tableColumn id="2070" xr3:uid="{EDDD0689-5F69-4B07-B2DE-37613BE77963}" name="Column2070"/>
    <tableColumn id="2071" xr3:uid="{29D57008-CB67-4857-85C3-13DA91C35F82}" name="Column2071"/>
    <tableColumn id="2072" xr3:uid="{468CD9A0-9847-4240-9CC4-FB6D3DF4D203}" name="Column2072"/>
    <tableColumn id="2073" xr3:uid="{80972E3D-A8E0-4C50-AB9E-61F0B6ACD69B}" name="Column2073"/>
    <tableColumn id="2074" xr3:uid="{4A9123D9-B5CD-4C55-BBC8-359D0A22BBA0}" name="Column2074"/>
    <tableColumn id="2075" xr3:uid="{9D679828-4FFE-40A8-9DAF-63C90F91A11B}" name="Column2075"/>
    <tableColumn id="2076" xr3:uid="{F17207A8-868C-41BC-94B0-8D3163B5045F}" name="Column2076"/>
    <tableColumn id="2077" xr3:uid="{A2FD7791-BA2D-4BC3-B835-8176832CC73D}" name="Column2077"/>
    <tableColumn id="2078" xr3:uid="{5FE73998-F3A0-4B96-A47F-3B94664E9978}" name="Column2078"/>
    <tableColumn id="2079" xr3:uid="{BADE76CF-A99C-458B-A88B-EF35C7811537}" name="Column2079"/>
    <tableColumn id="2080" xr3:uid="{2A45ACFD-FAC0-43E7-A85D-EE083DE76A99}" name="Column2080"/>
    <tableColumn id="2081" xr3:uid="{6E42FA61-AED5-498E-A6E5-3EF67706E08B}" name="Column2081"/>
    <tableColumn id="2082" xr3:uid="{244FF17F-5702-4B91-8922-53F03C1E3B32}" name="Column2082"/>
    <tableColumn id="2083" xr3:uid="{F45FC35F-DBC5-43DA-B16E-5656B4900977}" name="Column2083"/>
    <tableColumn id="2084" xr3:uid="{C23227DC-A39B-49A9-A111-4B141CAEA9B5}" name="Column2084"/>
    <tableColumn id="2085" xr3:uid="{CC231699-8793-43F0-84CF-2811575C38CC}" name="Column2085"/>
    <tableColumn id="2086" xr3:uid="{12B2CC73-DBE4-4FC6-BC57-9B7640A52BBB}" name="Column2086"/>
    <tableColumn id="2087" xr3:uid="{0AE5C566-52AC-41EB-AF6B-69FDC766C632}" name="Column2087"/>
    <tableColumn id="2088" xr3:uid="{DD33743F-8FFC-4D20-980C-C6C43554ADE9}" name="Column2088"/>
    <tableColumn id="2089" xr3:uid="{2A1FEC78-8459-40D5-BBF5-DE75CDF021B8}" name="Column2089"/>
    <tableColumn id="2090" xr3:uid="{DF90E7B1-9940-4CA4-A06D-AB58BB4C9CBD}" name="Column2090"/>
    <tableColumn id="2091" xr3:uid="{A3D597B6-B6D5-4B2C-9809-287DB49486A5}" name="Column2091"/>
    <tableColumn id="2092" xr3:uid="{7D9EA98D-25D9-4F07-A742-7107FF71097F}" name="Column2092"/>
    <tableColumn id="2093" xr3:uid="{9B00FC13-71D5-484C-ADC1-C4087A1CBAC2}" name="Column2093"/>
    <tableColumn id="2094" xr3:uid="{98510728-9D97-45DE-939E-2E86DA101635}" name="Column2094"/>
    <tableColumn id="2095" xr3:uid="{A2508180-DB84-4F69-B19E-A34076EDA2DF}" name="Column2095"/>
    <tableColumn id="2096" xr3:uid="{76A46E97-B424-49A6-AAE3-0457299D38F3}" name="Column2096"/>
    <tableColumn id="2097" xr3:uid="{8E268B89-FB6D-4B1F-B8BE-3DCF98A7674C}" name="Column2097"/>
    <tableColumn id="2098" xr3:uid="{52CFC679-C240-4CEA-B223-7F98641C3BE2}" name="Column2098"/>
    <tableColumn id="2099" xr3:uid="{7297F816-0664-4196-81C6-FA85E705E486}" name="Column2099"/>
    <tableColumn id="2100" xr3:uid="{AAD35356-FC42-4B8C-86A3-2D34743F17F4}" name="Column2100"/>
    <tableColumn id="2101" xr3:uid="{D65A2E6A-72CB-4650-AB85-53B38DB95B95}" name="Column2101"/>
    <tableColumn id="2102" xr3:uid="{01F2A3C9-9ED6-43F7-B663-2E4AA9512ECA}" name="Column2102"/>
    <tableColumn id="2103" xr3:uid="{18E105AA-6084-438B-9BC4-8954B6F7C206}" name="Column2103"/>
    <tableColumn id="2104" xr3:uid="{5DB2AA67-E756-4F38-92A2-F2D596B96920}" name="Column2104"/>
    <tableColumn id="2105" xr3:uid="{56F4258B-CDE0-4F91-8CBC-A08AAF4A1547}" name="Column2105"/>
    <tableColumn id="2106" xr3:uid="{C66FF079-6611-43BB-B67C-A208FAA93A0D}" name="Column2106"/>
    <tableColumn id="2107" xr3:uid="{93802F0B-C8B0-4A23-90CF-BD85DB770228}" name="Column2107"/>
    <tableColumn id="2108" xr3:uid="{FC6B2FCA-AAE8-4D12-B775-144E0B2A509D}" name="Column2108"/>
    <tableColumn id="2109" xr3:uid="{23AFF6A0-5AA5-4348-8416-685ABADB1EA5}" name="Column2109"/>
    <tableColumn id="2110" xr3:uid="{8862C7E5-3DA2-4B83-895A-5149B2B31B4B}" name="Column2110"/>
    <tableColumn id="2111" xr3:uid="{0C31934D-0545-441B-BC9D-9273C9222C65}" name="Column2111"/>
    <tableColumn id="2112" xr3:uid="{BE7F0373-999E-49B5-98E4-64458B232F6E}" name="Column2112"/>
    <tableColumn id="2113" xr3:uid="{F170CF1C-9B4D-496F-BD27-EC16D6D9740F}" name="Column2113"/>
    <tableColumn id="2114" xr3:uid="{78F09CD9-D3DE-4361-A53F-BA85CB1217DE}" name="Column2114"/>
    <tableColumn id="2115" xr3:uid="{8474DC00-5CE7-4B08-B5D2-4659D521975C}" name="Column2115"/>
    <tableColumn id="2116" xr3:uid="{73B39EB3-CFF8-42A7-90EC-357305FB33EE}" name="Column2116"/>
    <tableColumn id="2117" xr3:uid="{5560EA3D-E46A-4B39-86BA-E5C77B776708}" name="Column2117"/>
    <tableColumn id="2118" xr3:uid="{09310EF5-F952-4A83-992F-884E4959A5D8}" name="Column2118"/>
    <tableColumn id="2119" xr3:uid="{CD9F1A72-173C-41ED-9DFE-A1584DF0A6E8}" name="Column2119"/>
    <tableColumn id="2120" xr3:uid="{159DFF68-584F-44FB-92B6-9167DBE7B6CE}" name="Column2120"/>
    <tableColumn id="2121" xr3:uid="{53A4BC63-65E1-4958-8C72-04B4FCBAC596}" name="Column2121"/>
    <tableColumn id="2122" xr3:uid="{D8EBFE5B-A863-4312-BABA-2F9C224C4931}" name="Column2122"/>
    <tableColumn id="2123" xr3:uid="{BD756BD9-D2B5-420E-BE61-2C20DD91CA03}" name="Column2123"/>
    <tableColumn id="2124" xr3:uid="{392B776A-3D27-41A7-A840-C73B102EA01F}" name="Column2124"/>
    <tableColumn id="2125" xr3:uid="{E67DF095-4249-43AC-8438-2E7DE109CAFD}" name="Column2125"/>
    <tableColumn id="2126" xr3:uid="{B81557C5-979D-4EC5-8264-7E432B5A07EA}" name="Column2126"/>
    <tableColumn id="2127" xr3:uid="{B3687330-7E8E-457F-A015-454F00892508}" name="Column2127"/>
    <tableColumn id="2128" xr3:uid="{D4A15B3C-E5DA-41F7-A9CB-3BDAD91E9994}" name="Column2128"/>
    <tableColumn id="2129" xr3:uid="{8F554155-6F1E-41AA-A5C9-7AAF0944D045}" name="Column2129"/>
    <tableColumn id="2130" xr3:uid="{94244324-0715-4A17-ACDE-51132BD95057}" name="Column2130"/>
    <tableColumn id="2131" xr3:uid="{05120050-A7C3-4B47-A237-D6318DFBBBD4}" name="Column2131"/>
    <tableColumn id="2132" xr3:uid="{3230171D-4C92-4DD0-B4E9-DD3E6C5AD2CD}" name="Column2132"/>
    <tableColumn id="2133" xr3:uid="{73FEA84A-5E0C-4919-A9E1-435BA244F39A}" name="Column2133"/>
    <tableColumn id="2134" xr3:uid="{2440E0EE-95DB-4FB9-A0B0-493DEA33E868}" name="Column2134"/>
    <tableColumn id="2135" xr3:uid="{4CE1708F-8911-47D1-B106-38CDB1DA45A9}" name="Column2135"/>
    <tableColumn id="2136" xr3:uid="{5790DE94-89E4-487F-B17B-2E1853702473}" name="Column2136"/>
    <tableColumn id="2137" xr3:uid="{13CAA18F-1E6C-49D1-A1F1-B28F8EF3EE54}" name="Column2137"/>
    <tableColumn id="2138" xr3:uid="{A8CED190-B236-4115-9ED7-C55551AF4583}" name="Column2138"/>
    <tableColumn id="2139" xr3:uid="{93700135-AF3A-4040-8CE5-E89DE05918B6}" name="Column2139"/>
    <tableColumn id="2140" xr3:uid="{830F85E7-962D-4588-80F4-70D869D21EF8}" name="Column2140"/>
    <tableColumn id="2141" xr3:uid="{E690E05B-8E62-45A0-A5DC-52DDDEB97401}" name="Column2141"/>
    <tableColumn id="2142" xr3:uid="{693115B9-49E7-45E1-AB10-DFF172D5A579}" name="Column2142"/>
    <tableColumn id="2143" xr3:uid="{F22D3B0C-6C6C-4539-A52C-B59558C3CF74}" name="Column2143"/>
    <tableColumn id="2144" xr3:uid="{31CFA969-4536-48C4-A2FE-D66816A393AB}" name="Column2144"/>
    <tableColumn id="2145" xr3:uid="{9E5495A0-F7EB-4811-94FD-A51B261E1B9E}" name="Column2145"/>
    <tableColumn id="2146" xr3:uid="{15C056A7-C921-46D1-BE68-08B817DCA54B}" name="Column2146"/>
    <tableColumn id="2147" xr3:uid="{1275AE94-1850-4B54-B126-B377B62E6D8E}" name="Column2147"/>
    <tableColumn id="2148" xr3:uid="{6114E9F0-05A5-485A-8C19-827E157F822D}" name="Column2148"/>
    <tableColumn id="2149" xr3:uid="{389A04E2-81F6-40B7-9203-728E92C898D1}" name="Column2149"/>
    <tableColumn id="2150" xr3:uid="{86A50E6B-4B14-411F-B2A0-33752FB661DB}" name="Column2150"/>
    <tableColumn id="2151" xr3:uid="{5029576D-6E0D-435E-971C-627D399349AE}" name="Column2151"/>
    <tableColumn id="2152" xr3:uid="{615F7270-3B69-40D1-8A96-384E0BFF7122}" name="Column2152"/>
    <tableColumn id="2153" xr3:uid="{40D6FDCA-2AA5-4163-AF6F-7394A2D0E737}" name="Column2153"/>
    <tableColumn id="2154" xr3:uid="{3A6FCFC3-FA2E-4149-9D3B-7CAC5DBB2DA1}" name="Column2154"/>
    <tableColumn id="2155" xr3:uid="{3C43B1C7-0D50-4DEB-94F4-305EC315E2C4}" name="Column2155"/>
    <tableColumn id="2156" xr3:uid="{83ED5678-E7E2-42D4-9386-555E48A33B2F}" name="Column2156"/>
    <tableColumn id="2157" xr3:uid="{6706F7E3-6CCB-499F-A573-F14613A3D3DB}" name="Column2157"/>
    <tableColumn id="2158" xr3:uid="{87739A63-A727-43BF-8EF2-56A6FE89E1FD}" name="Column2158"/>
    <tableColumn id="2159" xr3:uid="{F1A76F64-A907-48AF-B529-01F592A3F210}" name="Column2159"/>
    <tableColumn id="2160" xr3:uid="{FD5D393C-5EC9-4062-9437-052D928A2D36}" name="Column2160"/>
    <tableColumn id="2161" xr3:uid="{2D16B98E-32F6-497D-ADFB-C4026B30143A}" name="Column2161"/>
    <tableColumn id="2162" xr3:uid="{86D45E01-775C-44B7-9B88-CF25BA6E480F}" name="Column2162"/>
    <tableColumn id="2163" xr3:uid="{43C92A26-5988-459C-A97E-B1BC2BAD0B2B}" name="Column2163"/>
    <tableColumn id="2164" xr3:uid="{07B1B896-5839-44C3-8F6F-FB2D8A967203}" name="Column2164"/>
    <tableColumn id="2165" xr3:uid="{46FC643D-4D8C-4B71-8781-421AE032CCAF}" name="Column2165"/>
    <tableColumn id="2166" xr3:uid="{2734B2F9-791D-43A5-ACD9-3802D955367D}" name="Column2166"/>
    <tableColumn id="2167" xr3:uid="{F13A93C3-80E1-4E84-A955-45DEE8E71A18}" name="Column2167"/>
    <tableColumn id="2168" xr3:uid="{FEE8DA89-C297-43E3-B738-FDA933C4383F}" name="Column2168"/>
    <tableColumn id="2169" xr3:uid="{1DC4E7B3-9E76-433F-872E-174AAF86892F}" name="Column2169"/>
    <tableColumn id="2170" xr3:uid="{CB129A9D-1424-42F9-8272-E4593AB4325E}" name="Column2170"/>
    <tableColumn id="2171" xr3:uid="{D8A8D6F5-119C-4C1D-AA1B-61099B507773}" name="Column2171"/>
    <tableColumn id="2172" xr3:uid="{8CF03619-737E-40E8-8808-F9814EEA4412}" name="Column2172"/>
    <tableColumn id="2173" xr3:uid="{DF0ADE3D-FC87-4D69-A8DC-169495F3F2E9}" name="Column2173"/>
    <tableColumn id="2174" xr3:uid="{32BE60C3-6F5B-4A14-BAFE-894F98AB1348}" name="Column2174"/>
    <tableColumn id="2175" xr3:uid="{82A3C9C2-82CC-4BB8-B5A5-1D3839BD7170}" name="Column2175"/>
    <tableColumn id="2176" xr3:uid="{EDA583B3-EE72-4564-AFEF-FD3FC057623B}" name="Column2176"/>
    <tableColumn id="2177" xr3:uid="{60145B3F-3C3E-446A-813C-87F7E913A010}" name="Column2177"/>
    <tableColumn id="2178" xr3:uid="{62D7AD93-50F9-47C4-B8D0-2A474CA1166C}" name="Column2178"/>
    <tableColumn id="2179" xr3:uid="{CC61E99B-2FAA-4ECF-BAE6-11204B1845E3}" name="Column2179"/>
    <tableColumn id="2180" xr3:uid="{E631914D-90F4-4979-8A11-E678FB1FFE2B}" name="Column2180"/>
    <tableColumn id="2181" xr3:uid="{A76909DC-4912-4A48-AE1C-FB3C1A34F802}" name="Column2181"/>
    <tableColumn id="2182" xr3:uid="{6CD80431-F1A4-4AD5-9E43-25501CD00AB5}" name="Column2182"/>
    <tableColumn id="2183" xr3:uid="{E0B49145-B431-4646-9BEA-2B3275664934}" name="Column2183"/>
    <tableColumn id="2184" xr3:uid="{D5A50CBD-C8AE-4636-9331-188661224310}" name="Column2184"/>
    <tableColumn id="2185" xr3:uid="{D7F2BFE5-63E1-4070-AD09-1A2891E23764}" name="Column2185"/>
    <tableColumn id="2186" xr3:uid="{5F5EA51C-2884-45EB-A8E8-40E2634E8669}" name="Column2186"/>
    <tableColumn id="2187" xr3:uid="{D5EB132E-5FEE-4717-80C3-274DBF717E1E}" name="Column2187"/>
    <tableColumn id="2188" xr3:uid="{56CBFE9E-83B0-4277-8E5B-82207917F590}" name="Column2188"/>
    <tableColumn id="2189" xr3:uid="{F0DEF609-E8A8-483A-89AD-BB90A4BFC484}" name="Column2189"/>
    <tableColumn id="2190" xr3:uid="{C0B377B9-DA67-4525-A220-6D6239B310A3}" name="Column2190"/>
    <tableColumn id="2191" xr3:uid="{DC53F09E-2D43-4887-A15B-0E8419AA77AD}" name="Column2191"/>
    <tableColumn id="2192" xr3:uid="{CAF937A3-0E57-49FC-B57C-AF3B671B04E6}" name="Column2192"/>
    <tableColumn id="2193" xr3:uid="{90F03439-05BD-467B-8854-2512BC423D15}" name="Column2193"/>
    <tableColumn id="2194" xr3:uid="{B68B245A-4B4E-461D-A70E-68F04DD89124}" name="Column2194"/>
    <tableColumn id="2195" xr3:uid="{098A88E6-43F3-46D7-8B72-09B460144C37}" name="Column2195"/>
    <tableColumn id="2196" xr3:uid="{D7E333E3-5346-4607-B822-32EFEFF90567}" name="Column2196"/>
    <tableColumn id="2197" xr3:uid="{891F6466-7657-423C-A781-0B595365CE35}" name="Column2197"/>
    <tableColumn id="2198" xr3:uid="{629BC68A-2617-460A-AB2E-38B62043DFDD}" name="Column2198"/>
    <tableColumn id="2199" xr3:uid="{1BBDC202-221C-4638-BA26-9D7C43BBA88D}" name="Column2199"/>
    <tableColumn id="2200" xr3:uid="{9F327D4D-D0AD-4362-8A07-EC3D8A86BA17}" name="Column2200"/>
    <tableColumn id="2201" xr3:uid="{B2433F90-8FE2-4343-85E8-D39F476DAD19}" name="Column2201"/>
    <tableColumn id="2202" xr3:uid="{C3991E46-D4D7-488F-B875-B3C48D0C5FE6}" name="Column2202"/>
    <tableColumn id="2203" xr3:uid="{44A220C0-914C-46A0-BB04-AE69FC4CA512}" name="Column2203"/>
    <tableColumn id="2204" xr3:uid="{95F0709A-622E-4F19-871A-CAEACA8F2619}" name="Column2204"/>
    <tableColumn id="2205" xr3:uid="{DF46BFEC-6075-41BA-BB19-8BDAF262389E}" name="Column2205"/>
    <tableColumn id="2206" xr3:uid="{6A23A602-06DC-4C52-BBBE-529F64C64CC8}" name="Column2206"/>
    <tableColumn id="2207" xr3:uid="{FD197E0A-BC32-4540-AE32-500C58E563FA}" name="Column2207"/>
    <tableColumn id="2208" xr3:uid="{278A3582-2904-4896-AA8D-606CCE280ABA}" name="Column2208"/>
    <tableColumn id="2209" xr3:uid="{9DB0BAE4-657E-46F8-AE56-0B308BB4A3E4}" name="Column2209"/>
    <tableColumn id="2210" xr3:uid="{7D48162B-68BE-4715-BB95-C8DE127B74DE}" name="Column2210"/>
    <tableColumn id="2211" xr3:uid="{DF85868E-ECCA-4608-B413-4F4974567382}" name="Column2211"/>
    <tableColumn id="2212" xr3:uid="{65E2A1B0-68FB-4867-80E3-139623F834AB}" name="Column2212"/>
    <tableColumn id="2213" xr3:uid="{8E4E8FE0-C331-4A6C-922F-B81956B777E6}" name="Column2213"/>
    <tableColumn id="2214" xr3:uid="{1283FAF4-85E8-4111-A370-B0B6BF613D22}" name="Column2214"/>
    <tableColumn id="2215" xr3:uid="{2F5BF961-8155-4C52-B26A-16CF1C84ED08}" name="Column2215"/>
    <tableColumn id="2216" xr3:uid="{B7864C38-70D7-4655-8A7A-518950909B4A}" name="Column2216"/>
    <tableColumn id="2217" xr3:uid="{DDA94445-DABB-4339-9997-E5EFF810A91B}" name="Column2217"/>
    <tableColumn id="2218" xr3:uid="{E54C4FB7-DDE6-4E0A-A3F2-D9D1927BEAA6}" name="Column2218"/>
    <tableColumn id="2219" xr3:uid="{D4DE8675-6B0B-4AA7-B5D2-618250D98C7A}" name="Column2219"/>
    <tableColumn id="2220" xr3:uid="{84C35C3E-6FF6-405E-95BB-E0B5ED39E49F}" name="Column2220"/>
    <tableColumn id="2221" xr3:uid="{355A7B52-A300-4205-8FA5-6B75B1355A26}" name="Column2221"/>
    <tableColumn id="2222" xr3:uid="{C841BDAF-E2ED-449F-8257-36AB5DD7B4EB}" name="Column2222"/>
    <tableColumn id="2223" xr3:uid="{2F41256D-5947-49E8-949C-43B109FC226B}" name="Column2223"/>
    <tableColumn id="2224" xr3:uid="{0228551D-6EE4-423E-9528-96B4DDDD5D7D}" name="Column2224"/>
    <tableColumn id="2225" xr3:uid="{D130F93E-BADE-4132-B7A4-60EE85D564D3}" name="Column2225"/>
    <tableColumn id="2226" xr3:uid="{D27D6D8F-92C6-45DD-AEDA-FA8B12B8985B}" name="Column2226"/>
    <tableColumn id="2227" xr3:uid="{3062457E-4F7D-4C34-BDFB-EA669DE420E3}" name="Column2227"/>
    <tableColumn id="2228" xr3:uid="{E2C514A8-CED7-4176-8257-1F5EC0800080}" name="Column2228"/>
    <tableColumn id="2229" xr3:uid="{26675A17-5D22-4D98-8DB6-637274EDB6ED}" name="Column2229"/>
    <tableColumn id="2230" xr3:uid="{3A351570-5D46-44E3-B8D0-5069B4D6E136}" name="Column2230"/>
    <tableColumn id="2231" xr3:uid="{975C74ED-2895-44D1-AC3F-77E3D8ABFCFD}" name="Column2231"/>
    <tableColumn id="2232" xr3:uid="{E35F8E83-5A0F-4AB3-AA4D-A5BB0FA3BC2B}" name="Column2232"/>
    <tableColumn id="2233" xr3:uid="{9E5D0C97-6200-40B0-88F6-559E547479BC}" name="Column2233"/>
    <tableColumn id="2234" xr3:uid="{06122FCB-28FD-46BB-8172-49961C1CCBBA}" name="Column2234"/>
    <tableColumn id="2235" xr3:uid="{435D88D4-E179-4B6D-9FC9-324FD9007801}" name="Column2235"/>
    <tableColumn id="2236" xr3:uid="{DFB03E09-7FAD-48C7-96C9-576BB7599018}" name="Column2236"/>
    <tableColumn id="2237" xr3:uid="{015791F5-354A-41B4-BC72-D82E38AA142F}" name="Column2237"/>
    <tableColumn id="2238" xr3:uid="{21118A35-E767-4942-BCAF-93D6ABB5C483}" name="Column2238"/>
    <tableColumn id="2239" xr3:uid="{91202BE8-8BE6-4D21-99EE-D0AFBB750D01}" name="Column2239"/>
    <tableColumn id="2240" xr3:uid="{4C5C0E48-39FE-4C49-A22B-7B985AA25107}" name="Column2240"/>
    <tableColumn id="2241" xr3:uid="{8D72EE1F-E2D4-4709-A31D-B4895F06D276}" name="Column2241"/>
    <tableColumn id="2242" xr3:uid="{D854DA39-EDDA-4DA4-A160-7E45BBC7E5C5}" name="Column2242"/>
    <tableColumn id="2243" xr3:uid="{C48C7EF8-60BE-45C0-9F7C-BA37A07F9FB8}" name="Column2243"/>
    <tableColumn id="2244" xr3:uid="{7867536A-F992-49FA-BB99-A0BF0DC4CA81}" name="Column2244"/>
    <tableColumn id="2245" xr3:uid="{833F95F0-B516-48A0-87AB-05E8FD72F778}" name="Column2245"/>
    <tableColumn id="2246" xr3:uid="{EB17F9FE-7252-4ED2-910D-DE3C848C0648}" name="Column2246"/>
    <tableColumn id="2247" xr3:uid="{2D96F101-2E06-4F30-9939-7D6A05946D24}" name="Column2247"/>
    <tableColumn id="2248" xr3:uid="{1717EFD4-C4A2-4E79-A308-B324F0186DE3}" name="Column2248"/>
    <tableColumn id="2249" xr3:uid="{FA2B0391-2633-4AB0-B337-96FAA09E8768}" name="Column2249"/>
    <tableColumn id="2250" xr3:uid="{482EA064-BD39-4259-ABA6-C984BFD993A1}" name="Column2250"/>
    <tableColumn id="2251" xr3:uid="{A2968DEB-26A1-4744-AA1B-739CB5CD3B04}" name="Column2251"/>
    <tableColumn id="2252" xr3:uid="{FB4FABB8-15C6-48E0-BA37-173FB7703A74}" name="Column2252"/>
    <tableColumn id="2253" xr3:uid="{0087C785-A8FD-4A54-B12E-1059B97C57A1}" name="Column2253"/>
    <tableColumn id="2254" xr3:uid="{86DAA4E7-97D1-4656-A3C0-9D854A91970C}" name="Column2254"/>
    <tableColumn id="2255" xr3:uid="{FC401057-5583-4ADA-9CB1-D6147EFC3488}" name="Column2255"/>
    <tableColumn id="2256" xr3:uid="{64E67BD2-9084-4D0E-89FF-ADA9DA6226D0}" name="Column2256"/>
    <tableColumn id="2257" xr3:uid="{22531C22-DFC8-4391-9254-8D15CC242DD5}" name="Column2257"/>
    <tableColumn id="2258" xr3:uid="{ADE077E0-E60B-48DA-A54D-45371AB7A278}" name="Column2258"/>
    <tableColumn id="2259" xr3:uid="{44109087-C2CC-43AA-9B34-47DCCA0DA2A2}" name="Column2259"/>
    <tableColumn id="2260" xr3:uid="{D2CC41CD-B5A6-4AE4-9E56-50F07C079AA4}" name="Column2260"/>
    <tableColumn id="2261" xr3:uid="{0C2745C9-2622-4596-8BA8-777ED5388A37}" name="Column2261"/>
    <tableColumn id="2262" xr3:uid="{41F1479F-E090-4E4F-8C98-1B3B70DBFB88}" name="Column2262"/>
    <tableColumn id="2263" xr3:uid="{E8CEA447-DB17-41F9-8B15-C54902686892}" name="Column2263"/>
    <tableColumn id="2264" xr3:uid="{A4943188-6175-46CA-A03E-850D7C7AB895}" name="Column2264"/>
    <tableColumn id="2265" xr3:uid="{AE2C3C8C-F4A5-450D-8963-AC995B0C4F68}" name="Column2265"/>
    <tableColumn id="2266" xr3:uid="{D5BA4C11-0346-417F-90D0-234B8960CD94}" name="Column2266"/>
    <tableColumn id="2267" xr3:uid="{A8F8709B-AA44-460D-9CF6-90268734D709}" name="Column2267"/>
    <tableColumn id="2268" xr3:uid="{935FA76A-6DAB-4643-81F0-DF50D10AC515}" name="Column2268"/>
    <tableColumn id="2269" xr3:uid="{1A1D7D92-3666-484A-A976-369AEE841CC5}" name="Column2269"/>
    <tableColumn id="2270" xr3:uid="{AC3E7474-5CC1-4BFD-99F2-5F8C656059D7}" name="Column2270"/>
    <tableColumn id="2271" xr3:uid="{0D1A14C3-431F-407F-AA3B-11A0D5199A29}" name="Column2271"/>
    <tableColumn id="2272" xr3:uid="{24C1E170-705F-4249-A36E-B6982D01D204}" name="Column2272"/>
    <tableColumn id="2273" xr3:uid="{FADBE554-91C9-4492-BF10-826C79CC1646}" name="Column2273"/>
    <tableColumn id="2274" xr3:uid="{58AAFA98-05B0-4AE2-8703-94E44E844289}" name="Column2274"/>
    <tableColumn id="2275" xr3:uid="{835330AA-DD99-430F-AE70-1079FC13D44B}" name="Column2275"/>
    <tableColumn id="2276" xr3:uid="{FE57D498-46D9-41E2-B09C-B50088A0A469}" name="Column2276"/>
    <tableColumn id="2277" xr3:uid="{447EC192-071D-4509-827E-2D5E5F48B1AC}" name="Column2277"/>
    <tableColumn id="2278" xr3:uid="{8BD37E71-26A4-487B-BFAC-BC43D9E3B268}" name="Column2278"/>
    <tableColumn id="2279" xr3:uid="{6B149F93-071C-44EA-8D1D-7458A78A2771}" name="Column2279"/>
    <tableColumn id="2280" xr3:uid="{DB2D0399-6A12-46B6-B28C-52CA8E5F124F}" name="Column2280"/>
    <tableColumn id="2281" xr3:uid="{37C4171D-3F9F-468D-9E63-9DEF4078C330}" name="Column2281"/>
    <tableColumn id="2282" xr3:uid="{AFA55D4D-FC1C-4457-A77C-9B6DAF2ADA01}" name="Column2282"/>
    <tableColumn id="2283" xr3:uid="{21785838-DBE7-4F67-9E5F-AA7761C458DB}" name="Column2283"/>
    <tableColumn id="2284" xr3:uid="{69B34E1B-BBA9-489D-8BE2-A3C2D3FB3937}" name="Column2284"/>
    <tableColumn id="2285" xr3:uid="{E57C7B27-8DA5-4A87-9F6A-CB2626492CA3}" name="Column2285"/>
    <tableColumn id="2286" xr3:uid="{68FD6586-3688-4D7E-A9FB-F63F422B327A}" name="Column2286"/>
    <tableColumn id="2287" xr3:uid="{880534C3-6A1A-440F-89D3-3C710506F25F}" name="Column2287"/>
    <tableColumn id="2288" xr3:uid="{1F502FFA-9EEE-475A-A73B-B2FBB711CFCA}" name="Column2288"/>
    <tableColumn id="2289" xr3:uid="{595B0301-D313-42AD-A9BD-A35418D251C8}" name="Column2289"/>
    <tableColumn id="2290" xr3:uid="{E9CF8E43-8C72-49E0-952D-7FEF27286B90}" name="Column2290"/>
    <tableColumn id="2291" xr3:uid="{0A597066-7BE8-4F94-AF45-D934F4DA85F5}" name="Column2291"/>
    <tableColumn id="2292" xr3:uid="{E0A22A4B-67B9-4D3C-A41A-83C71F22F9A0}" name="Column2292"/>
    <tableColumn id="2293" xr3:uid="{F9161B42-E9D9-4785-A5B2-A0F612BC915F}" name="Column2293"/>
    <tableColumn id="2294" xr3:uid="{A10B5FC2-E8C8-4F44-B6D4-AEEA9BAF4013}" name="Column2294"/>
    <tableColumn id="2295" xr3:uid="{8C75D1B4-0BBC-48E7-9C4E-E1B82364FDDA}" name="Column2295"/>
    <tableColumn id="2296" xr3:uid="{3AB3C8EF-F619-4BAA-ABF1-4F3BBD46E38D}" name="Column2296"/>
    <tableColumn id="2297" xr3:uid="{2FDC6AF8-2AF2-4C9B-9480-CB605B6C7AFD}" name="Column2297"/>
    <tableColumn id="2298" xr3:uid="{1EC6946A-84A8-4CDF-8D56-52AF996922F2}" name="Column2298"/>
    <tableColumn id="2299" xr3:uid="{FEB938B8-3E38-47F7-A2EB-ACD9CBAC7DA1}" name="Column2299"/>
    <tableColumn id="2300" xr3:uid="{B3194950-DB74-4797-A62C-1757B297C9E1}" name="Column2300"/>
    <tableColumn id="2301" xr3:uid="{3001B350-2C43-4BAA-96F8-A5626508E0A1}" name="Column2301"/>
    <tableColumn id="2302" xr3:uid="{B64F3CB7-7383-4614-9380-8F7D8D08F896}" name="Column2302"/>
    <tableColumn id="2303" xr3:uid="{1B1C37C9-EA07-4E7E-839F-BC9354EBAB67}" name="Column2303"/>
    <tableColumn id="2304" xr3:uid="{D6B31687-AE8B-4212-9C7D-2B1E52539AA8}" name="Column2304"/>
    <tableColumn id="2305" xr3:uid="{D01BB3FB-4E02-42C0-8CBB-6507612FCBD7}" name="Column2305"/>
    <tableColumn id="2306" xr3:uid="{F1F812D2-4D83-4AF7-BB17-3A41A24E4C61}" name="Column2306"/>
    <tableColumn id="2307" xr3:uid="{8E0ACCFA-2DE4-45E0-9A57-8FB5EAF40F67}" name="Column2307"/>
    <tableColumn id="2308" xr3:uid="{E52B24EA-6374-4A45-AD4D-65219AEAC64A}" name="Column2308"/>
    <tableColumn id="2309" xr3:uid="{4BDC7231-386D-45B3-991D-6003EC77B5B5}" name="Column2309"/>
    <tableColumn id="2310" xr3:uid="{FDB4C36C-AFB0-4AA1-A065-BFA1A4ACBE35}" name="Column2310"/>
    <tableColumn id="2311" xr3:uid="{216FAB4B-5236-4924-87A1-AD1364B8C694}" name="Column2311"/>
    <tableColumn id="2312" xr3:uid="{A45FABD6-2A95-4A51-9D09-F3477577FEC1}" name="Column2312"/>
    <tableColumn id="2313" xr3:uid="{5C42B3F4-5A37-40DC-AA80-8FD9409F385A}" name="Column2313"/>
    <tableColumn id="2314" xr3:uid="{24AC91CD-9EB0-4001-8DC1-6BD3A7120FF2}" name="Column2314"/>
    <tableColumn id="2315" xr3:uid="{230FE9A2-8C21-4939-8682-82BF83C5A079}" name="Column2315"/>
    <tableColumn id="2316" xr3:uid="{CCB73F8A-3F5B-4DFE-8C96-88A59B0F14BD}" name="Column2316"/>
    <tableColumn id="2317" xr3:uid="{45B00A9C-ADFA-46C0-882E-8BDEFEB38C69}" name="Column2317"/>
    <tableColumn id="2318" xr3:uid="{843384E4-34AF-4D4D-8D31-A45561CD6268}" name="Column2318"/>
    <tableColumn id="2319" xr3:uid="{3CFE15DD-A8BC-471B-9847-89D539DA8A9E}" name="Column2319"/>
    <tableColumn id="2320" xr3:uid="{A85F2C10-FE28-4C36-84F9-94B52B186951}" name="Column2320"/>
    <tableColumn id="2321" xr3:uid="{67A8933C-9190-4181-8DC8-953F6C0FE214}" name="Column2321"/>
    <tableColumn id="2322" xr3:uid="{EF2C04B7-6DC4-4969-A546-58D61C809291}" name="Column2322"/>
    <tableColumn id="2323" xr3:uid="{BB08CE88-8347-4AA6-9064-4CEB5819F686}" name="Column2323"/>
    <tableColumn id="2324" xr3:uid="{8949AE77-8FB3-4EBE-8762-313EE5FFC860}" name="Column2324"/>
    <tableColumn id="2325" xr3:uid="{41AFD99A-7735-4C09-80B7-2DD84F8E4442}" name="Column2325"/>
    <tableColumn id="2326" xr3:uid="{5B318471-9462-4A55-87BB-C691C4561721}" name="Column2326"/>
    <tableColumn id="2327" xr3:uid="{28627F07-A6B9-469E-BE3D-3A60BEC20399}" name="Column2327"/>
    <tableColumn id="2328" xr3:uid="{7A4170D3-4F27-40E4-9996-F54A3CED83C6}" name="Column2328"/>
    <tableColumn id="2329" xr3:uid="{541AEEB6-6101-4953-9E46-6D74DA281AB1}" name="Column2329"/>
    <tableColumn id="2330" xr3:uid="{B916E7EC-6A4B-412D-B7EE-56FA51ED6BF4}" name="Column2330"/>
    <tableColumn id="2331" xr3:uid="{FA2E6C32-DBDD-4020-84CA-FFB5224AB259}" name="Column2331"/>
    <tableColumn id="2332" xr3:uid="{93B6EE47-FEB5-4157-A293-5CBDE0512462}" name="Column2332"/>
    <tableColumn id="2333" xr3:uid="{7322716B-9760-4921-9A80-CD3F978777F8}" name="Column2333"/>
    <tableColumn id="2334" xr3:uid="{151AAA57-1CDE-4473-B7F5-A6DB993EF56E}" name="Column2334"/>
    <tableColumn id="2335" xr3:uid="{1E838830-6944-40F1-8FB4-ACEFC0C9DB3E}" name="Column2335"/>
    <tableColumn id="2336" xr3:uid="{28107742-60A5-415E-80D7-6153FE206CB7}" name="Column2336"/>
    <tableColumn id="2337" xr3:uid="{D31727DF-FBF3-492E-9490-0972E4516419}" name="Column2337"/>
    <tableColumn id="2338" xr3:uid="{E082D2A8-85BD-4264-BBCB-1B759A50A917}" name="Column2338"/>
    <tableColumn id="2339" xr3:uid="{2355F80F-A56A-4F73-B23F-A642DCBC30FA}" name="Column2339"/>
    <tableColumn id="2340" xr3:uid="{10F48A41-38D0-45D6-BCDC-C55D32B07F2A}" name="Column2340"/>
    <tableColumn id="2341" xr3:uid="{47005751-CBE3-45A7-87F1-A042824BD713}" name="Column2341"/>
    <tableColumn id="2342" xr3:uid="{71A6698B-CD2A-476C-9F8D-B8104A7A168D}" name="Column2342"/>
    <tableColumn id="2343" xr3:uid="{E90FA184-E503-4A78-B0CD-FD148296C32A}" name="Column2343"/>
    <tableColumn id="2344" xr3:uid="{224780D1-410C-4A33-8A26-D8630B6CF9DA}" name="Column2344"/>
    <tableColumn id="2345" xr3:uid="{0EDBF227-362F-451F-B194-4AD8839D2FE7}" name="Column2345"/>
    <tableColumn id="2346" xr3:uid="{E8B058E6-CB6F-4A55-A44A-4E4379C2251E}" name="Column2346"/>
    <tableColumn id="2347" xr3:uid="{C4C85D11-B514-4125-A675-68ABF15B8649}" name="Column2347"/>
    <tableColumn id="2348" xr3:uid="{AF3542BF-4CB0-439C-90BA-0388726B818C}" name="Column2348"/>
    <tableColumn id="2349" xr3:uid="{D7DAA211-F707-442B-909A-7F01574C611A}" name="Column2349"/>
    <tableColumn id="2350" xr3:uid="{16CAE65A-155B-4E3B-827A-A1BB53E4E96C}" name="Column2350"/>
    <tableColumn id="2351" xr3:uid="{E6FF87C2-AA9E-4341-B654-C452A9518F39}" name="Column2351"/>
    <tableColumn id="2352" xr3:uid="{69BF8AB6-56EE-47CA-9AB5-8A06E5D49171}" name="Column2352"/>
    <tableColumn id="2353" xr3:uid="{A29C2DB1-8E6F-44ED-BE9B-619220F8CA4C}" name="Column2353"/>
    <tableColumn id="2354" xr3:uid="{8D5EF74A-2368-4CF3-8FFB-2202F7C70947}" name="Column2354"/>
    <tableColumn id="2355" xr3:uid="{3DEDB0BA-1CA6-450B-9245-AB29208D95A5}" name="Column2355"/>
    <tableColumn id="2356" xr3:uid="{8628E86C-53CC-49C7-9E76-60E09B7EB092}" name="Column2356"/>
    <tableColumn id="2357" xr3:uid="{22DFB2CD-0CDB-4EF3-9CE5-B64F49BF6113}" name="Column2357"/>
    <tableColumn id="2358" xr3:uid="{B7C6B35D-8DFD-4881-BD61-DAE92B205A2D}" name="Column2358"/>
    <tableColumn id="2359" xr3:uid="{C99D7BD3-CE9D-4ADE-B202-CB45F83D7B23}" name="Column2359"/>
    <tableColumn id="2360" xr3:uid="{E8D525D3-DF1F-4E99-9179-3EB750E2BDCF}" name="Column2360"/>
    <tableColumn id="2361" xr3:uid="{B6207A9F-A1A1-42BE-B7FB-79F3700FB6C4}" name="Column2361"/>
    <tableColumn id="2362" xr3:uid="{3DFF0DBD-7353-47CD-8D9E-87BE1EB85920}" name="Column2362"/>
    <tableColumn id="2363" xr3:uid="{C5AD4E2C-32A2-4CCD-B505-D1BE43EB04C2}" name="Column2363"/>
    <tableColumn id="2364" xr3:uid="{63ED92B1-7B36-492A-8E3B-F0DF4C071C65}" name="Column2364"/>
    <tableColumn id="2365" xr3:uid="{001B7B7E-38FA-4FF3-B4DA-61496AC88AFF}" name="Column2365"/>
    <tableColumn id="2366" xr3:uid="{F06467A5-64DD-4D67-8EC1-1FD74A1E5328}" name="Column2366"/>
    <tableColumn id="2367" xr3:uid="{E8FA9EF5-478E-4FD2-9019-F536D3C88C2F}" name="Column2367"/>
    <tableColumn id="2368" xr3:uid="{52479A5D-572C-4EF8-93C3-5ED42E8BED57}" name="Column2368"/>
    <tableColumn id="2369" xr3:uid="{9650364A-8D24-46A1-84DA-D2287E093012}" name="Column2369"/>
    <tableColumn id="2370" xr3:uid="{1F5DFA6C-74C4-48A9-A029-5B448191EEC1}" name="Column2370"/>
    <tableColumn id="2371" xr3:uid="{B72F15A7-1463-40EF-A096-85F608D41336}" name="Column2371"/>
    <tableColumn id="2372" xr3:uid="{2CFE1C9C-7604-4263-B0CE-3FCCD0D83C35}" name="Column2372"/>
    <tableColumn id="2373" xr3:uid="{4A49548B-BAA3-4F34-ABCF-589E894E358D}" name="Column2373"/>
    <tableColumn id="2374" xr3:uid="{DA165861-4468-4C87-B4E9-354EDF93EA52}" name="Column2374"/>
    <tableColumn id="2375" xr3:uid="{67A0653B-F381-4928-917A-2BEF665020CC}" name="Column2375"/>
    <tableColumn id="2376" xr3:uid="{75E15270-9F99-4E59-AD1A-34A6D0A49A8C}" name="Column2376"/>
    <tableColumn id="2377" xr3:uid="{2C072F09-A611-4F75-A023-C12938C61380}" name="Column2377"/>
    <tableColumn id="2378" xr3:uid="{836FFC2F-1392-4BED-8D78-92A9C894DE69}" name="Column2378"/>
    <tableColumn id="2379" xr3:uid="{630CA906-6556-4496-8FC9-CCB23BF88DB8}" name="Column2379"/>
    <tableColumn id="2380" xr3:uid="{88FABC1C-DB2A-4071-9E5A-4621A9C5D5BB}" name="Column2380"/>
    <tableColumn id="2381" xr3:uid="{0DD14CE0-A66E-4878-8B23-F73BF2807BA2}" name="Column2381"/>
    <tableColumn id="2382" xr3:uid="{69F537A1-FD80-441B-A080-51F7AB171455}" name="Column2382"/>
    <tableColumn id="2383" xr3:uid="{99FE396D-F739-4E21-8978-AD383F57C092}" name="Column2383"/>
    <tableColumn id="2384" xr3:uid="{53358426-1176-464A-8D9F-F1C89DE9FD29}" name="Column2384"/>
    <tableColumn id="2385" xr3:uid="{D6C76B29-4E88-499D-BC92-252892BE7A48}" name="Column2385"/>
    <tableColumn id="2386" xr3:uid="{75449EEF-2A65-4E42-AB08-6C66D2478FA6}" name="Column2386"/>
    <tableColumn id="2387" xr3:uid="{26B9C803-F75A-4D3D-BDE3-5331F7484AFF}" name="Column2387"/>
    <tableColumn id="2388" xr3:uid="{1BEFA0DE-8682-498C-B313-FEDB9B50F879}" name="Column2388"/>
    <tableColumn id="2389" xr3:uid="{E0FE5B56-DC0E-4280-A59E-48D4ECFDE574}" name="Column2389"/>
    <tableColumn id="2390" xr3:uid="{257A6959-B86D-471D-B236-1125B054C768}" name="Column2390"/>
    <tableColumn id="2391" xr3:uid="{F7977D89-0787-4F45-8536-305084EC6124}" name="Column2391"/>
    <tableColumn id="2392" xr3:uid="{1143870C-43E7-4DB0-89B3-3E5EA96FC948}" name="Column2392"/>
    <tableColumn id="2393" xr3:uid="{B2B08A7A-C77F-4EB5-9A36-7A97CBA16618}" name="Column2393"/>
    <tableColumn id="2394" xr3:uid="{A295502E-294C-4A30-BDE1-3BC81C92BBD2}" name="Column2394"/>
    <tableColumn id="2395" xr3:uid="{2EE8ED5A-8B72-4CE4-A351-1A8A8D6096C6}" name="Column2395"/>
    <tableColumn id="2396" xr3:uid="{4935A623-24FD-4429-A791-1EBFDDDEDBA7}" name="Column2396"/>
    <tableColumn id="2397" xr3:uid="{0658C314-FA28-4DE3-8A84-E3E1C3B2BC28}" name="Column2397"/>
    <tableColumn id="2398" xr3:uid="{1AA0C841-6F69-496F-85F6-8027450B61B7}" name="Column2398"/>
    <tableColumn id="2399" xr3:uid="{AEEB8023-C294-4229-97C9-6CAEF3AE0D15}" name="Column2399"/>
    <tableColumn id="2400" xr3:uid="{13017BD3-2B43-4E3C-AFE8-0659E09912D2}" name="Column2400"/>
    <tableColumn id="2401" xr3:uid="{53EC8C27-6186-40F5-87D6-4E3B60807DD6}" name="Column2401"/>
    <tableColumn id="2402" xr3:uid="{AE3578E1-BFCC-4FEE-932F-F85318AB9884}" name="Column2402"/>
    <tableColumn id="2403" xr3:uid="{81DC62AF-2218-440D-869F-1E9654691865}" name="Column2403"/>
    <tableColumn id="2404" xr3:uid="{A76F60E9-8915-4627-A5D4-B0AF7BBB7CF7}" name="Column2404"/>
    <tableColumn id="2405" xr3:uid="{92D5FAB1-1A0E-425B-BB3A-EC6066C0DD10}" name="Column2405"/>
    <tableColumn id="2406" xr3:uid="{314346B0-BC1F-451C-92D8-FB16942671E7}" name="Column2406"/>
    <tableColumn id="2407" xr3:uid="{6A6B2173-EAF3-45CD-AC3B-6D910DA90076}" name="Column2407"/>
    <tableColumn id="2408" xr3:uid="{12AADE4B-D649-42AD-9095-7A57B4B06B0D}" name="Column2408"/>
    <tableColumn id="2409" xr3:uid="{05056346-F4D5-4A0C-B05C-92539F793898}" name="Column2409"/>
    <tableColumn id="2410" xr3:uid="{BF706B3F-B2FA-40C4-A648-9D306E97F582}" name="Column2410"/>
    <tableColumn id="2411" xr3:uid="{9FC2C437-BE26-4207-ABB2-72FF6C03FB6D}" name="Column2411"/>
    <tableColumn id="2412" xr3:uid="{803A804B-6364-463C-9B0C-448C32B9BECA}" name="Column2412"/>
    <tableColumn id="2413" xr3:uid="{EF060495-4C9B-4EAD-8B9D-32F2385E5474}" name="Column2413"/>
    <tableColumn id="2414" xr3:uid="{C010259C-4B30-4EFE-B792-78DC7041F8F8}" name="Column2414"/>
    <tableColumn id="2415" xr3:uid="{668DD8A5-3EB3-4771-AAAB-ED83C12EA19C}" name="Column2415"/>
    <tableColumn id="2416" xr3:uid="{D6665DFA-550B-4F82-88CC-FB585B029DB6}" name="Column2416"/>
    <tableColumn id="2417" xr3:uid="{4FAABDA6-3DBA-4379-A2D8-A59E4F7A1F79}" name="Column2417"/>
    <tableColumn id="2418" xr3:uid="{D0E56D90-FE77-4B87-9AE2-4616C4BF98A5}" name="Column2418"/>
    <tableColumn id="2419" xr3:uid="{423961AE-8498-4DEC-8F5C-63520713A292}" name="Column2419"/>
    <tableColumn id="2420" xr3:uid="{04D8A75E-D07B-4553-8721-859F44A82A6E}" name="Column2420"/>
    <tableColumn id="2421" xr3:uid="{A97F1332-FEB8-4D58-8D77-3872C156D12F}" name="Column2421"/>
    <tableColumn id="2422" xr3:uid="{E0022E4D-DA59-4768-B6CB-2A98700AAFBB}" name="Column2422"/>
    <tableColumn id="2423" xr3:uid="{C5C8163E-522E-49FB-BF4D-5D11F837E080}" name="Column2423"/>
    <tableColumn id="2424" xr3:uid="{46E9F9D4-C73D-48DB-A5EA-555C1BD1D9CD}" name="Column2424"/>
    <tableColumn id="2425" xr3:uid="{C843295A-ED31-4921-BEED-3A02E4BA5CA4}" name="Column2425"/>
    <tableColumn id="2426" xr3:uid="{8156C980-2801-4A8A-997A-5FC064F627AA}" name="Column2426"/>
    <tableColumn id="2427" xr3:uid="{9EA73AA5-1A0D-4848-9F1A-D07E62C24BB6}" name="Column2427"/>
    <tableColumn id="2428" xr3:uid="{7CEA9235-CC67-4582-913A-F3C9CF46917F}" name="Column2428"/>
    <tableColumn id="2429" xr3:uid="{DCD66E09-4535-42EB-A3DE-44ADDA83D583}" name="Column2429"/>
    <tableColumn id="2430" xr3:uid="{9078655C-D818-47BA-8A11-3DABCDE4BA9C}" name="Column2430"/>
    <tableColumn id="2431" xr3:uid="{20EC3E42-1AEA-4D2E-AA93-5BF0DC9467BF}" name="Column2431"/>
    <tableColumn id="2432" xr3:uid="{0CFC3872-C33C-438A-B860-10DE2CAE87B7}" name="Column2432"/>
    <tableColumn id="2433" xr3:uid="{6132DE1E-A00C-4F0F-9739-B64946492330}" name="Column2433"/>
    <tableColumn id="2434" xr3:uid="{54C970E3-A818-4357-8082-14623A000754}" name="Column2434"/>
    <tableColumn id="2435" xr3:uid="{B29C10C2-A693-4DAC-9A5F-61272707A135}" name="Column2435"/>
    <tableColumn id="2436" xr3:uid="{3DA2FA46-23AE-4715-B80D-FA080A759F3A}" name="Column2436"/>
    <tableColumn id="2437" xr3:uid="{B886C462-E7F8-4181-B21D-65A153988306}" name="Column2437"/>
    <tableColumn id="2438" xr3:uid="{9C3A31D3-C027-48AF-81EC-A96635C355AF}" name="Column2438"/>
    <tableColumn id="2439" xr3:uid="{CC160E37-0FD6-49CB-A2B5-7C9CBEDD5652}" name="Column2439"/>
    <tableColumn id="2440" xr3:uid="{234C15B8-DA49-4F0E-BDA5-DE95AD9FF782}" name="Column2440"/>
    <tableColumn id="2441" xr3:uid="{35CC1C42-8EA9-4DF4-99D0-67DF488C8C52}" name="Column2441"/>
    <tableColumn id="2442" xr3:uid="{53D03E9B-EBD8-42E5-A60B-4AF08BBA13FD}" name="Column2442"/>
    <tableColumn id="2443" xr3:uid="{202A52D2-885D-48FF-BAE7-0CEE884564F3}" name="Column2443"/>
    <tableColumn id="2444" xr3:uid="{96B0DA4C-1D2C-4174-9C3C-C4E86B727282}" name="Column2444"/>
    <tableColumn id="2445" xr3:uid="{6A0D868E-0619-4A7F-94D5-6D413227C023}" name="Column2445"/>
    <tableColumn id="2446" xr3:uid="{FC012EE0-7E46-4D1F-85A5-BD9D2AF9840C}" name="Column2446"/>
    <tableColumn id="2447" xr3:uid="{9AA064EB-C541-4757-8BC3-AF1D0ABF3130}" name="Column2447"/>
    <tableColumn id="2448" xr3:uid="{D2B38402-616F-4109-90D9-000FCD7D5047}" name="Column2448"/>
    <tableColumn id="2449" xr3:uid="{6CDA03AB-97AF-4B10-BA35-5755B2DE07C6}" name="Column2449"/>
    <tableColumn id="2450" xr3:uid="{0CB47869-2BED-4FDA-BFFB-215CD50C3F4B}" name="Column2450"/>
    <tableColumn id="2451" xr3:uid="{383B1B04-AE69-49D3-9A61-62D5A24761B9}" name="Column2451"/>
    <tableColumn id="2452" xr3:uid="{B4C77866-0757-46E9-9546-DA76C6A3B249}" name="Column2452"/>
    <tableColumn id="2453" xr3:uid="{97D6DC77-066A-47CD-B290-753D4D1BD5C2}" name="Column2453"/>
    <tableColumn id="2454" xr3:uid="{3783EF61-DE20-4FC9-828C-F525B23596C4}" name="Column2454"/>
    <tableColumn id="2455" xr3:uid="{60C9753E-FE0F-433C-A404-7EE17A871BA8}" name="Column2455"/>
    <tableColumn id="2456" xr3:uid="{18CC4C9B-988F-4136-A14F-A440727EAA7D}" name="Column2456"/>
    <tableColumn id="2457" xr3:uid="{7161EC57-6106-4F5A-BBE7-A0C2BC6B8D7A}" name="Column2457"/>
    <tableColumn id="2458" xr3:uid="{2826D451-00C6-4205-B3B4-0DC72FD55A51}" name="Column2458"/>
    <tableColumn id="2459" xr3:uid="{43E7969F-6006-47F3-9F51-E86E7942B4CF}" name="Column2459"/>
    <tableColumn id="2460" xr3:uid="{B8174E79-8380-4A7F-A62E-A5D2377F72B2}" name="Column2460"/>
    <tableColumn id="2461" xr3:uid="{50E134C4-1704-4F40-874F-899AAE8B4845}" name="Column2461"/>
    <tableColumn id="2462" xr3:uid="{E32E2724-556C-4419-BE03-310457EFF8B3}" name="Column2462"/>
    <tableColumn id="2463" xr3:uid="{F2C25CA1-9789-4BA5-9AC1-3D8EEA61A427}" name="Column2463"/>
    <tableColumn id="2464" xr3:uid="{42774DA2-EA17-4F59-901B-35C86FA8D4FC}" name="Column2464"/>
    <tableColumn id="2465" xr3:uid="{99D9B445-7CEE-4CAC-AE4E-B20525A9A1DA}" name="Column2465"/>
    <tableColumn id="2466" xr3:uid="{07C6C7E1-4A27-437E-91BB-37DBDD7D5414}" name="Column2466"/>
    <tableColumn id="2467" xr3:uid="{207EF8FE-FEDF-44FA-B630-790A2C000B59}" name="Column2467"/>
    <tableColumn id="2468" xr3:uid="{38CEE776-EE24-4096-A1E4-29050681BBA1}" name="Column2468"/>
    <tableColumn id="2469" xr3:uid="{99EAA58D-CA55-4F08-A949-FB6C1B5C6D25}" name="Column2469"/>
    <tableColumn id="2470" xr3:uid="{6F67A03A-91FA-4ADD-B361-2D9E0DD9B7AE}" name="Column2470"/>
    <tableColumn id="2471" xr3:uid="{14ABD67D-F91A-4C54-B37D-34B97593787F}" name="Column2471"/>
    <tableColumn id="2472" xr3:uid="{062AEB07-4802-47FF-99DE-8475664B9062}" name="Column2472"/>
    <tableColumn id="2473" xr3:uid="{3FC93D07-E29C-4CD6-A510-87455A317AA9}" name="Column2473"/>
    <tableColumn id="2474" xr3:uid="{62AA8953-068B-4559-80C8-0E79C333C9C4}" name="Column2474"/>
    <tableColumn id="2475" xr3:uid="{D1428600-2FED-46E4-B7B7-FB7C87815505}" name="Column2475"/>
    <tableColumn id="2476" xr3:uid="{26CC1D88-45E5-42EE-AAFF-743B4F4EE71D}" name="Column2476"/>
    <tableColumn id="2477" xr3:uid="{4B9290BD-2361-498E-A2C8-FBF385050D53}" name="Column2477"/>
    <tableColumn id="2478" xr3:uid="{40F4E80A-332E-49FC-853D-40648FCE43C7}" name="Column2478"/>
    <tableColumn id="2479" xr3:uid="{9E2112F0-12E8-448D-87B7-F6291FBE11C2}" name="Column2479"/>
    <tableColumn id="2480" xr3:uid="{4814B267-063E-45A4-9B46-3FA0D3B7BEA3}" name="Column2480"/>
    <tableColumn id="2481" xr3:uid="{1F87B6C0-3224-4EF4-90C6-BAA5A53DE745}" name="Column2481"/>
    <tableColumn id="2482" xr3:uid="{45F0E608-2A2E-4DCA-9103-703F00DDE7E9}" name="Column2482"/>
    <tableColumn id="2483" xr3:uid="{A9B5675B-4CE5-42BD-9502-8C81E8D08DE5}" name="Column2483"/>
    <tableColumn id="2484" xr3:uid="{0A676A87-B59F-4DDC-B887-EE4E5FF525B5}" name="Column2484"/>
    <tableColumn id="2485" xr3:uid="{271D7FCC-0337-4E17-81DF-A3F0B7D66CA0}" name="Column2485"/>
    <tableColumn id="2486" xr3:uid="{99AC10DD-BB00-4462-9B2E-35ACBCA4CDB5}" name="Column2486"/>
    <tableColumn id="2487" xr3:uid="{3257A920-E454-40DA-B452-50C64E3AC3E0}" name="Column2487"/>
    <tableColumn id="2488" xr3:uid="{E76F23CB-1B49-4F04-8B65-43982CED00CD}" name="Column2488"/>
    <tableColumn id="2489" xr3:uid="{320B0607-0088-4C31-A052-591B65244C17}" name="Column2489"/>
    <tableColumn id="2490" xr3:uid="{754D3C2C-3E8C-4912-BB74-7870969A7A25}" name="Column2490"/>
    <tableColumn id="2491" xr3:uid="{498CC137-87F3-402C-A2A2-9B9858B9D232}" name="Column2491"/>
    <tableColumn id="2492" xr3:uid="{29D2A7AD-A1A5-4DB7-9C64-7C05287D5C7B}" name="Column2492"/>
    <tableColumn id="2493" xr3:uid="{AF2DC35A-7307-4B48-8425-3660DC91CD1C}" name="Column2493"/>
    <tableColumn id="2494" xr3:uid="{3DCFEED6-A687-4A3E-85A2-F2DF415E73C1}" name="Column2494"/>
    <tableColumn id="2495" xr3:uid="{DB9D9E46-0AF9-488D-AB3A-120C8EAE0E27}" name="Column2495"/>
    <tableColumn id="2496" xr3:uid="{F018F3B0-A562-4FFD-9FE3-F876BEC767D4}" name="Column2496"/>
    <tableColumn id="2497" xr3:uid="{CD1725AD-2EB1-416C-AF0A-E75474005CAC}" name="Column2497"/>
    <tableColumn id="2498" xr3:uid="{C316F3C6-A061-4580-B905-7A49A79EB2B0}" name="Column2498"/>
    <tableColumn id="2499" xr3:uid="{E004464B-6EAF-41BA-9567-71DAEA68B28E}" name="Column2499"/>
    <tableColumn id="2500" xr3:uid="{200B5DC9-7ED9-498C-BD3D-72CCE5663B14}" name="Column2500"/>
    <tableColumn id="2501" xr3:uid="{ED1A556C-F8E4-4500-820C-65D648A5D80B}" name="Column2501"/>
    <tableColumn id="2502" xr3:uid="{C174CB08-A1DF-4932-8F0F-D00427DFFFB4}" name="Column2502"/>
    <tableColumn id="2503" xr3:uid="{6382BB26-9878-4E6C-A77B-D6FAD81F6FF2}" name="Column2503"/>
    <tableColumn id="2504" xr3:uid="{B8C351BE-C3B7-4BA9-9A05-776E17AF38B1}" name="Column2504"/>
    <tableColumn id="2505" xr3:uid="{51D9E957-102F-4663-A2E2-2400925EA1B4}" name="Column2505"/>
    <tableColumn id="2506" xr3:uid="{55E870AD-2622-41BA-9F62-5C4F1729ED2D}" name="Column2506"/>
    <tableColumn id="2507" xr3:uid="{F8803013-060B-4CBF-8347-8B1B2F8D5646}" name="Column2507"/>
    <tableColumn id="2508" xr3:uid="{A9A466D3-0351-41F7-9FD5-9EA2AB027EB9}" name="Column2508"/>
    <tableColumn id="2509" xr3:uid="{6D9E57F6-83FC-4844-82A8-92ACFC281584}" name="Column2509"/>
    <tableColumn id="2510" xr3:uid="{9FE2208E-B9B4-457D-9F89-1AC8D72CBAE1}" name="Column2510"/>
    <tableColumn id="2511" xr3:uid="{1107E532-DD9A-4E2F-8A53-39091707D14D}" name="Column2511"/>
    <tableColumn id="2512" xr3:uid="{EE4A9677-4303-4CCF-858E-AFB4298F2731}" name="Column2512"/>
    <tableColumn id="2513" xr3:uid="{9EA4CCD7-EF63-4684-8E61-2F3A260BF504}" name="Column2513"/>
    <tableColumn id="2514" xr3:uid="{6633DE20-C5B0-4BA0-8677-C8E821ACAF60}" name="Column2514"/>
    <tableColumn id="2515" xr3:uid="{02C95300-5BA5-4E1F-B10B-52999790921D}" name="Column2515"/>
    <tableColumn id="2516" xr3:uid="{19B5045B-1024-4653-AAD6-13530BC7CA53}" name="Column2516"/>
    <tableColumn id="2517" xr3:uid="{34E74927-A2F4-4D66-A447-FB36AE26FAEE}" name="Column2517"/>
    <tableColumn id="2518" xr3:uid="{35ED28E5-9DF4-46B1-8652-7F7CBC071581}" name="Column2518"/>
    <tableColumn id="2519" xr3:uid="{AB5685A3-B8CD-41E0-96E1-5CE25CAD791C}" name="Column2519"/>
    <tableColumn id="2520" xr3:uid="{76DED028-16BD-49B3-BD88-15C2ACD305D9}" name="Column2520"/>
    <tableColumn id="2521" xr3:uid="{4F123278-0B82-4BC5-A2E8-B8113D6828D9}" name="Column2521"/>
    <tableColumn id="2522" xr3:uid="{1054A691-C896-4621-939F-1512F053345A}" name="Column2522"/>
    <tableColumn id="2523" xr3:uid="{9CD0653A-D595-40CB-9B22-F5E4B24B9C91}" name="Column2523"/>
    <tableColumn id="2524" xr3:uid="{008719B8-0535-4307-A7C0-36ACA2D7B45D}" name="Column2524"/>
    <tableColumn id="2525" xr3:uid="{26D55535-46FE-4643-AA88-966D8CFD295D}" name="Column2525"/>
    <tableColumn id="2526" xr3:uid="{10CCC108-D5DC-40F7-B211-AFD37BA46FE5}" name="Column2526"/>
    <tableColumn id="2527" xr3:uid="{192756DA-2D55-43C6-893B-AB4EF4364175}" name="Column2527"/>
    <tableColumn id="2528" xr3:uid="{B8C60994-DB93-434F-AA1F-FC9746C6842E}" name="Column2528"/>
    <tableColumn id="2529" xr3:uid="{A76D1F99-9022-4CA8-A08C-8A34F7A129EE}" name="Column2529"/>
    <tableColumn id="2530" xr3:uid="{BBFAAC04-02E0-486D-9F83-962A9F7C605F}" name="Column2530"/>
    <tableColumn id="2531" xr3:uid="{F367BC3A-1A4B-4A2F-816C-72616AD280BC}" name="Column2531"/>
    <tableColumn id="2532" xr3:uid="{BF00C082-FA75-4A4D-B50B-E44375B4E118}" name="Column2532"/>
    <tableColumn id="2533" xr3:uid="{E2B7EF55-361B-4591-AD07-416D069AD2F6}" name="Column2533"/>
    <tableColumn id="2534" xr3:uid="{7F184866-EFD9-4EF3-BE6F-45F11147D4AB}" name="Column2534"/>
    <tableColumn id="2535" xr3:uid="{C52F67D5-927C-43E1-9517-FAFE30761D7D}" name="Column2535"/>
    <tableColumn id="2536" xr3:uid="{1DE0ED2F-410C-4B61-9E90-8B24921A597A}" name="Column2536"/>
    <tableColumn id="2537" xr3:uid="{3256C1BB-1418-4347-9982-1F50BA2F8096}" name="Column2537"/>
    <tableColumn id="2538" xr3:uid="{A9CADECA-AEF6-4B6E-8F69-3DB2F0C8F9E6}" name="Column2538"/>
    <tableColumn id="2539" xr3:uid="{891E5A23-447C-4BBF-921F-B3CA8F6B9BCB}" name="Column2539"/>
    <tableColumn id="2540" xr3:uid="{FEC91E87-18CD-4A56-A4E9-71CBFC59F0D2}" name="Column2540"/>
    <tableColumn id="2541" xr3:uid="{8FFC7F47-0C40-4B6F-BDAD-F5BD4845B6BC}" name="Column2541"/>
    <tableColumn id="2542" xr3:uid="{272037E7-919A-4E5E-BD0D-C49DF085F447}" name="Column2542"/>
    <tableColumn id="2543" xr3:uid="{A74221D8-3EE1-4357-924F-22A7D49630B4}" name="Column2543"/>
    <tableColumn id="2544" xr3:uid="{28EDAB0C-04FB-4097-A45A-15CE5C55A8B0}" name="Column2544"/>
    <tableColumn id="2545" xr3:uid="{94E2BE52-730B-4645-BCEE-D33F2691FFC7}" name="Column2545"/>
    <tableColumn id="2546" xr3:uid="{03D42C03-4F56-4415-9334-91C539F7C2B2}" name="Column2546"/>
    <tableColumn id="2547" xr3:uid="{FEE83359-04A3-4743-837D-C8B5AF75049D}" name="Column2547"/>
    <tableColumn id="2548" xr3:uid="{82D1D41E-9582-49B7-A751-440BBB7296D1}" name="Column2548"/>
    <tableColumn id="2549" xr3:uid="{20E88D14-EA1A-44D1-8E3A-D54ACC5C5FE2}" name="Column2549"/>
    <tableColumn id="2550" xr3:uid="{45CE709F-FC43-47D3-A1A3-4E0FC22F53AD}" name="Column2550"/>
    <tableColumn id="2551" xr3:uid="{32D73A13-7AD4-4D63-B617-1F914A469D67}" name="Column2551"/>
    <tableColumn id="2552" xr3:uid="{A5827ACD-E917-441B-B5DC-CF9D457262D1}" name="Column2552"/>
    <tableColumn id="2553" xr3:uid="{19779C92-C2E6-43CF-B688-E8A1F9B43BB2}" name="Column2553"/>
    <tableColumn id="2554" xr3:uid="{2102F7F1-B19C-4A42-A05E-5D5E11A3433F}" name="Column2554"/>
    <tableColumn id="2555" xr3:uid="{3758E669-C7DA-42BE-A6DF-DC04FE5F1FCF}" name="Column2555"/>
    <tableColumn id="2556" xr3:uid="{B42FB2E1-0BFB-4321-8E90-CCDFCD7E7149}" name="Column2556"/>
    <tableColumn id="2557" xr3:uid="{1BB20FA8-7B68-4F9E-A307-FFDAED8A9EDE}" name="Column2557"/>
    <tableColumn id="2558" xr3:uid="{CEB7D312-7260-439E-A680-9414235BEB7D}" name="Column2558"/>
    <tableColumn id="2559" xr3:uid="{91DD4E2B-CD78-4955-AE9D-D92E3CB08BDB}" name="Column2559"/>
    <tableColumn id="2560" xr3:uid="{3ECF06B5-AB72-46EA-BA8E-146071B25DD6}" name="Column2560"/>
    <tableColumn id="2561" xr3:uid="{0A7945BC-FA43-4E66-BBAE-1491C0CB657A}" name="Column2561"/>
    <tableColumn id="2562" xr3:uid="{39D0452F-7C22-46DA-95F3-EE4FEEE7F323}" name="Column2562"/>
    <tableColumn id="2563" xr3:uid="{47A59337-C68F-493C-9C78-3C3AEE2C2B27}" name="Column2563"/>
    <tableColumn id="2564" xr3:uid="{90CDD84E-9951-4FE8-AEC1-E3BBFB1847A0}" name="Column2564"/>
    <tableColumn id="2565" xr3:uid="{37A9E874-392B-4005-981A-57A51C8D6BF5}" name="Column2565"/>
    <tableColumn id="2566" xr3:uid="{23E2108B-6D0A-4B95-8EDD-48B582FA185C}" name="Column2566"/>
    <tableColumn id="2567" xr3:uid="{46B144BE-E5AA-469A-BF31-7A233E861A5F}" name="Column2567"/>
    <tableColumn id="2568" xr3:uid="{BFD936B5-92FD-4871-B12B-EF8FAD0D3477}" name="Column2568"/>
    <tableColumn id="2569" xr3:uid="{A9261A9B-C59E-4AF5-AA07-33562A48FC20}" name="Column2569"/>
    <tableColumn id="2570" xr3:uid="{EDD766A5-2BAC-4707-BA3E-31EA3CDB87B2}" name="Column2570"/>
    <tableColumn id="2571" xr3:uid="{FAA6E7DF-EC57-457A-AF77-C843A3EEF62C}" name="Column2571"/>
    <tableColumn id="2572" xr3:uid="{6EB6FCE4-BC1A-42CE-90CC-216C52E9AF56}" name="Column2572"/>
    <tableColumn id="2573" xr3:uid="{224419C0-B686-4AA4-8298-3A8B30DEF75D}" name="Column2573"/>
    <tableColumn id="2574" xr3:uid="{67F80055-2FB8-4573-B02E-2E71D631B596}" name="Column2574"/>
    <tableColumn id="2575" xr3:uid="{F516851D-ECF8-4F0A-8E3C-2118A531D1D9}" name="Column2575"/>
    <tableColumn id="2576" xr3:uid="{124FD558-F60E-49ED-800C-6B72E0C56388}" name="Column2576"/>
    <tableColumn id="2577" xr3:uid="{31D1986F-D921-4012-BA19-B17164628CDC}" name="Column2577"/>
    <tableColumn id="2578" xr3:uid="{58E4E71F-F890-4D09-B5BB-2FE087B0C1EF}" name="Column2578"/>
    <tableColumn id="2579" xr3:uid="{B709894C-0E1D-472C-9880-807545BBDA24}" name="Column2579"/>
    <tableColumn id="2580" xr3:uid="{4BA485EA-6E41-4F0E-94BB-DB50A9C8484F}" name="Column2580"/>
    <tableColumn id="2581" xr3:uid="{FAD23625-A4F7-40E5-AE3B-FB92C0506765}" name="Column2581"/>
    <tableColumn id="2582" xr3:uid="{CC06F819-D2BC-4096-96BE-D4B6A009A68A}" name="Column2582"/>
    <tableColumn id="2583" xr3:uid="{4C6FD7D8-EFB8-4485-B1A1-1D24448F70E1}" name="Column2583"/>
    <tableColumn id="2584" xr3:uid="{814A50D8-AF88-449D-B6AA-AD0177172D91}" name="Column2584"/>
    <tableColumn id="2585" xr3:uid="{E4619247-5D71-4A0E-B1C9-E3B617C1ECFD}" name="Column2585"/>
    <tableColumn id="2586" xr3:uid="{AC165FB7-A24C-444F-BCCE-2C17123FB107}" name="Column2586"/>
    <tableColumn id="2587" xr3:uid="{5FA50430-EB98-4655-BAA5-4A4B7C716371}" name="Column2587"/>
    <tableColumn id="2588" xr3:uid="{0E6CF509-9F89-4C9B-AFF0-B8C3F561E02C}" name="Column2588"/>
    <tableColumn id="2589" xr3:uid="{ACA561BF-969D-46C8-81E7-988CBDC62351}" name="Column2589"/>
    <tableColumn id="2590" xr3:uid="{3EF03445-1896-44CA-B77D-870067EC606F}" name="Column2590"/>
    <tableColumn id="2591" xr3:uid="{A4B7A900-6206-49BD-B121-2B88A609A23D}" name="Column2591"/>
    <tableColumn id="2592" xr3:uid="{A995A827-AB8C-4F05-8F2F-E972292879A9}" name="Column2592"/>
    <tableColumn id="2593" xr3:uid="{16495E68-97BB-4578-AA76-97F6979DD9DE}" name="Column2593"/>
    <tableColumn id="2594" xr3:uid="{ED1D58E8-B1AA-4831-8F83-C257E85B795A}" name="Column2594"/>
    <tableColumn id="2595" xr3:uid="{85E6FED5-ED5B-4F48-B9A1-46D000D98EE1}" name="Column2595"/>
    <tableColumn id="2596" xr3:uid="{96EF5FEF-552E-454D-85BB-5F76299479A5}" name="Column2596"/>
    <tableColumn id="2597" xr3:uid="{9F015976-38AE-4C86-BE29-6C53D56B2B19}" name="Column2597"/>
    <tableColumn id="2598" xr3:uid="{84BA3D38-E1ED-4B64-A69A-AC06E7085523}" name="Column2598"/>
    <tableColumn id="2599" xr3:uid="{D3B30ACD-E8BA-4133-88E4-B66801D705BE}" name="Column2599"/>
    <tableColumn id="2600" xr3:uid="{826CE0C3-D585-4B54-BE9A-52483160BBFD}" name="Column2600"/>
    <tableColumn id="2601" xr3:uid="{7435BD71-95B4-4D33-807C-010B95E88789}" name="Column2601"/>
    <tableColumn id="2602" xr3:uid="{47637065-C6D7-420F-9B15-E95AA15FCC83}" name="Column2602"/>
    <tableColumn id="2603" xr3:uid="{7814D927-3E5D-4A18-A0BD-35EDB25066FF}" name="Column2603"/>
    <tableColumn id="2604" xr3:uid="{6307218C-ED7E-4B27-8BA4-5359D6CD223D}" name="Column2604"/>
    <tableColumn id="2605" xr3:uid="{16D4DC15-C402-41E6-85B3-478A90C7C8A0}" name="Column2605"/>
    <tableColumn id="2606" xr3:uid="{02294D34-37B2-425C-BBDB-A2B540F98D7E}" name="Column2606"/>
    <tableColumn id="2607" xr3:uid="{16EDE705-9A7B-41B1-8B82-7FBC3FD7212B}" name="Column2607"/>
    <tableColumn id="2608" xr3:uid="{D0A90DF1-339F-415A-ACA5-946921D9AE07}" name="Column2608"/>
    <tableColumn id="2609" xr3:uid="{8FF91F74-0433-4540-A72E-7617E5ADDAEC}" name="Column2609"/>
    <tableColumn id="2610" xr3:uid="{F1915736-DD6B-4309-A4E1-9D298E589E8E}" name="Column2610"/>
    <tableColumn id="2611" xr3:uid="{E7AD1844-32B6-4F24-8BD5-3FD36C8C28B1}" name="Column2611"/>
    <tableColumn id="2612" xr3:uid="{BC8C0917-288E-44B3-A32C-AB5ABC628CFD}" name="Column2612"/>
    <tableColumn id="2613" xr3:uid="{FFE33ADD-5231-40F1-BEF0-C54A789A70E6}" name="Column2613"/>
    <tableColumn id="2614" xr3:uid="{F92B899C-1074-4EF7-8E94-56E54478B8FE}" name="Column2614"/>
    <tableColumn id="2615" xr3:uid="{11DA89C5-4534-4C33-96FE-507418E0A4E1}" name="Column2615"/>
    <tableColumn id="2616" xr3:uid="{29D9BF4D-E787-4063-9CAF-1872284841A8}" name="Column2616"/>
    <tableColumn id="2617" xr3:uid="{39DB23EA-9700-4B20-A50D-A447EB333F8E}" name="Column2617"/>
    <tableColumn id="2618" xr3:uid="{43766E8F-8C56-4125-94EC-C63C9041B4AC}" name="Column2618"/>
    <tableColumn id="2619" xr3:uid="{CF461DAD-968D-4BD8-9F7D-7ADB8F7B9ECE}" name="Column2619"/>
    <tableColumn id="2620" xr3:uid="{4CAB9B4C-65B3-4873-8145-1DE97C813841}" name="Column2620"/>
    <tableColumn id="2621" xr3:uid="{53AB094F-B8CD-4C01-BF71-3F248123BD5B}" name="Column2621"/>
    <tableColumn id="2622" xr3:uid="{D7687997-7E8F-429D-908B-FAFF69D8B6BF}" name="Column2622"/>
    <tableColumn id="2623" xr3:uid="{342D4C2E-6945-4DAC-9C7B-21816AD5D269}" name="Column2623"/>
    <tableColumn id="2624" xr3:uid="{E684E053-52E1-4CB1-8BD7-A1693C915AC3}" name="Column2624"/>
    <tableColumn id="2625" xr3:uid="{C0D429DD-1BFF-42AD-BA36-ED99681E36D0}" name="Column2625"/>
    <tableColumn id="2626" xr3:uid="{039BFB82-3E87-4E1C-8206-05B5B6DE490D}" name="Column2626"/>
    <tableColumn id="2627" xr3:uid="{AA85060B-3E4B-4115-B5F4-D926666D63BB}" name="Column2627"/>
    <tableColumn id="2628" xr3:uid="{066C9FA1-42E4-4599-A1F4-BA61F31E15F1}" name="Column2628"/>
    <tableColumn id="2629" xr3:uid="{CF78C727-67E9-4A27-9F28-CC67842772E1}" name="Column2629"/>
    <tableColumn id="2630" xr3:uid="{547CA9B6-F3F9-4F21-B18B-FAE3C53D10EF}" name="Column2630"/>
    <tableColumn id="2631" xr3:uid="{EF1A994A-1A8A-43D8-8293-AF9FBC5FB737}" name="Column2631"/>
    <tableColumn id="2632" xr3:uid="{1F29C916-761E-411A-8575-5B85F9B08E85}" name="Column2632"/>
    <tableColumn id="2633" xr3:uid="{F2D809B2-5BC9-4EA2-AF70-DC430BD5E895}" name="Column2633"/>
    <tableColumn id="2634" xr3:uid="{73F4FF09-156C-4AB2-923F-9F6BA58DB490}" name="Column2634"/>
    <tableColumn id="2635" xr3:uid="{75CB1E90-ACFD-471A-ABE6-97ADA62DBCE2}" name="Column2635"/>
    <tableColumn id="2636" xr3:uid="{A57740EF-A046-4A6D-B91F-9A56AEA74C51}" name="Column2636"/>
    <tableColumn id="2637" xr3:uid="{D8B453D9-47AA-4AD5-81B6-01FEFB42B98C}" name="Column2637"/>
    <tableColumn id="2638" xr3:uid="{96FF0442-31A7-420C-8401-6CBB5E492A86}" name="Column2638"/>
    <tableColumn id="2639" xr3:uid="{503592BB-0964-43A9-907E-750523850629}" name="Column2639"/>
    <tableColumn id="2640" xr3:uid="{1DD002A5-86C8-4E3F-AC92-23B0DA79D515}" name="Column2640"/>
    <tableColumn id="2641" xr3:uid="{06F6B26D-D5BF-4EE1-9A7C-F839702B3AFE}" name="Column2641"/>
    <tableColumn id="2642" xr3:uid="{79C5B253-6654-4666-88B5-8290D9BD6002}" name="Column2642"/>
    <tableColumn id="2643" xr3:uid="{70EE43EB-50EA-4AF8-B6D8-F089B5212F2B}" name="Column2643"/>
    <tableColumn id="2644" xr3:uid="{17480590-C26C-4B91-BE46-81E62905416D}" name="Column2644"/>
    <tableColumn id="2645" xr3:uid="{56192F86-FA51-4676-BDF1-37E6AE7E331F}" name="Column2645"/>
    <tableColumn id="2646" xr3:uid="{63F2A37D-F79E-4726-AD9E-43A15347663B}" name="Column2646"/>
    <tableColumn id="2647" xr3:uid="{0E62F40E-DC67-43B5-B485-C7729E6D5B51}" name="Column2647"/>
    <tableColumn id="2648" xr3:uid="{6E9A7032-2C33-41CC-87B4-4C4FD8F73EDB}" name="Column2648"/>
    <tableColumn id="2649" xr3:uid="{B0982535-15D7-41B4-85AA-70E10EBB94CA}" name="Column2649"/>
    <tableColumn id="2650" xr3:uid="{58407DA2-58B9-4C50-A88D-9B7863BDBAEF}" name="Column2650"/>
    <tableColumn id="2651" xr3:uid="{2DA401DB-ED23-4AF8-99F0-630215801A35}" name="Column2651"/>
    <tableColumn id="2652" xr3:uid="{D97B9546-DDA8-43AE-94A8-23D0D6419375}" name="Column2652"/>
    <tableColumn id="2653" xr3:uid="{E9F2CAF1-34B7-4D6D-B558-20BAEAFD9990}" name="Column2653"/>
    <tableColumn id="2654" xr3:uid="{4548BE7B-4D1D-4906-8396-1673DFFBBC69}" name="Column2654"/>
    <tableColumn id="2655" xr3:uid="{4B511324-E4D3-472C-B39A-85388DDC8A33}" name="Column2655"/>
    <tableColumn id="2656" xr3:uid="{A92A344D-79EC-4EFE-81E3-B324B0C36BF6}" name="Column2656"/>
    <tableColumn id="2657" xr3:uid="{1FB65AC1-5B8A-4653-8F6C-D32EB6767964}" name="Column2657"/>
    <tableColumn id="2658" xr3:uid="{304DBC69-AF0F-486F-BE9E-8F2E21B34E07}" name="Column2658"/>
    <tableColumn id="2659" xr3:uid="{67A39050-3BF0-46F2-BEBE-32E4BC716C1D}" name="Column2659"/>
    <tableColumn id="2660" xr3:uid="{FA0DDBCB-9FFF-496F-AB3F-E2C25BB0AFDB}" name="Column2660"/>
    <tableColumn id="2661" xr3:uid="{87E447B6-5888-4296-BD16-07AF628B5743}" name="Column2661"/>
    <tableColumn id="2662" xr3:uid="{D1129D67-CAD9-48E1-AA64-63D46ACD1C7A}" name="Column2662"/>
    <tableColumn id="2663" xr3:uid="{72D0185F-3A41-4DDD-B5A6-A14CE2E5A716}" name="Column2663"/>
    <tableColumn id="2664" xr3:uid="{3CB69C96-ACB6-4968-BBAF-4A8EDB5FCCCE}" name="Column2664"/>
    <tableColumn id="2665" xr3:uid="{E1E06279-45B8-41FB-AC51-D31497CA3551}" name="Column2665"/>
    <tableColumn id="2666" xr3:uid="{97D7263C-B28A-4D7B-8F06-76504ADD8C8D}" name="Column2666"/>
    <tableColumn id="2667" xr3:uid="{98F62CA8-0952-42D9-AD6B-64CF0500EAF9}" name="Column2667"/>
    <tableColumn id="2668" xr3:uid="{05173756-254F-4FBA-903B-3DE58700D185}" name="Column2668"/>
    <tableColumn id="2669" xr3:uid="{CF2BA913-2F16-470F-A84B-D58789BDF014}" name="Column2669"/>
    <tableColumn id="2670" xr3:uid="{2BF65062-4A11-4567-9D4F-6DF8D25ACE0F}" name="Column2670"/>
    <tableColumn id="2671" xr3:uid="{E638A5D2-9C6E-42E3-A862-1E29BBF49C90}" name="Column2671"/>
    <tableColumn id="2672" xr3:uid="{B2EF036C-8405-4038-9ED9-E6641F556FA3}" name="Column2672"/>
    <tableColumn id="2673" xr3:uid="{69F6C252-FE7A-4E6A-ABC0-77BFE2A2F098}" name="Column2673"/>
    <tableColumn id="2674" xr3:uid="{7084F905-18DD-44BC-A1CE-DBEBCFD9218B}" name="Column2674"/>
    <tableColumn id="2675" xr3:uid="{33566FFA-BA18-41F9-90AD-D3838FD38BA0}" name="Column2675"/>
    <tableColumn id="2676" xr3:uid="{71EEAA44-98EA-4C90-B638-BD428A9B2182}" name="Column2676"/>
    <tableColumn id="2677" xr3:uid="{CF70686C-865C-4DBD-8D3A-C1F71D0B2BBB}" name="Column2677"/>
    <tableColumn id="2678" xr3:uid="{AF839FDE-918A-4EBB-8313-46268D060F8F}" name="Column2678"/>
    <tableColumn id="2679" xr3:uid="{4EC3CCCB-81FE-4C4A-97B5-AD1015707854}" name="Column2679"/>
    <tableColumn id="2680" xr3:uid="{8EB86AF3-8FB5-4285-B284-07E78C2667CF}" name="Column2680"/>
    <tableColumn id="2681" xr3:uid="{DA4A7305-CFF2-4FE9-8A09-C6933618639D}" name="Column2681"/>
    <tableColumn id="2682" xr3:uid="{0C98827B-D430-4802-9A35-B8405AEDC2E8}" name="Column2682"/>
    <tableColumn id="2683" xr3:uid="{03498552-601D-4F7D-B56F-0EA170E9720C}" name="Column2683"/>
    <tableColumn id="2684" xr3:uid="{21877647-805B-4DE4-8537-FD6277C81AD8}" name="Column2684"/>
    <tableColumn id="2685" xr3:uid="{74166D7E-9E69-42E7-864B-DD2CE4326BC6}" name="Column2685"/>
    <tableColumn id="2686" xr3:uid="{179B7B32-1A2F-4DE8-8411-9031A991A8E2}" name="Column2686"/>
    <tableColumn id="2687" xr3:uid="{E2D7915C-F644-4929-901D-B12E3A507772}" name="Column2687"/>
    <tableColumn id="2688" xr3:uid="{819AE8EB-2487-4573-82C9-C435AED68EE0}" name="Column2688"/>
    <tableColumn id="2689" xr3:uid="{C5097578-1A58-425D-A591-50530630CCAB}" name="Column2689"/>
    <tableColumn id="2690" xr3:uid="{A017DCD3-F54E-4F86-9E22-1A6A3544883D}" name="Column2690"/>
    <tableColumn id="2691" xr3:uid="{121E00A0-292F-49E4-8E6D-F2537144660D}" name="Column2691"/>
    <tableColumn id="2692" xr3:uid="{12A537E5-D95E-403F-B531-531B8EF4D670}" name="Column2692"/>
    <tableColumn id="2693" xr3:uid="{13C78704-CF14-4D4A-A1F2-08A79901F036}" name="Column2693"/>
    <tableColumn id="2694" xr3:uid="{ED5D8315-1EAC-4F30-804F-43212D34DABD}" name="Column2694"/>
    <tableColumn id="2695" xr3:uid="{417F8326-6675-49CE-92D3-3AF34454C45B}" name="Column2695"/>
    <tableColumn id="2696" xr3:uid="{5B57DDAC-B533-4855-919B-F86C5D43B27D}" name="Column2696"/>
    <tableColumn id="2697" xr3:uid="{4388A638-EAD7-4417-97F2-61AA28E1D761}" name="Column2697"/>
    <tableColumn id="2698" xr3:uid="{CBA25203-495A-4452-8F22-7F482B616B48}" name="Column2698"/>
    <tableColumn id="2699" xr3:uid="{518E7A18-2E23-4EF8-8AF8-2BC02D990A0D}" name="Column2699"/>
    <tableColumn id="2700" xr3:uid="{1526A2E2-4542-4A16-BAAB-3649FD97DD23}" name="Column2700"/>
    <tableColumn id="2701" xr3:uid="{A52300AF-416D-4D7C-A7F1-EA1D2AA51809}" name="Column2701"/>
    <tableColumn id="2702" xr3:uid="{936C9C67-98AE-4008-B300-50CAF7D85438}" name="Column2702"/>
    <tableColumn id="2703" xr3:uid="{F052366D-D855-44F7-962A-A2870AC23DAF}" name="Column2703"/>
    <tableColumn id="2704" xr3:uid="{DE686D69-96E9-461F-8E7D-77BFA76BD64F}" name="Column2704"/>
    <tableColumn id="2705" xr3:uid="{D9798CA5-71F5-4FC8-8D32-E8CC191F7A7E}" name="Column2705"/>
    <tableColumn id="2706" xr3:uid="{7EE2B9B7-AA1A-4A2E-B249-130B110864C7}" name="Column2706"/>
    <tableColumn id="2707" xr3:uid="{081DFDE8-3FE4-4ECA-B830-585D2861F115}" name="Column2707"/>
    <tableColumn id="2708" xr3:uid="{FBDD1044-1F28-47A8-B270-7A3103F90913}" name="Column2708"/>
    <tableColumn id="2709" xr3:uid="{1C7990AE-3F0B-418D-AE93-66685AB1CCB6}" name="Column2709"/>
    <tableColumn id="2710" xr3:uid="{8FAB65A9-37F0-4515-BB38-99E7422C5E1E}" name="Column2710"/>
    <tableColumn id="2711" xr3:uid="{68B2A251-BF9A-47FC-8BA6-152E3972791F}" name="Column2711"/>
    <tableColumn id="2712" xr3:uid="{13A5052E-9928-4BAE-BFDB-37051D84CA71}" name="Column2712"/>
    <tableColumn id="2713" xr3:uid="{FCF25BC5-FFF8-4168-B9FE-B1421F68E66F}" name="Column2713"/>
    <tableColumn id="2714" xr3:uid="{7FB84B6A-A2A1-45B4-A9DA-14F6061D5DF6}" name="Column2714"/>
    <tableColumn id="2715" xr3:uid="{93EAAAB3-B3D4-4ED1-B07A-27329547854D}" name="Column2715"/>
    <tableColumn id="2716" xr3:uid="{19D7DD69-8920-4766-82BE-3117270E9113}" name="Column2716"/>
    <tableColumn id="2717" xr3:uid="{FB48A0AB-589A-4A44-A8B3-F567EA2A9570}" name="Column2717"/>
    <tableColumn id="2718" xr3:uid="{CFC9A06E-C78E-4323-8262-B193AA4C1F66}" name="Column2718"/>
    <tableColumn id="2719" xr3:uid="{724D7DFE-483E-4024-B93F-8D5F11993829}" name="Column2719"/>
    <tableColumn id="2720" xr3:uid="{FCB8E7E1-052D-4C60-AE84-15950768E0E2}" name="Column2720"/>
    <tableColumn id="2721" xr3:uid="{18FF68E7-C237-4097-922B-871A42067620}" name="Column2721"/>
    <tableColumn id="2722" xr3:uid="{557466E9-5A70-4E83-BF08-8151A784A4E7}" name="Column2722"/>
    <tableColumn id="2723" xr3:uid="{208E97CF-D69E-4CF7-920D-D4944C64757E}" name="Column2723"/>
    <tableColumn id="2724" xr3:uid="{C9C1388A-F2BA-4A91-B2D7-00BFD2B779E1}" name="Column2724"/>
    <tableColumn id="2725" xr3:uid="{BC55B082-19A8-4C17-81F3-6D78134AAD91}" name="Column2725"/>
    <tableColumn id="2726" xr3:uid="{7BCEA234-91B1-410A-BB84-AA7F76CCF282}" name="Column2726"/>
    <tableColumn id="2727" xr3:uid="{D8B4B9ED-F9EA-485D-8683-B6AB3D34E2AB}" name="Column2727"/>
    <tableColumn id="2728" xr3:uid="{C82B3A0E-A425-442F-B4DE-FEB8FA7D4D3A}" name="Column2728"/>
    <tableColumn id="2729" xr3:uid="{F1B4EB38-53B9-442D-A0DD-40297466EC25}" name="Column2729"/>
    <tableColumn id="2730" xr3:uid="{9C46B3CE-789B-47A1-95D6-6730A42CC0AF}" name="Column2730"/>
    <tableColumn id="2731" xr3:uid="{FF20438A-8CF8-4C42-91FC-4C9A96F4C94E}" name="Column2731"/>
    <tableColumn id="2732" xr3:uid="{4932926C-4C74-4720-85F4-4B8DC3A4DF4A}" name="Column2732"/>
    <tableColumn id="2733" xr3:uid="{C6A03E94-75CF-424E-982B-71B56D7DA1D2}" name="Column2733"/>
    <tableColumn id="2734" xr3:uid="{7D4FA996-53EC-43F0-A04B-6BD777DDF744}" name="Column2734"/>
    <tableColumn id="2735" xr3:uid="{E26C6E44-B4F0-4281-ACBE-1DB04A80FC83}" name="Column2735"/>
    <tableColumn id="2736" xr3:uid="{CF8C6F64-01C5-45B2-8A9D-7F7285887075}" name="Column2736"/>
    <tableColumn id="2737" xr3:uid="{80ED4C98-E36E-48EC-AF79-621E15DC1F85}" name="Column2737"/>
    <tableColumn id="2738" xr3:uid="{53E824D7-2636-4448-BA3E-071163803A3E}" name="Column2738"/>
    <tableColumn id="2739" xr3:uid="{80F742A6-11A3-4523-978E-149D1FF78EA8}" name="Column2739"/>
    <tableColumn id="2740" xr3:uid="{0C1C2277-7CF6-4046-88B2-74CAD7AF6F72}" name="Column2740"/>
    <tableColumn id="2741" xr3:uid="{B483A435-6B75-4BED-A8AC-892B5F515636}" name="Column2741"/>
    <tableColumn id="2742" xr3:uid="{AD008D6C-CA77-45B3-904C-4C8A8CC201F9}" name="Column2742"/>
    <tableColumn id="2743" xr3:uid="{E12C62AB-1CBF-49EC-813C-0059DF06B911}" name="Column2743"/>
    <tableColumn id="2744" xr3:uid="{345D895C-8E25-4061-BCDB-D66EF70BD046}" name="Column2744"/>
    <tableColumn id="2745" xr3:uid="{2C8CC9F4-161C-4F78-893A-C6DE92965B6B}" name="Column2745"/>
    <tableColumn id="2746" xr3:uid="{1C8EC31C-543E-47CC-99C4-8D30D3D5E04E}" name="Column2746"/>
    <tableColumn id="2747" xr3:uid="{231E0F33-CF3E-43B6-8E09-D413D18474D8}" name="Column2747"/>
    <tableColumn id="2748" xr3:uid="{C3AA7BC0-D9A4-4696-BD89-98BE7F7CAD1B}" name="Column2748"/>
    <tableColumn id="2749" xr3:uid="{C8C97A97-5B54-4A85-97CD-1DA60085F1C1}" name="Column2749"/>
    <tableColumn id="2750" xr3:uid="{CC2BD258-E1D0-434C-9F66-8867254FCEC2}" name="Column2750"/>
    <tableColumn id="2751" xr3:uid="{BF97902A-B271-46F0-AA2E-1E638E1E0450}" name="Column2751"/>
    <tableColumn id="2752" xr3:uid="{DA260D33-D1C6-4230-949B-D3BDE6CEF90E}" name="Column2752"/>
    <tableColumn id="2753" xr3:uid="{4D6A91AC-EBB2-4174-81B7-6BCBD2BEF035}" name="Column2753"/>
    <tableColumn id="2754" xr3:uid="{33B87B57-31F1-4D30-A44B-5A7BA1BE9C70}" name="Column2754"/>
    <tableColumn id="2755" xr3:uid="{89302CAC-A807-49F8-B2AB-8B4F0860D512}" name="Column2755"/>
    <tableColumn id="2756" xr3:uid="{8B2A3CC5-F6D0-4622-B2FF-E909484E28F2}" name="Column2756"/>
    <tableColumn id="2757" xr3:uid="{DBE42B57-6A75-4213-BBBE-145E369A6109}" name="Column2757"/>
    <tableColumn id="2758" xr3:uid="{47B13CC6-9B2A-4FBA-9577-9EC31B1E6183}" name="Column2758"/>
    <tableColumn id="2759" xr3:uid="{3F4C07DB-6299-47FA-933B-D91A8E4625A5}" name="Column2759"/>
    <tableColumn id="2760" xr3:uid="{7BDAF5A7-291C-427B-98D8-C111972D83BE}" name="Column2760"/>
    <tableColumn id="2761" xr3:uid="{2699C8D9-0C83-4056-9A23-122151D348FC}" name="Column2761"/>
    <tableColumn id="2762" xr3:uid="{613196DB-2C1F-4BF0-9329-A4F1BCD46E7A}" name="Column2762"/>
    <tableColumn id="2763" xr3:uid="{CADAD3C3-8584-4508-8494-97C7EFA41690}" name="Column2763"/>
    <tableColumn id="2764" xr3:uid="{54082F06-BC69-4742-B0DF-31ED15759C36}" name="Column2764"/>
    <tableColumn id="2765" xr3:uid="{DDE246CC-8020-4C25-90CC-99AF8370549D}" name="Column2765"/>
    <tableColumn id="2766" xr3:uid="{903ED378-0AC5-444B-B25F-6FA7A0E5C04E}" name="Column2766"/>
    <tableColumn id="2767" xr3:uid="{0F5B8A08-0A24-48A8-9605-1CBB61573124}" name="Column2767"/>
    <tableColumn id="2768" xr3:uid="{B29442C2-943E-40E6-A224-91C3B4F8F3A8}" name="Column2768"/>
    <tableColumn id="2769" xr3:uid="{E6E44564-2F60-415C-BA06-BCEB5E914F25}" name="Column2769"/>
    <tableColumn id="2770" xr3:uid="{506EC717-59F3-41F1-86C8-86DE64184128}" name="Column2770"/>
    <tableColumn id="2771" xr3:uid="{5FC40FE8-5500-45AC-934D-1E6163547559}" name="Column2771"/>
    <tableColumn id="2772" xr3:uid="{6857BF87-D0AF-4EF8-9B73-CD907D1A21A3}" name="Column2772"/>
    <tableColumn id="2773" xr3:uid="{5C776924-3203-49C9-9168-B3E03E71FEC1}" name="Column2773"/>
    <tableColumn id="2774" xr3:uid="{A7865CCE-95E8-4A05-8DB6-5A0CB2FE07FD}" name="Column2774"/>
    <tableColumn id="2775" xr3:uid="{092175E1-C4FA-43BF-9386-F1029C5FBD0B}" name="Column2775"/>
    <tableColumn id="2776" xr3:uid="{22552F38-4A19-43AD-BB61-68AEB23EBD4B}" name="Column2776"/>
    <tableColumn id="2777" xr3:uid="{E67FA519-AFD3-45DA-BDFF-61599D12F638}" name="Column2777"/>
    <tableColumn id="2778" xr3:uid="{F49E39E5-7E50-4DA2-A1E8-34432A5178B0}" name="Column2778"/>
    <tableColumn id="2779" xr3:uid="{9D7E96F8-1CBD-4322-9B8A-DF2D37E06AD7}" name="Column2779"/>
    <tableColumn id="2780" xr3:uid="{E45FB51C-54C8-4585-BEF3-872EB9A47EBE}" name="Column2780"/>
    <tableColumn id="2781" xr3:uid="{8D6C338E-F3C7-49C5-A3CD-50BDB50194E2}" name="Column2781"/>
    <tableColumn id="2782" xr3:uid="{48945DF3-07F6-4469-B50F-ADD324EF1DA3}" name="Column2782"/>
    <tableColumn id="2783" xr3:uid="{69FFCFB6-04F4-4DC8-9366-163B919DE72B}" name="Column2783"/>
    <tableColumn id="2784" xr3:uid="{8A2C9F93-E2E8-49E0-812A-AEC6C12F4BFB}" name="Column2784"/>
    <tableColumn id="2785" xr3:uid="{8D1B9539-70EE-4D5F-9C2A-66CFCCA0C47A}" name="Column2785"/>
    <tableColumn id="2786" xr3:uid="{C24B1EBE-087B-45F4-B8D8-83CFF04F45C2}" name="Column2786"/>
    <tableColumn id="2787" xr3:uid="{3ABAEE2C-1803-4BC8-9FB9-89D3ED7DA565}" name="Column2787"/>
    <tableColumn id="2788" xr3:uid="{210D00E5-E318-4AFB-86AD-FA91140A12B9}" name="Column2788"/>
    <tableColumn id="2789" xr3:uid="{1E6729EB-0FBA-4796-9D1F-407B682BDD6E}" name="Column2789"/>
    <tableColumn id="2790" xr3:uid="{267E9D3C-9BDB-437C-8BD1-49F168C113DA}" name="Column2790"/>
    <tableColumn id="2791" xr3:uid="{2DD7BFC4-9867-48BB-98B8-7C5A5B37B53A}" name="Column2791"/>
    <tableColumn id="2792" xr3:uid="{F592BEC5-08D1-4BD3-BC57-6645CD7E327F}" name="Column2792"/>
    <tableColumn id="2793" xr3:uid="{30172334-E13B-48A1-9C65-E13B71731699}" name="Column2793"/>
    <tableColumn id="2794" xr3:uid="{2BA201C6-706E-434C-B440-F69BDCBEDDAA}" name="Column2794"/>
    <tableColumn id="2795" xr3:uid="{38FB5967-7FEF-4EC2-A8FE-673FCD1AAFBE}" name="Column2795"/>
    <tableColumn id="2796" xr3:uid="{0FB41E19-BBFA-44BE-8516-23E4F54BAF0D}" name="Column2796"/>
    <tableColumn id="2797" xr3:uid="{EE8CC9B5-F687-4AAF-BA3A-2BE4A91E7DF4}" name="Column2797"/>
    <tableColumn id="2798" xr3:uid="{3F2DA5F9-5F7D-4C1E-B949-FCDE85988D1A}" name="Column2798"/>
    <tableColumn id="2799" xr3:uid="{FA1AC9C7-6ED7-40CB-91F1-877F976F130D}" name="Column2799"/>
    <tableColumn id="2800" xr3:uid="{0AA5FA28-D5CD-4A02-B3F2-F2DA876196D9}" name="Column2800"/>
    <tableColumn id="2801" xr3:uid="{12BED075-7BEF-41BE-A78F-45E4BE0160D6}" name="Column2801"/>
    <tableColumn id="2802" xr3:uid="{BE5B59A0-2674-4E8B-B274-4B6C77FD56B5}" name="Column2802"/>
    <tableColumn id="2803" xr3:uid="{6B368DB7-5F01-402F-AA49-FB8FA222DBB5}" name="Column2803"/>
    <tableColumn id="2804" xr3:uid="{2529F8C7-AD92-46E0-AAD9-95223A918AFB}" name="Column2804"/>
    <tableColumn id="2805" xr3:uid="{DD2DDCFD-0D05-4631-8331-C4D5BC348B6C}" name="Column2805"/>
    <tableColumn id="2806" xr3:uid="{34ED29B6-2713-471B-9F54-F954D605C830}" name="Column2806"/>
    <tableColumn id="2807" xr3:uid="{9CBC0D3C-DC70-4D4E-9E79-88388EB40E07}" name="Column2807"/>
    <tableColumn id="2808" xr3:uid="{E3FB84FF-1E39-4CB1-AE0B-6C355CEE2A9E}" name="Column2808"/>
    <tableColumn id="2809" xr3:uid="{549A5DA8-432C-4434-A3BC-005B31349588}" name="Column2809"/>
    <tableColumn id="2810" xr3:uid="{B5775A6A-5D64-4F5D-9AD5-A75EC42E13FA}" name="Column2810"/>
    <tableColumn id="2811" xr3:uid="{9E45DC93-6730-4F88-9960-699794579ACB}" name="Column2811"/>
    <tableColumn id="2812" xr3:uid="{7196395E-5C8A-46A1-97A8-4EC9CD92ACC8}" name="Column2812"/>
    <tableColumn id="2813" xr3:uid="{BDD67789-A4FA-4C4A-B33A-62C61723A353}" name="Column2813"/>
    <tableColumn id="2814" xr3:uid="{8C5C3F20-5336-4C3F-8999-0D081BB93401}" name="Column2814"/>
    <tableColumn id="2815" xr3:uid="{B977A5F9-0DA4-4A65-A2FB-11FC61169485}" name="Column2815"/>
    <tableColumn id="2816" xr3:uid="{EB51858D-9D01-446C-857B-E2E420E87F8F}" name="Column2816"/>
    <tableColumn id="2817" xr3:uid="{7B965A0B-FA27-42AD-8C2F-A30E3447D659}" name="Column2817"/>
    <tableColumn id="2818" xr3:uid="{95B53BAD-2EE6-4679-B6A1-E805286B616E}" name="Column2818"/>
    <tableColumn id="2819" xr3:uid="{E9BB79D6-8A9E-4AAA-AD2B-0581D76CAA46}" name="Column2819"/>
    <tableColumn id="2820" xr3:uid="{085F10C3-94B2-402D-9A12-58E5A2D1B1F6}" name="Column2820"/>
    <tableColumn id="2821" xr3:uid="{B83189D9-B9F8-4001-AB1D-FDC522975ADE}" name="Column2821"/>
    <tableColumn id="2822" xr3:uid="{58733E07-FE1C-4360-BC13-1A17DDCC5161}" name="Column2822"/>
    <tableColumn id="2823" xr3:uid="{4CB1BAAD-D911-4712-A497-7AF309B760F8}" name="Column2823"/>
    <tableColumn id="2824" xr3:uid="{AB960C86-FA35-40E9-8C49-88371BC398D5}" name="Column2824"/>
    <tableColumn id="2825" xr3:uid="{8A0CFC9B-F513-405F-AA10-D49A4C307F71}" name="Column2825"/>
    <tableColumn id="2826" xr3:uid="{4151D4CB-BD0E-4E5B-8F7C-D93CDA8AC0E4}" name="Column2826"/>
    <tableColumn id="2827" xr3:uid="{004B188E-65F5-4EA3-AC1E-54E32932A348}" name="Column2827"/>
    <tableColumn id="2828" xr3:uid="{537D5B5E-A435-48AB-8879-8AA40194D8CF}" name="Column2828"/>
    <tableColumn id="2829" xr3:uid="{19269C6D-503F-42C1-B059-7A56C938FC32}" name="Column2829"/>
    <tableColumn id="2830" xr3:uid="{C0275F9F-7023-43BD-9357-3551A23B0D95}" name="Column2830"/>
    <tableColumn id="2831" xr3:uid="{0252F6EA-B2EE-409D-842B-DEDB13252CC1}" name="Column2831"/>
    <tableColumn id="2832" xr3:uid="{5E4B1225-BB1F-4185-9DA1-342A796C8B33}" name="Column2832"/>
    <tableColumn id="2833" xr3:uid="{967DB764-CA70-4742-9B47-07B581C5CE8A}" name="Column2833"/>
    <tableColumn id="2834" xr3:uid="{BA71047C-BB7E-4FAB-9FF0-61D729CC0A3A}" name="Column2834"/>
    <tableColumn id="2835" xr3:uid="{43186A9A-A30C-4EB9-B52A-43F820642013}" name="Column2835"/>
    <tableColumn id="2836" xr3:uid="{648EBB6B-95DB-4A97-8D23-0F7B32AE8502}" name="Column2836"/>
    <tableColumn id="2837" xr3:uid="{DC0BEAF7-DB52-4D08-B528-1FF6C4303C4E}" name="Column2837"/>
    <tableColumn id="2838" xr3:uid="{022BF519-5F2F-4B2A-B8AA-2310D8F37571}" name="Column2838"/>
    <tableColumn id="2839" xr3:uid="{009EC7FD-A86E-4D8C-BF60-DCBC7A3834C4}" name="Column2839"/>
    <tableColumn id="2840" xr3:uid="{0676E139-5D47-48E9-B648-B6AC4609F4E7}" name="Column2840"/>
    <tableColumn id="2841" xr3:uid="{655C8063-AD05-4056-AB49-3FF7DCB66760}" name="Column2841"/>
    <tableColumn id="2842" xr3:uid="{B4BC3DD4-F369-4E5A-8FF3-BED79E55EB30}" name="Column2842"/>
    <tableColumn id="2843" xr3:uid="{B8656F58-C58B-47FC-8B96-C300FE32D917}" name="Column2843"/>
    <tableColumn id="2844" xr3:uid="{A78264E5-E259-4E4F-8666-5BFCBF573A1C}" name="Column2844"/>
    <tableColumn id="2845" xr3:uid="{8AEB030C-A4CB-498F-8AB2-FC2D027FE1FD}" name="Column2845"/>
    <tableColumn id="2846" xr3:uid="{F24DE87A-D4F3-41E1-9F97-389C0DE05E66}" name="Column2846"/>
    <tableColumn id="2847" xr3:uid="{E3DAD138-CA86-4892-B5CD-91DD6E121302}" name="Column2847"/>
    <tableColumn id="2848" xr3:uid="{6DB6C8C3-7D3C-420E-B225-C6B7FFC38536}" name="Column2848"/>
    <tableColumn id="2849" xr3:uid="{7260AE89-428A-462A-BD7D-AD66A61F2F22}" name="Column2849"/>
    <tableColumn id="2850" xr3:uid="{9C719706-2296-4BD6-83DB-51C770ADFBD3}" name="Column2850"/>
    <tableColumn id="2851" xr3:uid="{BE93B20E-ACFE-4C2F-A080-761D5B85FCB5}" name="Column2851"/>
    <tableColumn id="2852" xr3:uid="{69E908F6-0330-475F-A553-0B63F71E1B0D}" name="Column2852"/>
    <tableColumn id="2853" xr3:uid="{A21F455C-3B02-4893-B4C8-BABBA2553D47}" name="Column2853"/>
    <tableColumn id="2854" xr3:uid="{81E6449C-33E8-41FE-B8A6-9E165C3CB847}" name="Column2854"/>
    <tableColumn id="2855" xr3:uid="{4EC021A5-6965-46CC-B8B5-70852003B4B7}" name="Column2855"/>
    <tableColumn id="2856" xr3:uid="{8F0FDD12-51E0-44B4-80EB-3358FECD6CA1}" name="Column2856"/>
    <tableColumn id="2857" xr3:uid="{2C0CD404-0706-4743-BECA-7EE73CFBA6CB}" name="Column2857"/>
    <tableColumn id="2858" xr3:uid="{80F5AC4A-04F5-42A6-AACB-43FAF8B4D085}" name="Column2858"/>
    <tableColumn id="2859" xr3:uid="{8E935DF1-77C6-48F0-BF2D-954483BD7CC9}" name="Column2859"/>
    <tableColumn id="2860" xr3:uid="{D8EEFE60-3266-4786-855B-8225F113DF31}" name="Column2860"/>
    <tableColumn id="2861" xr3:uid="{EDFA9A16-B4D9-4B6F-BE2F-93CA0E886A86}" name="Column2861"/>
    <tableColumn id="2862" xr3:uid="{73F0076D-788C-4480-8F95-343871B129B8}" name="Column2862"/>
    <tableColumn id="2863" xr3:uid="{3D691712-0278-437D-B830-72305BDDE968}" name="Column2863"/>
    <tableColumn id="2864" xr3:uid="{739B5716-1CC7-480D-94ED-58A8346A34E3}" name="Column2864"/>
    <tableColumn id="2865" xr3:uid="{FA819BEC-86CD-47E8-A6E1-1A7CB145E8DA}" name="Column2865"/>
    <tableColumn id="2866" xr3:uid="{399BC170-AF6D-41E7-B78A-CC4931856445}" name="Column2866"/>
    <tableColumn id="2867" xr3:uid="{3803C728-E1F5-4379-9CC0-58E482C1BFA7}" name="Column2867"/>
    <tableColumn id="2868" xr3:uid="{1895A789-7500-4993-B304-14A26FECA2E7}" name="Column2868"/>
    <tableColumn id="2869" xr3:uid="{8C761078-F2CB-4613-92F9-51088DBD8656}" name="Column2869"/>
    <tableColumn id="2870" xr3:uid="{82AE980A-4A5E-49B1-A44F-426EBFF6FD87}" name="Column2870"/>
    <tableColumn id="2871" xr3:uid="{460280ED-4257-492E-9978-858195B2CAC6}" name="Column2871"/>
    <tableColumn id="2872" xr3:uid="{E6E9913A-D43B-4AA8-9C6D-93860EB5134B}" name="Column2872"/>
    <tableColumn id="2873" xr3:uid="{969FBFCD-DC4B-41CC-B3C4-940EB0E750B8}" name="Column2873"/>
    <tableColumn id="2874" xr3:uid="{0075AC9B-0C43-4697-9A19-0B338C14DF35}" name="Column2874"/>
    <tableColumn id="2875" xr3:uid="{0C44C04E-6AB7-4BF6-A3A0-C790652C781F}" name="Column2875"/>
    <tableColumn id="2876" xr3:uid="{86EE37AD-8956-42E1-A61D-CC534BF5F8E4}" name="Column2876"/>
    <tableColumn id="2877" xr3:uid="{D9440C4B-8FFC-4BCB-A690-506147023C5B}" name="Column2877"/>
    <tableColumn id="2878" xr3:uid="{7562FF51-1516-4C78-92C3-402E3569572F}" name="Column2878"/>
    <tableColumn id="2879" xr3:uid="{8BEE15C7-262C-42BE-80E6-1039E8E2BC70}" name="Column2879"/>
    <tableColumn id="2880" xr3:uid="{1BD8E319-91BA-4676-9200-2E72D8F09296}" name="Column2880"/>
    <tableColumn id="2881" xr3:uid="{3A290622-4346-416F-B0AD-B5ADA366BF72}" name="Column2881"/>
    <tableColumn id="2882" xr3:uid="{36480C5F-B489-4E71-A8DB-BD5B7396CC73}" name="Column2882"/>
    <tableColumn id="2883" xr3:uid="{76B2EBC2-4D71-4047-A0D6-5B141B5D89F4}" name="Column2883"/>
    <tableColumn id="2884" xr3:uid="{8A0B45E2-BCA0-499A-B172-F89E763EA440}" name="Column2884"/>
    <tableColumn id="2885" xr3:uid="{096F2F8A-4AA9-4974-90ED-A3C098280129}" name="Column2885"/>
    <tableColumn id="2886" xr3:uid="{9A5F0E8E-B106-4857-AA48-7C228E58E3DC}" name="Column2886"/>
    <tableColumn id="2887" xr3:uid="{58D79EFD-140D-4AE1-AA31-2F16EBD0B7EF}" name="Column2887"/>
    <tableColumn id="2888" xr3:uid="{549DE3B3-44E6-4236-98AC-1E1F8DA02FD0}" name="Column2888"/>
    <tableColumn id="2889" xr3:uid="{F88EC410-0695-44F3-BF78-8F12127EC72E}" name="Column2889"/>
    <tableColumn id="2890" xr3:uid="{4880C6A8-225D-4039-9CAF-C6A423B3D835}" name="Column2890"/>
    <tableColumn id="2891" xr3:uid="{3975466D-4ECB-477E-9574-81AD1D41E808}" name="Column2891"/>
    <tableColumn id="2892" xr3:uid="{665E8893-8CE7-452F-B491-23D8A3400FDF}" name="Column2892"/>
    <tableColumn id="2893" xr3:uid="{728AE185-FE2F-47B6-BC22-78B6FBA6FE57}" name="Column2893"/>
    <tableColumn id="2894" xr3:uid="{25385142-CB9C-48C7-927E-51AA539C5B62}" name="Column2894"/>
    <tableColumn id="2895" xr3:uid="{28A0F371-3881-4568-A639-614776400278}" name="Column2895"/>
    <tableColumn id="2896" xr3:uid="{AB5D9C2B-B90C-42E5-94B5-B96B5884CB77}" name="Column2896"/>
    <tableColumn id="2897" xr3:uid="{70B77CCB-2BAD-4395-A421-70BE262564ED}" name="Column2897"/>
    <tableColumn id="2898" xr3:uid="{4BF3765B-9CD3-4C7E-A39D-354940EA7D70}" name="Column2898"/>
    <tableColumn id="2899" xr3:uid="{620F96B3-F10B-42E1-B67F-C7A2B7C217D9}" name="Column2899"/>
    <tableColumn id="2900" xr3:uid="{4756BF67-2EF8-4F15-9CD8-191B92CE7D7A}" name="Column2900"/>
    <tableColumn id="2901" xr3:uid="{F26F61D5-1345-49D2-8BBD-0464790F47D2}" name="Column2901"/>
    <tableColumn id="2902" xr3:uid="{E281A2B8-FADB-462A-8582-6A1F8DCBC230}" name="Column2902"/>
    <tableColumn id="2903" xr3:uid="{0E53EF26-F084-4058-8645-8B454FF1D75F}" name="Column2903"/>
    <tableColumn id="2904" xr3:uid="{4F29AC97-7BB5-42AE-8B3E-0DC7DFC05437}" name="Column2904"/>
    <tableColumn id="2905" xr3:uid="{5CB51BCA-EC42-46F0-9C19-0335162AC917}" name="Column2905"/>
    <tableColumn id="2906" xr3:uid="{94064184-5AFE-48FA-A9FC-AF5AD229F0DC}" name="Column2906"/>
    <tableColumn id="2907" xr3:uid="{360A6AF8-BFA9-481A-B0BD-0D13B127FBE8}" name="Column2907"/>
    <tableColumn id="2908" xr3:uid="{41511F21-B3DD-4A49-85C9-D10F9624DAE7}" name="Column2908"/>
    <tableColumn id="2909" xr3:uid="{7DC9786D-79DE-45DF-BBFF-888724859AC3}" name="Column2909"/>
    <tableColumn id="2910" xr3:uid="{C931E56E-6C07-4037-BB08-48224CF46D7E}" name="Column2910"/>
    <tableColumn id="2911" xr3:uid="{B21EF360-5654-453D-9573-41F656079ABC}" name="Column2911"/>
    <tableColumn id="2912" xr3:uid="{34D5F633-6156-4583-A135-1A65F9E2D54A}" name="Column2912"/>
    <tableColumn id="2913" xr3:uid="{65C10927-D13B-43C7-ACDA-FCA14B0BCBA0}" name="Column2913"/>
    <tableColumn id="2914" xr3:uid="{A32CA588-4CCB-4018-BE67-07E62E03A567}" name="Column2914"/>
    <tableColumn id="2915" xr3:uid="{70A9AEEE-BDD5-44A3-A021-2B5013439949}" name="Column2915"/>
    <tableColumn id="2916" xr3:uid="{6EA21CCC-5E28-4AF5-A848-C0FDDC2BE1A8}" name="Column2916"/>
    <tableColumn id="2917" xr3:uid="{9B801A70-402F-4CFF-B150-D679A1AD4773}" name="Column2917"/>
    <tableColumn id="2918" xr3:uid="{518CA9B1-9D0B-43A5-A2EA-402224CDEEAC}" name="Column2918"/>
    <tableColumn id="2919" xr3:uid="{806D420D-6674-44DF-90CB-351569B2A0CC}" name="Column2919"/>
    <tableColumn id="2920" xr3:uid="{906DB7D1-D980-487A-8F9D-AB45D2C287A2}" name="Column2920"/>
    <tableColumn id="2921" xr3:uid="{46E185B0-5555-4F4F-8B77-B5B4A7C823B3}" name="Column2921"/>
    <tableColumn id="2922" xr3:uid="{0ED154FC-2B16-473A-84DB-7C7A3E950B50}" name="Column2922"/>
    <tableColumn id="2923" xr3:uid="{CA080AD3-7545-4CC4-B6D7-CC55C85C17C0}" name="Column2923"/>
    <tableColumn id="2924" xr3:uid="{96D18AC9-D3A5-44E2-95D6-604FDBD2537C}" name="Column2924"/>
    <tableColumn id="2925" xr3:uid="{C4A937EE-0DC2-4320-AFF8-C4D15AF9028F}" name="Column2925"/>
    <tableColumn id="2926" xr3:uid="{DA18B141-B2DE-4658-95F9-4B97C8AC7704}" name="Column2926"/>
    <tableColumn id="2927" xr3:uid="{27125725-1572-4653-A95E-C652FED192EF}" name="Column2927"/>
    <tableColumn id="2928" xr3:uid="{4DDD3535-5D7F-4BF5-B175-1E0E2EADAF66}" name="Column2928"/>
    <tableColumn id="2929" xr3:uid="{A164C648-B42E-4557-BA52-EF6D6E821B53}" name="Column2929"/>
    <tableColumn id="2930" xr3:uid="{9D6B421A-1E1A-41E6-A9FF-014EB210D5EC}" name="Column2930"/>
    <tableColumn id="2931" xr3:uid="{1CB13558-B856-4518-AB10-D5FA25D993B5}" name="Column2931"/>
    <tableColumn id="2932" xr3:uid="{7EA839DD-80E4-46E9-8B87-1C1F4B1223BD}" name="Column2932"/>
    <tableColumn id="2933" xr3:uid="{B18923C9-3A66-48DE-8669-C0F4310A89A3}" name="Column2933"/>
    <tableColumn id="2934" xr3:uid="{489FD6FB-7631-4DD3-84C6-5F812E81E307}" name="Column2934"/>
    <tableColumn id="2935" xr3:uid="{036D65CF-75D2-4083-B558-059E85F52961}" name="Column2935"/>
    <tableColumn id="2936" xr3:uid="{A6EE1575-5F98-4303-B155-C48E951A3F89}" name="Column2936"/>
    <tableColumn id="2937" xr3:uid="{97E1886F-14C1-4F0E-BAE1-A6780D74FA21}" name="Column2937"/>
    <tableColumn id="2938" xr3:uid="{B2635749-4D47-47A5-AAC4-20CEAD538BC4}" name="Column2938"/>
    <tableColumn id="2939" xr3:uid="{27F8E1BD-61AC-4265-A6EC-A2ED7759F69C}" name="Column2939"/>
    <tableColumn id="2940" xr3:uid="{AA0E8155-ECC1-40B0-8825-8FA6BD05BF70}" name="Column2940"/>
    <tableColumn id="2941" xr3:uid="{E54C8655-8B9E-4420-A36D-80155C4969DF}" name="Column2941"/>
    <tableColumn id="2942" xr3:uid="{D402E242-E5AE-471A-B7B1-CC5C2E0B67BF}" name="Column2942"/>
    <tableColumn id="2943" xr3:uid="{9FE19782-3FE3-454C-A288-3676DF4CA84C}" name="Column2943"/>
    <tableColumn id="2944" xr3:uid="{A854EAE4-9547-4532-B2CE-328533B4B8EE}" name="Column2944"/>
    <tableColumn id="2945" xr3:uid="{DC84B1F7-CF69-44DB-A701-B4F75BDF4EBB}" name="Column2945"/>
    <tableColumn id="2946" xr3:uid="{FF031C88-D78A-4D77-A879-D0A881347F1C}" name="Column2946"/>
    <tableColumn id="2947" xr3:uid="{EA28DF0E-A552-4223-85F5-5D992C32A015}" name="Column2947"/>
    <tableColumn id="2948" xr3:uid="{FA93ED4A-2799-4E50-B066-AA456AEDD736}" name="Column2948"/>
    <tableColumn id="2949" xr3:uid="{AB95FFD2-A85F-4C9C-A8EA-811DADD5558B}" name="Column2949"/>
    <tableColumn id="2950" xr3:uid="{A649E67E-3132-4142-9F4C-8F5CEA7AEF26}" name="Column2950"/>
    <tableColumn id="2951" xr3:uid="{4F93D8F8-057E-4BA5-B37F-575DB94F8B68}" name="Column2951"/>
    <tableColumn id="2952" xr3:uid="{163B254B-4073-4B26-A00B-DCECF30E803B}" name="Column2952"/>
    <tableColumn id="2953" xr3:uid="{2A962CC1-FDAC-430F-A5F9-15974CD4BB63}" name="Column2953"/>
    <tableColumn id="2954" xr3:uid="{B1B22F6D-3318-4F5E-88E4-76298958F745}" name="Column2954"/>
    <tableColumn id="2955" xr3:uid="{C9DF42EC-6867-4B98-9718-9DEAD2C544E6}" name="Column2955"/>
    <tableColumn id="2956" xr3:uid="{8AED1C03-95BF-4612-A4FC-2B11B250CD1A}" name="Column2956"/>
    <tableColumn id="2957" xr3:uid="{991E0828-E606-48AE-A1B6-8CF9C05F461A}" name="Column2957"/>
    <tableColumn id="2958" xr3:uid="{3797796F-6981-4B5A-9468-993ECF16E301}" name="Column2958"/>
    <tableColumn id="2959" xr3:uid="{5CA2CE2E-9639-440F-8FA8-9E41A421C6D3}" name="Column2959"/>
    <tableColumn id="2960" xr3:uid="{86D3FBE9-778E-45CB-96B0-9F92666805E8}" name="Column2960"/>
    <tableColumn id="2961" xr3:uid="{5227F75B-C300-429D-8230-FAC841325F2B}" name="Column2961"/>
    <tableColumn id="2962" xr3:uid="{604F0A9E-2D23-417C-B740-2DEB49529DE9}" name="Column2962"/>
    <tableColumn id="2963" xr3:uid="{A139E632-47B8-4D22-981B-7E7141837872}" name="Column2963"/>
    <tableColumn id="2964" xr3:uid="{D35A6321-2C62-45C6-A1C1-C99A779D213C}" name="Column2964"/>
    <tableColumn id="2965" xr3:uid="{7A6E57B4-4DF7-4F44-ACFA-29315C30EE4D}" name="Column2965"/>
    <tableColumn id="2966" xr3:uid="{AC81369A-A87A-4B77-AEB3-7A5FB117F79F}" name="Column2966"/>
    <tableColumn id="2967" xr3:uid="{D5128A04-CDFB-4473-8B7A-DA38D2085DAE}" name="Column2967"/>
    <tableColumn id="2968" xr3:uid="{EBECC171-C633-4534-B5CD-9EA7D5811949}" name="Column2968"/>
    <tableColumn id="2969" xr3:uid="{8535BD63-C403-47DC-ACD7-F93115169CB6}" name="Column2969"/>
    <tableColumn id="2970" xr3:uid="{E0186F49-7736-4E91-952B-CFB3A068D2AC}" name="Column2970"/>
    <tableColumn id="2971" xr3:uid="{70003DD6-AE85-4CBE-880F-4CA16E5A8C99}" name="Column2971"/>
    <tableColumn id="2972" xr3:uid="{88CF236A-3750-4449-8DDB-506F6DF9B586}" name="Column2972"/>
    <tableColumn id="2973" xr3:uid="{C03CB7AF-94EF-4F9D-A430-D0043E7C5CA9}" name="Column2973"/>
    <tableColumn id="2974" xr3:uid="{CBA4EBC8-D63D-468E-A55F-2E8A8CE58FD7}" name="Column2974"/>
    <tableColumn id="2975" xr3:uid="{18CF4233-7432-4C4F-9EE1-A6FECADF4DEA}" name="Column2975"/>
    <tableColumn id="2976" xr3:uid="{AE48E1A1-4607-441C-86D9-21E0AE25254B}" name="Column2976"/>
    <tableColumn id="2977" xr3:uid="{048A1AAE-4D56-426E-835A-AEB778DB5CCB}" name="Column2977"/>
    <tableColumn id="2978" xr3:uid="{22AAAF8F-E67F-42CE-9EC0-CF13576CB634}" name="Column2978"/>
    <tableColumn id="2979" xr3:uid="{46A482D8-6EEB-44F4-B858-DC8965909256}" name="Column2979"/>
    <tableColumn id="2980" xr3:uid="{8ED7B8F4-60D6-4CF4-B85B-2BC03B0C57A1}" name="Column2980"/>
    <tableColumn id="2981" xr3:uid="{746B997D-6DAF-40C4-A98C-D2306C46D093}" name="Column2981"/>
    <tableColumn id="2982" xr3:uid="{316DFE36-C0F1-49DE-846B-79C9E7B89886}" name="Column2982"/>
    <tableColumn id="2983" xr3:uid="{C0C5CCA5-6CD4-4310-BF9C-C2EFE6D255A7}" name="Column2983"/>
    <tableColumn id="2984" xr3:uid="{E666D8B6-20EC-4C5B-A484-2AD226577E23}" name="Column2984"/>
    <tableColumn id="2985" xr3:uid="{4DFBBEAB-C0EF-478F-BCD5-6DB6DB05619E}" name="Column2985"/>
    <tableColumn id="2986" xr3:uid="{8DAE133A-FE54-4488-A082-EEE1AA4C6BF1}" name="Column2986"/>
    <tableColumn id="2987" xr3:uid="{526D2882-D93F-4E0B-9F18-408455B3FF73}" name="Column2987"/>
    <tableColumn id="2988" xr3:uid="{531EEBDA-5230-4735-AF84-4506851034F4}" name="Column2988"/>
    <tableColumn id="2989" xr3:uid="{5309BEE9-F0F0-4C74-A62B-9D6B9621FD97}" name="Column2989"/>
    <tableColumn id="2990" xr3:uid="{D29367A5-FE74-47B4-9200-0F2AB6A2B0AC}" name="Column2990"/>
    <tableColumn id="2991" xr3:uid="{D29E702A-7BBD-447F-A571-818438FD868F}" name="Column2991"/>
    <tableColumn id="2992" xr3:uid="{0DEE7592-A83C-4CF7-B9A0-E4C2851EE5E3}" name="Column2992"/>
    <tableColumn id="2993" xr3:uid="{62DCC229-0EDE-42DE-A2E6-4B45E303BA8F}" name="Column2993"/>
    <tableColumn id="2994" xr3:uid="{C3CA83AD-DF75-4A84-86EA-E9EB8B930D96}" name="Column2994"/>
    <tableColumn id="2995" xr3:uid="{0F75AC6E-69D8-42FB-AB14-80C7ACD1BA20}" name="Column2995"/>
    <tableColumn id="2996" xr3:uid="{AEA2B325-6877-492B-B53E-966DFD8F9619}" name="Column2996"/>
    <tableColumn id="2997" xr3:uid="{9E2E0359-0586-4711-90FE-D47715D3848F}" name="Column2997"/>
    <tableColumn id="2998" xr3:uid="{63311F7D-B3F5-4E21-8EBE-64A705A4A2C1}" name="Column2998"/>
    <tableColumn id="2999" xr3:uid="{A53DE7FB-D90E-4536-9F58-9D25348A198D}" name="Column2999"/>
    <tableColumn id="3000" xr3:uid="{A9AFEACA-C77F-4332-9732-2C6D0F3B8408}" name="Column3000"/>
    <tableColumn id="3001" xr3:uid="{53DA2828-712E-4C29-AE75-93568B559457}" name="Column3001"/>
    <tableColumn id="3002" xr3:uid="{0AD75F2F-867C-4E6E-A43B-5115D86084BB}" name="Column3002"/>
    <tableColumn id="3003" xr3:uid="{6C68F650-0521-417C-856B-383EC117F243}" name="Column3003"/>
    <tableColumn id="3004" xr3:uid="{3AEAA1F0-3939-4B2F-9DD4-322FA2012D96}" name="Column3004"/>
    <tableColumn id="3005" xr3:uid="{8C61AB5E-5E0B-40A1-9E84-D79D8369ACB7}" name="Column3005"/>
    <tableColumn id="3006" xr3:uid="{BFB045EA-27C2-49D6-BFAB-EEF9AFC7CA51}" name="Column3006"/>
    <tableColumn id="3007" xr3:uid="{27633FEF-216D-40FB-9B3C-F6728F85AADC}" name="Column3007"/>
    <tableColumn id="3008" xr3:uid="{5D01AA6A-8C97-48F6-9CD0-605642FD14ED}" name="Column3008"/>
    <tableColumn id="3009" xr3:uid="{1282D698-A426-4CA8-B7AC-97B3F1F60ACB}" name="Column3009"/>
    <tableColumn id="3010" xr3:uid="{F80D521B-3A3B-4A2C-BB98-AF7CDB0DF3CE}" name="Column3010"/>
    <tableColumn id="3011" xr3:uid="{5BF151FD-36C4-4D8E-9949-0E111132D49E}" name="Column3011"/>
    <tableColumn id="3012" xr3:uid="{A9E9EB7C-F3FC-4905-B9F6-4419CA22F329}" name="Column3012"/>
    <tableColumn id="3013" xr3:uid="{00F110A9-BCDF-4E3C-A5BF-0DC466BE6FC6}" name="Column3013"/>
    <tableColumn id="3014" xr3:uid="{40297CA0-E2D8-46C7-AE1C-7066325CF81D}" name="Column3014"/>
    <tableColumn id="3015" xr3:uid="{AE75BC08-38D4-47D4-B353-A23400BF5420}" name="Column3015"/>
    <tableColumn id="3016" xr3:uid="{80F5F67D-FA8B-4C0F-9EC4-A04B0BB1D0D9}" name="Column3016"/>
    <tableColumn id="3017" xr3:uid="{D026115D-3E19-411A-BEA3-5898575C88DF}" name="Column3017"/>
    <tableColumn id="3018" xr3:uid="{48F67693-3FFB-4E43-B5E7-0E4FC0C2E0E1}" name="Column3018"/>
    <tableColumn id="3019" xr3:uid="{D4CA7FDE-7183-4FBA-894F-90DB509AC0C8}" name="Column3019"/>
    <tableColumn id="3020" xr3:uid="{B3FF47FA-3CB8-4218-8A3F-96AC606AFC3B}" name="Column3020"/>
    <tableColumn id="3021" xr3:uid="{5B143068-E801-4D9F-BD5D-5E638677BFB6}" name="Column3021"/>
    <tableColumn id="3022" xr3:uid="{461F6FBF-F1F6-4255-B633-ED73D6B333E3}" name="Column3022"/>
    <tableColumn id="3023" xr3:uid="{DCB84056-FFDB-48B6-B235-B302B4CEC93F}" name="Column3023"/>
    <tableColumn id="3024" xr3:uid="{775F3AED-F551-4B44-A580-90DA62F04E7F}" name="Column3024"/>
    <tableColumn id="3025" xr3:uid="{E5435020-98DB-496B-8D16-B2CDF41259C0}" name="Column3025"/>
    <tableColumn id="3026" xr3:uid="{4DBDECB3-618F-4F2B-AC3D-48FC776C5851}" name="Column3026"/>
    <tableColumn id="3027" xr3:uid="{4164D3BC-C72D-4626-B301-29595875E318}" name="Column3027"/>
    <tableColumn id="3028" xr3:uid="{A28B5F05-3049-48DC-95F6-62D3591A1408}" name="Column3028"/>
    <tableColumn id="3029" xr3:uid="{09FC0A38-1B06-443E-A0EF-1F1A3E405050}" name="Column3029"/>
    <tableColumn id="3030" xr3:uid="{9096A605-9DFF-4930-90FC-4E8100F162FC}" name="Column3030"/>
    <tableColumn id="3031" xr3:uid="{B5ECFAB2-D887-455B-B068-7F9E480923DB}" name="Column3031"/>
    <tableColumn id="3032" xr3:uid="{5F654803-02FB-4623-841E-8C5AF7E91D99}" name="Column3032"/>
    <tableColumn id="3033" xr3:uid="{58A682B9-7C7A-4F9F-BD57-D3835C6536EA}" name="Column3033"/>
    <tableColumn id="3034" xr3:uid="{EB74EE2B-1293-4AFE-9E03-8C808A17D8EB}" name="Column3034"/>
    <tableColumn id="3035" xr3:uid="{60C3E3AC-9043-4AC4-92EA-D02B52457014}" name="Column3035"/>
    <tableColumn id="3036" xr3:uid="{67887D0B-6115-43E1-9339-2792C0F5EF81}" name="Column3036"/>
    <tableColumn id="3037" xr3:uid="{7C5E61CB-4B65-432A-81A9-FB3BD58EA042}" name="Column3037"/>
    <tableColumn id="3038" xr3:uid="{C4D4477C-9F4B-41B7-B70F-46EC91E9000C}" name="Column3038"/>
    <tableColumn id="3039" xr3:uid="{2463D204-D638-46B1-BF4C-AF1B6CA935DA}" name="Column3039"/>
    <tableColumn id="3040" xr3:uid="{71848B32-366A-4A65-B8D1-3B09535C3F4F}" name="Column3040"/>
    <tableColumn id="3041" xr3:uid="{B2742E70-DE3E-4EA1-B488-A05C21C0CF3D}" name="Column3041"/>
    <tableColumn id="3042" xr3:uid="{25443319-1E83-4F54-A2B9-714B4524521B}" name="Column3042"/>
    <tableColumn id="3043" xr3:uid="{F8760EEB-5335-41C9-9174-DBEE1FBDB75B}" name="Column3043"/>
    <tableColumn id="3044" xr3:uid="{54A0D4CD-0794-409B-88BA-FF33A1B888E8}" name="Column3044"/>
    <tableColumn id="3045" xr3:uid="{CBBFE225-6971-4985-BF8B-C50A6E5E99F1}" name="Column3045"/>
    <tableColumn id="3046" xr3:uid="{55494CBC-8071-4817-B8CC-E87426C46068}" name="Column3046"/>
    <tableColumn id="3047" xr3:uid="{73BB2A0F-72F1-4841-BB0C-191647AAA986}" name="Column3047"/>
    <tableColumn id="3048" xr3:uid="{BD3D79BB-BCA2-49FC-983D-EE71F9194376}" name="Column3048"/>
    <tableColumn id="3049" xr3:uid="{39C862DA-0177-4C22-AFD2-5E9CD39F59D4}" name="Column3049"/>
    <tableColumn id="3050" xr3:uid="{7BEFE0FA-DE48-4CC3-A663-793991BB0034}" name="Column3050"/>
    <tableColumn id="3051" xr3:uid="{6945DF12-BC81-4DE7-8A17-6AA379CA4B12}" name="Column3051"/>
    <tableColumn id="3052" xr3:uid="{521EB63C-E6A8-444F-AB03-96D934C92383}" name="Column3052"/>
    <tableColumn id="3053" xr3:uid="{A01C48C6-1EF5-4498-956F-BD9E41BD8FC6}" name="Column3053"/>
    <tableColumn id="3054" xr3:uid="{7F9D855B-6DEC-46A2-A170-61387F030C9C}" name="Column3054"/>
    <tableColumn id="3055" xr3:uid="{B53B1967-130C-4937-A6B1-FE4DAD1F9E17}" name="Column3055"/>
    <tableColumn id="3056" xr3:uid="{E7C5C5C6-34B0-4AAF-A1AE-6706640FF0EC}" name="Column3056"/>
    <tableColumn id="3057" xr3:uid="{D951AD7D-DC4F-4B40-ADC3-F863E537F96F}" name="Column3057"/>
    <tableColumn id="3058" xr3:uid="{0800134E-7EE5-4AD8-B504-F9E08D59D6F8}" name="Column3058"/>
    <tableColumn id="3059" xr3:uid="{883DB7F2-C4CD-49CC-A222-4A844AA66C2F}" name="Column3059"/>
    <tableColumn id="3060" xr3:uid="{35144EA6-414A-4D77-B572-E5E488D46E81}" name="Column3060"/>
    <tableColumn id="3061" xr3:uid="{793026F0-9B66-4327-BC7F-E309BD6C0A91}" name="Column3061"/>
    <tableColumn id="3062" xr3:uid="{F40460B0-BCC6-4395-8C9C-966409476B9D}" name="Column3062"/>
    <tableColumn id="3063" xr3:uid="{A0C9650D-A865-4FAD-BA4B-ABE22F861FC7}" name="Column3063"/>
    <tableColumn id="3064" xr3:uid="{7EA71180-EEBC-471F-87D5-076E07846306}" name="Column3064"/>
    <tableColumn id="3065" xr3:uid="{0D03974A-0F6F-44B9-B485-A3F9EC2D13A8}" name="Column3065"/>
    <tableColumn id="3066" xr3:uid="{BD86FC1E-8F78-4201-A9A0-473C8679CC6B}" name="Column3066"/>
    <tableColumn id="3067" xr3:uid="{E9AF3619-B287-4CC6-8BFF-2BAA9B65244D}" name="Column3067"/>
    <tableColumn id="3068" xr3:uid="{F50F1317-0F41-4402-9463-901B3679D3D1}" name="Column3068"/>
    <tableColumn id="3069" xr3:uid="{4D854BD2-CB09-4F03-B80D-B2CB303F99E7}" name="Column3069"/>
    <tableColumn id="3070" xr3:uid="{870AB57F-D752-4947-A1F1-1D9AC1DA50A1}" name="Column3070"/>
    <tableColumn id="3071" xr3:uid="{C472D566-F9A8-4A82-81D2-4401F321AD0A}" name="Column3071"/>
    <tableColumn id="3072" xr3:uid="{57934D63-522E-4688-88F6-45573A275F24}" name="Column3072"/>
    <tableColumn id="3073" xr3:uid="{AAE23C81-4480-475C-A07C-E541B80B6399}" name="Column3073"/>
    <tableColumn id="3074" xr3:uid="{27EBF4E8-FE34-4893-81B5-BE6D6A1BA070}" name="Column3074"/>
    <tableColumn id="3075" xr3:uid="{1AD97BCC-95F4-43B8-B4C3-FA78DD46F1DC}" name="Column3075"/>
    <tableColumn id="3076" xr3:uid="{28EBD61A-83B6-4EFF-A81F-F01EE2190AA2}" name="Column3076"/>
    <tableColumn id="3077" xr3:uid="{580CB80B-779A-49BC-8A26-F3A9E044BFBB}" name="Column3077"/>
    <tableColumn id="3078" xr3:uid="{3835D0A2-A86D-401D-9AA0-23C4794240DE}" name="Column3078"/>
    <tableColumn id="3079" xr3:uid="{FF2C2877-2EB8-4D2F-BA41-6175C4B5F9E5}" name="Column3079"/>
    <tableColumn id="3080" xr3:uid="{12E75298-4E98-4460-842F-716764A92045}" name="Column3080"/>
    <tableColumn id="3081" xr3:uid="{9788F638-7E76-4ECA-9AD2-B785FF2CDEEB}" name="Column3081"/>
    <tableColumn id="3082" xr3:uid="{B79F6AE3-D59A-4C78-AC3A-91F9CD024A44}" name="Column3082"/>
    <tableColumn id="3083" xr3:uid="{0334122C-2DEF-4803-9D40-5976360B9A99}" name="Column3083"/>
    <tableColumn id="3084" xr3:uid="{08D43CC3-2D5B-42B0-8C16-DBEB1AF9275C}" name="Column3084"/>
    <tableColumn id="3085" xr3:uid="{0E33A1A1-F194-4515-9A09-A99AC84033AE}" name="Column3085"/>
    <tableColumn id="3086" xr3:uid="{0BF740AE-10C3-49A2-B37C-00E27AD346E0}" name="Column3086"/>
    <tableColumn id="3087" xr3:uid="{B6D99C16-5532-4BE5-8AC0-E07898B43F66}" name="Column3087"/>
    <tableColumn id="3088" xr3:uid="{25C293F1-F69D-4036-B390-4F070F87B335}" name="Column3088"/>
    <tableColumn id="3089" xr3:uid="{2A8C3354-21D5-4739-8862-C572389022CA}" name="Column3089"/>
    <tableColumn id="3090" xr3:uid="{6CC5465B-66BC-4DE1-97B0-355D1DD58D94}" name="Column3090"/>
    <tableColumn id="3091" xr3:uid="{3DEAEC35-A9F8-487F-B3FD-12A8F79C7EAD}" name="Column3091"/>
    <tableColumn id="3092" xr3:uid="{90C4E06C-E1C0-4FF0-964B-66DDEF835C86}" name="Column3092"/>
    <tableColumn id="3093" xr3:uid="{7F3CF193-29C7-48E5-858B-191BB82083CF}" name="Column3093"/>
    <tableColumn id="3094" xr3:uid="{DF1F147E-0B9A-410D-94C5-FC69DF8A108C}" name="Column3094"/>
    <tableColumn id="3095" xr3:uid="{D6A324C0-BD89-4966-99E9-AAC6F0E23CBD}" name="Column3095"/>
    <tableColumn id="3096" xr3:uid="{41BC2918-5519-4048-8B7D-482B5C775055}" name="Column3096"/>
    <tableColumn id="3097" xr3:uid="{C7D649A7-74A6-4BCF-A6BC-172594767EB5}" name="Column3097"/>
    <tableColumn id="3098" xr3:uid="{304F1CFD-AE9B-47FC-B593-93258A75F1D7}" name="Column3098"/>
    <tableColumn id="3099" xr3:uid="{1887F069-F1B9-4526-AD56-EDC452730199}" name="Column3099"/>
    <tableColumn id="3100" xr3:uid="{C31FB6E4-1668-4F84-9637-66297449CBF2}" name="Column3100"/>
    <tableColumn id="3101" xr3:uid="{ADF2B8B8-D620-4372-9F07-D696905FEF25}" name="Column3101"/>
    <tableColumn id="3102" xr3:uid="{EBFA797D-05BF-4369-9E8B-49FADA6461B7}" name="Column3102"/>
    <tableColumn id="3103" xr3:uid="{FD240E85-4704-4BB2-A10B-F6022AABC233}" name="Column3103"/>
    <tableColumn id="3104" xr3:uid="{2474EC69-EC7D-4C42-BF97-3B06D3768453}" name="Column3104"/>
    <tableColumn id="3105" xr3:uid="{2454F7A2-81B8-411A-A9BE-C1572501D1CB}" name="Column3105"/>
    <tableColumn id="3106" xr3:uid="{EC8E70FB-DD51-4BAC-BE8B-3F6F6A45FB3A}" name="Column3106"/>
    <tableColumn id="3107" xr3:uid="{D6D45FB3-CD10-487F-BB51-186DBE9DF7D5}" name="Column3107"/>
    <tableColumn id="3108" xr3:uid="{7DA98A85-FC6B-45A2-8D3E-478780372F82}" name="Column3108"/>
    <tableColumn id="3109" xr3:uid="{145AC953-27BC-49FF-A94D-271ABCB39929}" name="Column3109"/>
    <tableColumn id="3110" xr3:uid="{4798B4BE-4586-4B98-BCA4-9379728A6B4D}" name="Column3110"/>
    <tableColumn id="3111" xr3:uid="{F3CBBD77-4C49-4623-B60C-B256D090BAE6}" name="Column3111"/>
    <tableColumn id="3112" xr3:uid="{14D47FB8-BDA6-4BC7-A882-50A411CA0469}" name="Column3112"/>
    <tableColumn id="3113" xr3:uid="{9E973C46-B095-4825-9499-81B312EB1416}" name="Column3113"/>
    <tableColumn id="3114" xr3:uid="{A7A01F42-0281-4485-BC4A-10552C3A60B1}" name="Column3114"/>
    <tableColumn id="3115" xr3:uid="{58C474D2-338A-4A8A-B29C-633CF4692631}" name="Column3115"/>
    <tableColumn id="3116" xr3:uid="{98AAFAAD-17C2-4B1B-8F8E-B53EBBFF9340}" name="Column3116"/>
    <tableColumn id="3117" xr3:uid="{7FC8C67F-C259-4B77-B221-2C70942527DA}" name="Column3117"/>
    <tableColumn id="3118" xr3:uid="{1FC53391-65B9-4C3E-B2E1-EC0201C58C24}" name="Column3118"/>
    <tableColumn id="3119" xr3:uid="{8A74E4C4-91A0-4BBD-B12E-F0715CA8FC27}" name="Column3119"/>
    <tableColumn id="3120" xr3:uid="{EB2A4CCD-EB6D-4F45-AF1F-11439E2D1D37}" name="Column3120"/>
    <tableColumn id="3121" xr3:uid="{DF5DCC29-7D5A-41EA-863C-AC27D7BD7919}" name="Column3121"/>
    <tableColumn id="3122" xr3:uid="{163A6DAD-63E3-483A-B930-D9369B9B2809}" name="Column3122"/>
    <tableColumn id="3123" xr3:uid="{354843D2-E967-4F55-9422-3CCC1F36181E}" name="Column3123"/>
    <tableColumn id="3124" xr3:uid="{1DE726FF-66C2-40A4-8712-DE10AD6D43A8}" name="Column3124"/>
    <tableColumn id="3125" xr3:uid="{502E45F5-056F-4D9A-9E43-D0519E8D4A08}" name="Column3125"/>
    <tableColumn id="3126" xr3:uid="{0C6BCFAE-4C45-4D3A-A5C6-49AD49062CC5}" name="Column3126"/>
    <tableColumn id="3127" xr3:uid="{767FD356-F1FE-4BD2-865F-720D71A8BEEC}" name="Column3127"/>
    <tableColumn id="3128" xr3:uid="{E8DC4B8E-96C3-421E-82B7-8230E6A2F5AE}" name="Column3128"/>
    <tableColumn id="3129" xr3:uid="{093BE9B1-22F9-4533-9FC4-05BA88BE013C}" name="Column3129"/>
    <tableColumn id="3130" xr3:uid="{FCF40461-B520-4C40-8B0A-AF5A24746184}" name="Column3130"/>
    <tableColumn id="3131" xr3:uid="{F2808438-A1C5-4B1D-B542-409F6045B759}" name="Column3131"/>
    <tableColumn id="3132" xr3:uid="{FEDFC9C5-87B4-4F7C-B9C0-799E3C1FFC97}" name="Column3132"/>
    <tableColumn id="3133" xr3:uid="{F2575122-9E90-49D3-AE32-656B34AD7155}" name="Column3133"/>
    <tableColumn id="3134" xr3:uid="{EA417C98-94B9-4A06-8724-7FDDB75D4B8E}" name="Column3134"/>
    <tableColumn id="3135" xr3:uid="{3691C1BC-91B8-4EDB-A4C1-9202DA9C5CC9}" name="Column3135"/>
    <tableColumn id="3136" xr3:uid="{DA38D836-ED32-455C-B6AC-1920EB89B602}" name="Column3136"/>
    <tableColumn id="3137" xr3:uid="{10D45FF7-0961-4C08-B047-B61ACCC0CAA6}" name="Column3137"/>
    <tableColumn id="3138" xr3:uid="{4FD4E089-E006-4D54-819A-DFAC14C03AB3}" name="Column3138"/>
    <tableColumn id="3139" xr3:uid="{8C22F0B8-1582-4518-A058-A45038FD2ED4}" name="Column3139"/>
    <tableColumn id="3140" xr3:uid="{119858E6-9FE1-4366-8A9D-C42EA5A0D96E}" name="Column3140"/>
    <tableColumn id="3141" xr3:uid="{A31BDDE7-6A2A-4C82-9009-D1CCDE15BF5C}" name="Column3141"/>
    <tableColumn id="3142" xr3:uid="{1D7BA646-C467-468B-9145-499ED76A9766}" name="Column3142"/>
    <tableColumn id="3143" xr3:uid="{CFA8255A-C9C6-4360-A184-74DCAD0B7C73}" name="Column3143"/>
    <tableColumn id="3144" xr3:uid="{A75729E0-CE0C-499C-97F8-32C4084E42C8}" name="Column3144"/>
    <tableColumn id="3145" xr3:uid="{86A71538-C10E-4163-B4ED-0E279CEE7C77}" name="Column3145"/>
    <tableColumn id="3146" xr3:uid="{63A90040-3A58-4655-BF5A-8C6248A914B0}" name="Column3146"/>
    <tableColumn id="3147" xr3:uid="{8681D115-5ABB-47F1-AEDA-4BE39D0C2408}" name="Column3147"/>
    <tableColumn id="3148" xr3:uid="{5077C921-8346-48D4-B79B-065BFA2BD571}" name="Column3148"/>
    <tableColumn id="3149" xr3:uid="{2E7AB44C-5A57-4C49-BD9E-B9D3DCB6FA29}" name="Column3149"/>
    <tableColumn id="3150" xr3:uid="{29BFF780-6F7F-47EF-9C01-39270343F668}" name="Column3150"/>
    <tableColumn id="3151" xr3:uid="{D70D9E1F-1B2F-4EDF-8E5C-5A5E32ED796F}" name="Column3151"/>
    <tableColumn id="3152" xr3:uid="{D884624A-DBCC-453B-B410-F3D8DFCD3DAE}" name="Column3152"/>
    <tableColumn id="3153" xr3:uid="{78F8C00B-292F-4FE0-AA9E-2029C15FB3F6}" name="Column3153"/>
    <tableColumn id="3154" xr3:uid="{78C6641E-55A2-48A4-87C7-97EB8C6FBD8B}" name="Column3154"/>
    <tableColumn id="3155" xr3:uid="{64A34985-1472-4DE7-A3E3-A83DA96A59E4}" name="Column3155"/>
    <tableColumn id="3156" xr3:uid="{5D614BBD-044C-44E9-AD50-11EF06ACD200}" name="Column3156"/>
    <tableColumn id="3157" xr3:uid="{AEF781C7-84E5-4987-8003-571A303F0072}" name="Column3157"/>
    <tableColumn id="3158" xr3:uid="{7CE00CA9-0C60-43E1-8BA1-4762ABA7FB80}" name="Column3158"/>
    <tableColumn id="3159" xr3:uid="{B84B7BCA-A460-4545-9A75-6961D3794074}" name="Column3159"/>
    <tableColumn id="3160" xr3:uid="{BDA3E317-76AA-401E-9F82-2580B23A3E31}" name="Column3160"/>
    <tableColumn id="3161" xr3:uid="{0D3B1227-6698-46CF-A33D-FF7AA613C17B}" name="Column3161"/>
    <tableColumn id="3162" xr3:uid="{779EEA11-C4DC-455A-A1B6-69BEC6D9BECC}" name="Column3162"/>
    <tableColumn id="3163" xr3:uid="{0845EECD-6327-4E9E-8B01-B45106EAA188}" name="Column3163"/>
    <tableColumn id="3164" xr3:uid="{6815BAC6-5F31-42FF-8EEF-E6350EE1D3DE}" name="Column3164"/>
    <tableColumn id="3165" xr3:uid="{AE8B43B3-C171-4BF9-85AA-266DE02CE847}" name="Column3165"/>
    <tableColumn id="3166" xr3:uid="{EC601313-8BE9-4A00-876E-4ADDBD69079C}" name="Column3166"/>
    <tableColumn id="3167" xr3:uid="{F80713A7-DF13-4624-B829-E2AEA90653CE}" name="Column3167"/>
    <tableColumn id="3168" xr3:uid="{D270F0EC-1C68-4A34-AE50-BD74FC21C388}" name="Column3168"/>
    <tableColumn id="3169" xr3:uid="{51EF94A9-55A1-47CB-A90D-E7613B5074DD}" name="Column3169"/>
    <tableColumn id="3170" xr3:uid="{702983C4-7E91-40A3-9124-9D75559F4BE1}" name="Column3170"/>
    <tableColumn id="3171" xr3:uid="{D2F58379-3324-4540-A66B-F4453EAD65E1}" name="Column3171"/>
    <tableColumn id="3172" xr3:uid="{6EFB2ED0-FD08-4DEF-BBD7-393E097468E7}" name="Column3172"/>
    <tableColumn id="3173" xr3:uid="{7EF054DC-A467-4AE3-A710-99690B543F1B}" name="Column3173"/>
    <tableColumn id="3174" xr3:uid="{5CB40BD2-548E-4637-AEE7-7B57FE2650EB}" name="Column3174"/>
    <tableColumn id="3175" xr3:uid="{947DAF46-751A-4B42-8C19-8ED329D01A82}" name="Column3175"/>
    <tableColumn id="3176" xr3:uid="{B0672D62-4AEE-4A76-8AFD-9F83143F6BD6}" name="Column3176"/>
    <tableColumn id="3177" xr3:uid="{48A5E60F-6BCA-4D7B-86D0-9CAAB8EF4677}" name="Column3177"/>
    <tableColumn id="3178" xr3:uid="{59D36F67-7F76-4A21-B848-AC1F2FA7C956}" name="Column3178"/>
    <tableColumn id="3179" xr3:uid="{612323B8-8199-4CF9-8B97-F0FEB9B05C9B}" name="Column3179"/>
    <tableColumn id="3180" xr3:uid="{E19FB7C3-9A30-461C-8121-D3336503CDE4}" name="Column3180"/>
    <tableColumn id="3181" xr3:uid="{061DA666-D7E9-47C7-8CE4-374AF39B3519}" name="Column3181"/>
    <tableColumn id="3182" xr3:uid="{E94E3635-7AE9-4B2D-9869-86EB99D0927D}" name="Column3182"/>
    <tableColumn id="3183" xr3:uid="{C61D661E-D15B-4B65-B990-0DED0D614EAD}" name="Column3183"/>
    <tableColumn id="3184" xr3:uid="{5B049AAC-4338-4775-906A-A18A889AC259}" name="Column3184"/>
    <tableColumn id="3185" xr3:uid="{47DAD2A3-E507-499A-AC23-05D7C1C14948}" name="Column3185"/>
    <tableColumn id="3186" xr3:uid="{09F7D1E1-4C8C-4824-8DB1-6FA3DF3C4FC5}" name="Column3186"/>
    <tableColumn id="3187" xr3:uid="{A707C67C-A881-4FBE-B73E-EACEDE3162A7}" name="Column3187"/>
    <tableColumn id="3188" xr3:uid="{D4FE8BC6-DBCE-4E33-8BAF-FBC8A2A4756C}" name="Column3188"/>
    <tableColumn id="3189" xr3:uid="{D0507FC1-FCD8-42E5-99E6-229550E93747}" name="Column3189"/>
    <tableColumn id="3190" xr3:uid="{FD19AFE3-54AC-43B4-9DD4-8AD3CCC40D78}" name="Column3190"/>
    <tableColumn id="3191" xr3:uid="{266DB3BA-EE64-47B8-8BB0-4F5333C5E76C}" name="Column3191"/>
    <tableColumn id="3192" xr3:uid="{46BDDF1B-EA94-4997-A264-D652364ABF56}" name="Column3192"/>
    <tableColumn id="3193" xr3:uid="{226A17BF-C488-4E61-A1A4-1457058E023F}" name="Column3193"/>
    <tableColumn id="3194" xr3:uid="{F2156D7D-E6EE-468F-881E-124B37D6BE62}" name="Column3194"/>
    <tableColumn id="3195" xr3:uid="{C4A00445-A06B-43EA-82AA-27C3DDDF431E}" name="Column3195"/>
    <tableColumn id="3196" xr3:uid="{3DC01752-3FFB-4902-A5E7-287421F3581A}" name="Column3196"/>
    <tableColumn id="3197" xr3:uid="{19BF3DA2-A294-45A1-8336-F456F108B766}" name="Column3197"/>
    <tableColumn id="3198" xr3:uid="{9357DBD1-51E8-4FCB-BD88-CE1B0E2028BE}" name="Column3198"/>
    <tableColumn id="3199" xr3:uid="{371D2180-6697-4ADE-B993-CFC85423E251}" name="Column3199"/>
    <tableColumn id="3200" xr3:uid="{702F60B1-6527-4464-AC7A-2335C9117736}" name="Column3200"/>
    <tableColumn id="3201" xr3:uid="{ADE69072-BC35-41EC-8C96-896E56B40707}" name="Column3201"/>
    <tableColumn id="3202" xr3:uid="{7421347D-08FB-4425-9766-25A85028B19A}" name="Column3202"/>
    <tableColumn id="3203" xr3:uid="{9C7631F2-AF74-4198-8A3F-2AB063D47DE0}" name="Column3203"/>
    <tableColumn id="3204" xr3:uid="{6ECF859F-7485-4DE6-A37C-E68ADF58E302}" name="Column3204"/>
    <tableColumn id="3205" xr3:uid="{938A6CFA-0941-4473-BADC-DCBB81137E56}" name="Column3205"/>
    <tableColumn id="3206" xr3:uid="{1A366141-43DE-4A45-BB19-2E580BF651F3}" name="Column3206"/>
    <tableColumn id="3207" xr3:uid="{574D5FDB-DBF8-4914-8CBD-87D7852D3265}" name="Column3207"/>
    <tableColumn id="3208" xr3:uid="{375CD47C-0E24-4F42-B485-184138CCBA21}" name="Column3208"/>
    <tableColumn id="3209" xr3:uid="{FE42DEE2-98F0-4CF0-A7AA-6CC86A65B4ED}" name="Column3209"/>
    <tableColumn id="3210" xr3:uid="{5C66D28E-8D28-4D70-99B6-82FF19D6CCBB}" name="Column3210"/>
    <tableColumn id="3211" xr3:uid="{8A20A0A9-1487-4200-9D9C-975B59D68C9D}" name="Column3211"/>
    <tableColumn id="3212" xr3:uid="{9C9144CD-64B8-4348-9D56-DE14D49C7903}" name="Column3212"/>
    <tableColumn id="3213" xr3:uid="{47AC91DB-DECF-4055-8776-A2559DC3E400}" name="Column3213"/>
    <tableColumn id="3214" xr3:uid="{77BD61C2-7B41-45B8-8A93-E10051C6FF29}" name="Column3214"/>
    <tableColumn id="3215" xr3:uid="{FC1A22A0-2213-4E9D-B17B-958D800CFAE2}" name="Column3215"/>
    <tableColumn id="3216" xr3:uid="{F78E9A31-4561-41E7-ADC4-0D46B82BFFA7}" name="Column3216"/>
    <tableColumn id="3217" xr3:uid="{996BAFD7-C44E-48CE-9299-B1A83D5ACDA9}" name="Column3217"/>
    <tableColumn id="3218" xr3:uid="{B4965BA2-1A57-4EB8-8032-D7425010504D}" name="Column3218"/>
    <tableColumn id="3219" xr3:uid="{8DF21316-E1DC-4994-825C-F46D74B36B8B}" name="Column3219"/>
    <tableColumn id="3220" xr3:uid="{1B8D2CE9-3049-4C2B-9CF4-D473C6B98CB2}" name="Column3220"/>
    <tableColumn id="3221" xr3:uid="{2070AAA2-9BBB-4362-9334-8F821699B8D2}" name="Column3221"/>
    <tableColumn id="3222" xr3:uid="{87E8D18C-E37B-4634-8D54-B4480963D89E}" name="Column3222"/>
    <tableColumn id="3223" xr3:uid="{C3D175E4-13A7-47CF-AA53-FDE15C740754}" name="Column3223"/>
    <tableColumn id="3224" xr3:uid="{37D3AF21-D63B-46D0-BDF2-0321A56B95B9}" name="Column3224"/>
    <tableColumn id="3225" xr3:uid="{5ECE9E26-DB0A-4384-B5D5-1CBF4B5B6538}" name="Column3225"/>
    <tableColumn id="3226" xr3:uid="{26186F87-EF41-444B-A8CD-AC72195D640C}" name="Column3226"/>
    <tableColumn id="3227" xr3:uid="{F5859610-5D32-45D6-9C40-AE32B78B0EFF}" name="Column3227"/>
    <tableColumn id="3228" xr3:uid="{E524FEB5-B2E9-4D79-91E1-ED90CDF8D19F}" name="Column3228"/>
    <tableColumn id="3229" xr3:uid="{E6D74125-7AC6-45D6-AC9F-2BCD93BD11EA}" name="Column3229"/>
    <tableColumn id="3230" xr3:uid="{CC34DDA5-08CB-452A-9D8E-303D2D3873D3}" name="Column3230"/>
    <tableColumn id="3231" xr3:uid="{7B6F9068-DE95-464E-933D-C1DD8DDE97A8}" name="Column3231"/>
    <tableColumn id="3232" xr3:uid="{23AA31F2-4B7B-4E9B-A63B-AA95B196A17E}" name="Column3232"/>
    <tableColumn id="3233" xr3:uid="{9228939C-1CD0-47DC-954B-0E4EB65E7DF4}" name="Column3233"/>
    <tableColumn id="3234" xr3:uid="{C2641916-5A05-497B-9B83-8C6398C18D8F}" name="Column3234"/>
    <tableColumn id="3235" xr3:uid="{69CE660B-D5F9-42C5-B4A7-AD92F42FCB3F}" name="Column3235"/>
    <tableColumn id="3236" xr3:uid="{A8B518A4-C384-4602-AA92-033A45A6C520}" name="Column3236"/>
    <tableColumn id="3237" xr3:uid="{01EC2F8E-19AF-45D3-8EB1-B59A84D034CB}" name="Column3237"/>
    <tableColumn id="3238" xr3:uid="{22CA2EFD-C631-4229-A43B-85C03464E904}" name="Column3238"/>
    <tableColumn id="3239" xr3:uid="{11DDECFF-386D-4C53-B248-7C739BD3CE81}" name="Column3239"/>
    <tableColumn id="3240" xr3:uid="{45645DB2-AF5A-47F6-BA12-A8FFADA4F00C}" name="Column3240"/>
    <tableColumn id="3241" xr3:uid="{504CCA56-72B6-4929-A6D9-96DA766F8DE0}" name="Column3241"/>
    <tableColumn id="3242" xr3:uid="{E6218123-E423-45C4-A476-F7C9466D36B9}" name="Column3242"/>
    <tableColumn id="3243" xr3:uid="{BF921E6C-4C03-42E8-B52A-E9AB137A0933}" name="Column3243"/>
    <tableColumn id="3244" xr3:uid="{8023F322-C3FE-45ED-8298-AD77631EA349}" name="Column3244"/>
    <tableColumn id="3245" xr3:uid="{E6D15FB0-CD0F-4E97-809F-5F620C5AEEF8}" name="Column3245"/>
    <tableColumn id="3246" xr3:uid="{6444D63E-7C2E-4727-846B-CB5F372067BF}" name="Column3246"/>
    <tableColumn id="3247" xr3:uid="{8D3C2156-0DF4-4A86-A311-1167A12FDD4A}" name="Column3247"/>
    <tableColumn id="3248" xr3:uid="{F145BF95-B9A7-4C80-AAF8-A50800CCBB0E}" name="Column3248"/>
    <tableColumn id="3249" xr3:uid="{7DA9E5B7-EFC3-42BB-9B8F-E192470E733F}" name="Column3249"/>
    <tableColumn id="3250" xr3:uid="{CA399B3B-C7F2-4D86-9D4A-D7A37E948969}" name="Column3250"/>
    <tableColumn id="3251" xr3:uid="{FBC43695-0EA9-4E2C-9A87-AE26413DFA87}" name="Column3251"/>
    <tableColumn id="3252" xr3:uid="{C12C432D-95E9-435C-B29F-0981F9EE8A34}" name="Column3252"/>
    <tableColumn id="3253" xr3:uid="{8117759D-5409-4F9B-91C1-25F615D305AB}" name="Column3253"/>
    <tableColumn id="3254" xr3:uid="{5B819CEF-BA24-4D62-B320-EE0FA726CC53}" name="Column3254"/>
    <tableColumn id="3255" xr3:uid="{8887FA40-DA6A-4314-9C6B-5023C461D6E5}" name="Column3255"/>
    <tableColumn id="3256" xr3:uid="{98B649D5-937D-4287-8260-A8FD061EBDB9}" name="Column3256"/>
    <tableColumn id="3257" xr3:uid="{5D356795-ED6B-4937-A6BB-145FD0B30775}" name="Column3257"/>
    <tableColumn id="3258" xr3:uid="{9DA2E7CD-0FE2-4543-A003-ADCC18C033C8}" name="Column3258"/>
    <tableColumn id="3259" xr3:uid="{AEA5EE81-4F5A-468A-8BA7-32B35A117BCF}" name="Column3259"/>
    <tableColumn id="3260" xr3:uid="{78ABA810-BA06-440A-96C5-C0589D9DDAFD}" name="Column3260"/>
    <tableColumn id="3261" xr3:uid="{C03B70E0-A918-425A-98EB-40209A1A6A5E}" name="Column3261"/>
    <tableColumn id="3262" xr3:uid="{2247BDB1-E643-43F9-ACE2-CFE81CA6E8E9}" name="Column3262"/>
    <tableColumn id="3263" xr3:uid="{D6F17026-845A-4452-B2E2-4BF4DED2162A}" name="Column3263"/>
    <tableColumn id="3264" xr3:uid="{C03267BE-FE6D-4077-8799-C923C7E2C36A}" name="Column3264"/>
    <tableColumn id="3265" xr3:uid="{54F41427-7B62-40C0-BB3F-F05EAEC00933}" name="Column3265"/>
    <tableColumn id="3266" xr3:uid="{F9E63BC1-AD13-48FB-B375-162ED0895324}" name="Column3266"/>
    <tableColumn id="3267" xr3:uid="{DD3B6EAE-864B-4D2D-BF42-34E1713DB4C2}" name="Column3267"/>
    <tableColumn id="3268" xr3:uid="{8CECB6DB-CBC7-4A76-9DCF-90B9963A23A6}" name="Column3268"/>
    <tableColumn id="3269" xr3:uid="{1FE39C3A-D7CC-422A-B6EF-A42C7116B494}" name="Column3269"/>
    <tableColumn id="3270" xr3:uid="{E2A14018-7AD9-4C55-950C-CB4675454EA0}" name="Column3270"/>
    <tableColumn id="3271" xr3:uid="{1470EE65-7F6E-4B4E-A464-EF32CFF41568}" name="Column3271"/>
    <tableColumn id="3272" xr3:uid="{9C7E3B5A-2C10-4B1E-97AB-E81378B470B4}" name="Column3272"/>
    <tableColumn id="3273" xr3:uid="{E0850A65-3E89-4B81-AA44-E8757615DEDD}" name="Column3273"/>
    <tableColumn id="3274" xr3:uid="{5CE4B0EB-1579-42B7-9569-7CF63BAFA71E}" name="Column3274"/>
    <tableColumn id="3275" xr3:uid="{98948AAC-1184-43F7-8397-2CCD1F92B692}" name="Column3275"/>
    <tableColumn id="3276" xr3:uid="{7F9F6AEB-35D2-4338-8700-0F7302161075}" name="Column3276"/>
    <tableColumn id="3277" xr3:uid="{169052C3-1441-4F80-8145-429018D531B0}" name="Column3277"/>
    <tableColumn id="3278" xr3:uid="{CDBBDE5F-F90E-42A0-BE4E-1A49728CA517}" name="Column3278"/>
    <tableColumn id="3279" xr3:uid="{3BB8B24C-B7B6-491D-9F8F-A68A617B81B0}" name="Column3279"/>
    <tableColumn id="3280" xr3:uid="{9624B9AB-320B-486D-B47E-4208D46AB7F0}" name="Column3280"/>
    <tableColumn id="3281" xr3:uid="{7EB885E6-C3AF-4DA8-A980-28DA83F93E2A}" name="Column3281"/>
    <tableColumn id="3282" xr3:uid="{ED62CC95-F51C-4BDD-B133-B1428160BF02}" name="Column3282"/>
    <tableColumn id="3283" xr3:uid="{0D24CF43-5816-4306-B3E5-AA67BD38977E}" name="Column3283"/>
    <tableColumn id="3284" xr3:uid="{55F59F62-E6E1-42D5-BC8E-60EC36F67549}" name="Column3284"/>
    <tableColumn id="3285" xr3:uid="{AEC657A2-C930-460F-9FC9-C9C8CB5240CF}" name="Column3285"/>
    <tableColumn id="3286" xr3:uid="{323388F9-A46F-4951-AD2B-D95D6EC795FB}" name="Column3286"/>
    <tableColumn id="3287" xr3:uid="{3F913FCB-3916-43F3-A7B9-0AC1F4577BB7}" name="Column3287"/>
    <tableColumn id="3288" xr3:uid="{24936C54-DF27-4C8F-B667-05F99E09AA76}" name="Column3288"/>
    <tableColumn id="3289" xr3:uid="{0E188271-F9BE-474E-873C-F28EA357E837}" name="Column3289"/>
    <tableColumn id="3290" xr3:uid="{2A0D555C-E84D-42AF-9BF8-904F9143AD22}" name="Column3290"/>
    <tableColumn id="3291" xr3:uid="{FF196807-C120-4CF5-82EB-9ADC660CA13C}" name="Column3291"/>
    <tableColumn id="3292" xr3:uid="{EFC25C54-800B-4A9A-B037-0F3580CE0B6A}" name="Column3292"/>
    <tableColumn id="3293" xr3:uid="{D15BD42F-7C21-4734-BC20-42ED093E252A}" name="Column3293"/>
    <tableColumn id="3294" xr3:uid="{8BCA64A7-9B7B-44BF-B938-5844D5C1C73F}" name="Column3294"/>
    <tableColumn id="3295" xr3:uid="{CE7D7E26-A5B2-4E27-93CC-B9F3F472C728}" name="Column3295"/>
    <tableColumn id="3296" xr3:uid="{3E616318-883D-4727-BC4E-8EA9CF19C80D}" name="Column3296"/>
    <tableColumn id="3297" xr3:uid="{6A775A43-8A5F-4206-AC54-A7FFBEF688E6}" name="Column3297"/>
    <tableColumn id="3298" xr3:uid="{0BC928E9-33F0-4293-9AFA-23192325900F}" name="Column3298"/>
    <tableColumn id="3299" xr3:uid="{F6FD93F2-3E51-4A9A-A8EB-947042AB14F0}" name="Column3299"/>
    <tableColumn id="3300" xr3:uid="{02BE2AFD-EEDB-4206-B66B-F071FA522794}" name="Column3300"/>
    <tableColumn id="3301" xr3:uid="{DB30C807-6036-4134-AA4A-68A2685D7C81}" name="Column3301"/>
    <tableColumn id="3302" xr3:uid="{324DA59B-6C99-4C61-B71F-468B589A21F0}" name="Column3302"/>
    <tableColumn id="3303" xr3:uid="{9AD47820-460A-4A74-AC63-FD7CAA71483A}" name="Column3303"/>
    <tableColumn id="3304" xr3:uid="{04831B3B-CB2B-475C-9A60-3004B537E7E5}" name="Column3304"/>
    <tableColumn id="3305" xr3:uid="{0530D9F8-2D22-4A88-8DB5-320932DFD1B5}" name="Column3305"/>
    <tableColumn id="3306" xr3:uid="{9544109A-9896-4906-9902-EA121743D744}" name="Column3306"/>
    <tableColumn id="3307" xr3:uid="{6BC85080-8332-4A0F-A61E-6964A02CEB7E}" name="Column3307"/>
    <tableColumn id="3308" xr3:uid="{D7A9A1CA-E593-4C1A-9BAF-425157EA27E4}" name="Column3308"/>
    <tableColumn id="3309" xr3:uid="{E96E815D-45FB-4C2E-BB37-BC43CAC31942}" name="Column3309"/>
    <tableColumn id="3310" xr3:uid="{BD3BE627-AD2F-4F52-A006-6F71DEA2AE90}" name="Column3310"/>
    <tableColumn id="3311" xr3:uid="{2DE2C0AF-6594-4C96-824C-A60527FB5B70}" name="Column3311"/>
    <tableColumn id="3312" xr3:uid="{5E126EBF-E358-4134-A793-E8B08497F602}" name="Column3312"/>
    <tableColumn id="3313" xr3:uid="{C9768F1C-9194-479E-9472-A1279D1AE21C}" name="Column3313"/>
    <tableColumn id="3314" xr3:uid="{77707A76-F602-4083-8BC1-D5C43185AB21}" name="Column3314"/>
    <tableColumn id="3315" xr3:uid="{ECB33DC1-0D43-4073-8A49-4B68DF04F2DA}" name="Column3315"/>
    <tableColumn id="3316" xr3:uid="{20A6FD93-0D65-48A1-B9AE-6BDE9F95FF94}" name="Column3316"/>
    <tableColumn id="3317" xr3:uid="{CC38ABF2-D1FD-4B45-85B2-3D7C14E45D64}" name="Column3317"/>
    <tableColumn id="3318" xr3:uid="{611F9DBF-40E3-4073-A450-60B0D33B9BEB}" name="Column3318"/>
    <tableColumn id="3319" xr3:uid="{14C713FA-C3D1-4E2A-9200-E65FF25B3B88}" name="Column3319"/>
    <tableColumn id="3320" xr3:uid="{BA59E2E2-48A5-4B6C-A3DE-F58E2BFB3C38}" name="Column3320"/>
    <tableColumn id="3321" xr3:uid="{EDE4C80F-048D-46FD-AD15-980C420072A2}" name="Column3321"/>
    <tableColumn id="3322" xr3:uid="{12A83A70-382F-4174-BB5F-4B0C1F580746}" name="Column3322"/>
    <tableColumn id="3323" xr3:uid="{D1D10412-881D-403C-B8EF-0348796E6E6D}" name="Column3323"/>
    <tableColumn id="3324" xr3:uid="{80130C6F-AC14-46F9-BDF3-9DD488275366}" name="Column3324"/>
    <tableColumn id="3325" xr3:uid="{8F6FFFF4-81FB-493C-BEF7-3A224EDE1C8F}" name="Column3325"/>
    <tableColumn id="3326" xr3:uid="{277514FA-384A-4EDA-A34D-DF1AEAF706C9}" name="Column3326"/>
    <tableColumn id="3327" xr3:uid="{5AEB53FA-0381-47F9-A751-F28F7F1DCEC9}" name="Column3327"/>
    <tableColumn id="3328" xr3:uid="{4C3F7354-9B5C-4801-B73E-D86264C73128}" name="Column3328"/>
    <tableColumn id="3329" xr3:uid="{D889BBAC-B1A0-4435-932D-B55366802913}" name="Column3329"/>
    <tableColumn id="3330" xr3:uid="{EAB16BD9-2F4B-434E-97B8-690B82873048}" name="Column3330"/>
    <tableColumn id="3331" xr3:uid="{81C69B6B-7CDE-4858-9355-9B72038D8BAB}" name="Column3331"/>
    <tableColumn id="3332" xr3:uid="{8D72A1DC-7B02-4D48-BA46-0DB9A352C97B}" name="Column3332"/>
    <tableColumn id="3333" xr3:uid="{FB68AE2A-3F8F-4BBB-AE9F-8B41216526E3}" name="Column3333"/>
    <tableColumn id="3334" xr3:uid="{14A2309F-55D9-45DB-95C1-41519C373DC6}" name="Column3334"/>
    <tableColumn id="3335" xr3:uid="{40511DB7-12F7-4D5B-BEA6-0508C4205AA2}" name="Column3335"/>
    <tableColumn id="3336" xr3:uid="{EA3505DA-FF74-4F77-9104-A5A20A1EBC97}" name="Column3336"/>
    <tableColumn id="3337" xr3:uid="{336F59B6-A76A-492A-B0C0-4244C452BE98}" name="Column3337"/>
    <tableColumn id="3338" xr3:uid="{D99CAF11-2698-4770-835B-65ABB1DDCC38}" name="Column3338"/>
    <tableColumn id="3339" xr3:uid="{CDC8AFF7-B38D-4C39-8609-E07F115A0286}" name="Column3339"/>
    <tableColumn id="3340" xr3:uid="{B769B826-7399-4B12-B8C0-A8F9BB977FFF}" name="Column3340"/>
    <tableColumn id="3341" xr3:uid="{F2DC57C4-3E7D-4372-98A7-ECC6BFF3278E}" name="Column3341"/>
    <tableColumn id="3342" xr3:uid="{C97CB6BC-3ADA-4B94-8053-7AA4DE8DA019}" name="Column3342"/>
    <tableColumn id="3343" xr3:uid="{0C6D4733-A1B2-47B7-87B7-531127EAC11E}" name="Column3343"/>
    <tableColumn id="3344" xr3:uid="{F1DAD60F-5DBC-48A7-8A3F-23C031E3925D}" name="Column3344"/>
    <tableColumn id="3345" xr3:uid="{703B76B7-B6D9-4207-A780-0F8BA47846E3}" name="Column3345"/>
    <tableColumn id="3346" xr3:uid="{8C519649-4D0E-48CE-B5C9-9CEB382FAEB0}" name="Column3346"/>
    <tableColumn id="3347" xr3:uid="{714C68CE-51A6-4D3E-9C14-BC8BE4C3A09C}" name="Column3347"/>
    <tableColumn id="3348" xr3:uid="{B64B9B42-00F2-4AE0-9160-1BE9CAB5720D}" name="Column3348"/>
    <tableColumn id="3349" xr3:uid="{BB1211E6-4810-44F7-BB11-AEA6B99B72F0}" name="Column3349"/>
    <tableColumn id="3350" xr3:uid="{880AFCBF-BA70-472D-8294-5B8974073721}" name="Column3350"/>
    <tableColumn id="3351" xr3:uid="{7AD0ED20-83CE-4203-955F-78BFE7F4B124}" name="Column3351"/>
    <tableColumn id="3352" xr3:uid="{CB57FF74-AB36-41EF-AD44-A843216E2F72}" name="Column3352"/>
    <tableColumn id="3353" xr3:uid="{2F44123A-9335-4290-B53E-2D1ED4A63781}" name="Column3353"/>
    <tableColumn id="3354" xr3:uid="{81FFC634-3F51-4117-B0C8-DB2DAC609A7F}" name="Column3354"/>
    <tableColumn id="3355" xr3:uid="{0A8857AC-1D3E-4ACB-85EA-C98AA055E545}" name="Column3355"/>
    <tableColumn id="3356" xr3:uid="{AE496F1B-1AE0-4A9B-8BB4-4369A7C8154D}" name="Column3356"/>
    <tableColumn id="3357" xr3:uid="{70483F9F-F1C9-4CE5-B85D-4E19D95812B8}" name="Column3357"/>
    <tableColumn id="3358" xr3:uid="{E0C43AC6-188B-4B95-8D78-DFBF3343C535}" name="Column3358"/>
    <tableColumn id="3359" xr3:uid="{87672ACB-E93F-460A-916C-D71DCD373520}" name="Column3359"/>
    <tableColumn id="3360" xr3:uid="{51D44478-B723-48F4-97B4-689D78B95109}" name="Column3360"/>
    <tableColumn id="3361" xr3:uid="{0A1DF797-54F5-4F7B-B140-C5D8B451AF42}" name="Column3361"/>
    <tableColumn id="3362" xr3:uid="{0D9853C5-60E4-4D36-B240-9E10BBA9FA6C}" name="Column3362"/>
    <tableColumn id="3363" xr3:uid="{32D3863B-9A85-48D7-A83D-8542166AB76A}" name="Column3363"/>
    <tableColumn id="3364" xr3:uid="{D088A0AD-64A1-4D51-9F5D-656B38564B7B}" name="Column3364"/>
    <tableColumn id="3365" xr3:uid="{5455266D-A5FB-494B-AE8B-BB5C022B70C9}" name="Column3365"/>
    <tableColumn id="3366" xr3:uid="{17563197-8E80-4AC3-9D8A-9F3D276400B7}" name="Column3366"/>
    <tableColumn id="3367" xr3:uid="{4CFDE421-5528-4916-BFC4-E1D6666090EC}" name="Column3367"/>
    <tableColumn id="3368" xr3:uid="{5E8EF30C-FD08-400A-9B97-600E317E65AD}" name="Column3368"/>
    <tableColumn id="3369" xr3:uid="{7292756B-4FEF-4FC0-8378-0923EAFD4ACD}" name="Column3369"/>
    <tableColumn id="3370" xr3:uid="{8D596EE2-F4D4-4847-B9FB-D1C7EC9DFE33}" name="Column3370"/>
    <tableColumn id="3371" xr3:uid="{33EFC029-120F-48CA-A52C-62A7A2E855BC}" name="Column3371"/>
    <tableColumn id="3372" xr3:uid="{6726D549-B1CA-46A2-98F9-FA170DFB0A48}" name="Column3372"/>
    <tableColumn id="3373" xr3:uid="{3BFC9F14-0DCC-4183-81B5-D3CE8387711D}" name="Column3373"/>
    <tableColumn id="3374" xr3:uid="{BBAFAF5E-D5B9-4D87-BEB2-43A0306977DB}" name="Column3374"/>
    <tableColumn id="3375" xr3:uid="{ED279E9B-32F8-4516-94C6-B3A3380A6173}" name="Column3375"/>
    <tableColumn id="3376" xr3:uid="{EAB6DB23-F05B-43C9-A4B2-2E400C4D7546}" name="Column3376"/>
    <tableColumn id="3377" xr3:uid="{617BCBE8-88D2-425C-9151-BA90546647B5}" name="Column3377"/>
    <tableColumn id="3378" xr3:uid="{98A80FDF-311F-42A2-834F-DE17E284FEFA}" name="Column3378"/>
    <tableColumn id="3379" xr3:uid="{989D5C4B-BEF3-4A5A-B6B5-E051DFBE52FA}" name="Column3379"/>
    <tableColumn id="3380" xr3:uid="{37ADB4C1-A83D-4C0A-9F2F-5908D648D44B}" name="Column3380"/>
    <tableColumn id="3381" xr3:uid="{C9E6E097-F47D-4343-AB31-4CC69AA81CCB}" name="Column3381"/>
    <tableColumn id="3382" xr3:uid="{E1FD9486-995D-4CBA-A2C5-7E6BE04DB8CD}" name="Column3382"/>
    <tableColumn id="3383" xr3:uid="{7FB0F9B3-2C19-4F6C-99F4-C09BE4E3AB93}" name="Column3383"/>
    <tableColumn id="3384" xr3:uid="{4F210818-697F-408F-9565-19E7B1110087}" name="Column3384"/>
    <tableColumn id="3385" xr3:uid="{02B97531-609D-482A-BAC0-BCEEBDDFA1D5}" name="Column3385"/>
    <tableColumn id="3386" xr3:uid="{E5A52966-04AF-4141-9BCF-1C30107D1C1F}" name="Column3386"/>
    <tableColumn id="3387" xr3:uid="{0AD33F09-ACEC-46A2-8655-80638C38BC3C}" name="Column3387"/>
    <tableColumn id="3388" xr3:uid="{85F58E81-63D9-4E20-9414-1F851F74FECF}" name="Column3388"/>
    <tableColumn id="3389" xr3:uid="{2A8F65BE-5712-408E-BD4B-32AD3FCBE034}" name="Column3389"/>
    <tableColumn id="3390" xr3:uid="{A6059BEE-C051-4C8D-B545-CE884CD78737}" name="Column3390"/>
    <tableColumn id="3391" xr3:uid="{0571F85A-08E1-4AE3-80E9-9E29C6DEB859}" name="Column3391"/>
    <tableColumn id="3392" xr3:uid="{B36A282A-431C-4675-8030-F7BBC63FD31E}" name="Column3392"/>
    <tableColumn id="3393" xr3:uid="{46B46656-2360-4615-9793-4866CCF42BEE}" name="Column3393"/>
    <tableColumn id="3394" xr3:uid="{0E05BD41-AB9E-48A6-B94E-F5E99D4E3E7C}" name="Column3394"/>
    <tableColumn id="3395" xr3:uid="{3607E74D-BA88-4428-B125-84B65EB043BB}" name="Column3395"/>
    <tableColumn id="3396" xr3:uid="{2471422B-7F6D-49E4-BF55-947BD262063E}" name="Column3396"/>
    <tableColumn id="3397" xr3:uid="{8F2737C2-3FE6-44D4-82BF-CC414E69276B}" name="Column3397"/>
    <tableColumn id="3398" xr3:uid="{C65EBCDC-28B0-4522-A352-D7C64C4B3E43}" name="Column3398"/>
    <tableColumn id="3399" xr3:uid="{8908CBE4-9CB3-4F8B-805C-B642FD37BEE1}" name="Column3399"/>
    <tableColumn id="3400" xr3:uid="{A32DA179-966D-4AA7-8329-886C71948778}" name="Column3400"/>
    <tableColumn id="3401" xr3:uid="{F2258995-5C81-419D-BF6F-FFC29BEED0A2}" name="Column3401"/>
    <tableColumn id="3402" xr3:uid="{F5EF13EC-8C37-4056-B5D3-68D61ADD4AAC}" name="Column3402"/>
    <tableColumn id="3403" xr3:uid="{22F86134-9E3C-4E81-B697-C7FCCA3BFBEC}" name="Column3403"/>
    <tableColumn id="3404" xr3:uid="{554D8CDC-10A8-4492-B5E3-E3B1E516D707}" name="Column3404"/>
    <tableColumn id="3405" xr3:uid="{4A9789EB-20CB-42AC-B7D5-4775C343BD47}" name="Column3405"/>
    <tableColumn id="3406" xr3:uid="{D014A6DD-AC1D-48AE-AA3E-9F49ACA10760}" name="Column3406"/>
    <tableColumn id="3407" xr3:uid="{CCADC5A9-1BC8-4BDD-9C12-2C731052FE05}" name="Column3407"/>
    <tableColumn id="3408" xr3:uid="{BC9B77DE-9747-437B-8C12-D142C2501DF3}" name="Column3408"/>
    <tableColumn id="3409" xr3:uid="{AE761052-4133-4579-81E2-9503ED02387F}" name="Column3409"/>
    <tableColumn id="3410" xr3:uid="{84EDED9E-B93F-4A01-9D69-13FE150F1A5E}" name="Column3410"/>
    <tableColumn id="3411" xr3:uid="{B83E75C3-DE00-4A8F-AAEB-58E7751546E1}" name="Column3411"/>
    <tableColumn id="3412" xr3:uid="{6997895B-7050-41B2-A6A4-159F1411120B}" name="Column3412"/>
    <tableColumn id="3413" xr3:uid="{CEA04EE5-91DE-4FDA-BCF9-4C834F00096E}" name="Column3413"/>
    <tableColumn id="3414" xr3:uid="{ED3B98F4-B709-4124-9F15-F03A70BB13EF}" name="Column3414"/>
    <tableColumn id="3415" xr3:uid="{BF7837F6-06B1-451F-8E9E-CF2473BFAF17}" name="Column3415"/>
    <tableColumn id="3416" xr3:uid="{0B9FE9BA-F279-4A9B-BDE5-CEBCA849DD2D}" name="Column3416"/>
    <tableColumn id="3417" xr3:uid="{0E1013C9-35C3-47BF-9F42-5F0052BDBEA9}" name="Column3417"/>
    <tableColumn id="3418" xr3:uid="{E1606C32-789B-4500-80E5-3F6FD5D60E6C}" name="Column3418"/>
    <tableColumn id="3419" xr3:uid="{F9381B61-085C-4C28-BF53-408E535A3569}" name="Column3419"/>
    <tableColumn id="3420" xr3:uid="{6B86666E-DA78-4132-B2DB-DE28EB852C82}" name="Column3420"/>
    <tableColumn id="3421" xr3:uid="{A02E99E3-28E4-443D-B258-2B94F1DBDA33}" name="Column3421"/>
    <tableColumn id="3422" xr3:uid="{48D9B723-EEFB-41CB-AFE7-B118BA31BDF1}" name="Column3422"/>
    <tableColumn id="3423" xr3:uid="{EAB8AFEC-92E6-4178-9980-C0C22C12DD5D}" name="Column3423"/>
    <tableColumn id="3424" xr3:uid="{3AA53EBE-66B0-4D28-957B-7EF6F3B1B301}" name="Column3424"/>
    <tableColumn id="3425" xr3:uid="{8C3E9A33-9E32-4405-B7D1-CA0A9A02D276}" name="Column3425"/>
    <tableColumn id="3426" xr3:uid="{B343FC46-A07B-4BF4-A16E-69A7837B073F}" name="Column3426"/>
    <tableColumn id="3427" xr3:uid="{B5C9EEA9-3CA5-4874-ABDB-AD062708D53D}" name="Column3427"/>
    <tableColumn id="3428" xr3:uid="{04596732-1448-4789-B2CF-5F67CD028FA3}" name="Column3428"/>
    <tableColumn id="3429" xr3:uid="{48D4C52E-1E06-4539-9222-8B00F9CA8ED7}" name="Column3429"/>
    <tableColumn id="3430" xr3:uid="{B9A76973-CE40-4156-BCB7-25558C9DFEB0}" name="Column3430"/>
    <tableColumn id="3431" xr3:uid="{04A6EE38-1B6A-4B64-BEC8-5A334E95F56E}" name="Column3431"/>
    <tableColumn id="3432" xr3:uid="{507D98A3-D9DE-48D2-BA01-713F2E8C00AB}" name="Column3432"/>
    <tableColumn id="3433" xr3:uid="{AD9F0906-E42D-4767-A5DD-7832FF359143}" name="Column3433"/>
    <tableColumn id="3434" xr3:uid="{E7BB93E5-FAFA-4DC3-A13A-343FDCDEE822}" name="Column3434"/>
    <tableColumn id="3435" xr3:uid="{FA2B976F-2734-41DE-8041-53ABAC51118C}" name="Column3435"/>
    <tableColumn id="3436" xr3:uid="{40AE5AE8-8DAB-4747-8C8D-0E2DA0A1CE85}" name="Column3436"/>
    <tableColumn id="3437" xr3:uid="{A445F45C-E7C3-4BC1-969F-74532C270E50}" name="Column3437"/>
    <tableColumn id="3438" xr3:uid="{049D3B82-36D0-49BC-9F35-02CB9DC73863}" name="Column3438"/>
    <tableColumn id="3439" xr3:uid="{1AEC71FD-2C04-4B29-9014-38B8AA60539B}" name="Column3439"/>
    <tableColumn id="3440" xr3:uid="{C746F00E-A58C-40B4-91F5-CCD276FF2DDA}" name="Column3440"/>
    <tableColumn id="3441" xr3:uid="{ACA99108-8899-40E5-B591-47D27DA54776}" name="Column3441"/>
    <tableColumn id="3442" xr3:uid="{982D56CC-5166-4814-8BD7-99BFF722D601}" name="Column3442"/>
    <tableColumn id="3443" xr3:uid="{D09DE0E9-109D-4B9E-85E3-8CB2EAD50173}" name="Column3443"/>
    <tableColumn id="3444" xr3:uid="{BDA9ABF0-90BB-4AF7-AB4A-00F1AC475DDD}" name="Column3444"/>
    <tableColumn id="3445" xr3:uid="{04FCDAD1-890C-4408-BDF9-B8167F8F36C6}" name="Column3445"/>
    <tableColumn id="3446" xr3:uid="{41D89CF9-02D1-4745-8FEE-A5E38EBEDA8B}" name="Column3446"/>
    <tableColumn id="3447" xr3:uid="{0CBC9E45-6375-4049-AA1D-7B75CFB8C4B5}" name="Column3447"/>
    <tableColumn id="3448" xr3:uid="{C437A815-1D3A-44B3-A6C6-1E22E273CF87}" name="Column3448"/>
    <tableColumn id="3449" xr3:uid="{40C57C7D-B43F-4A68-A7D4-3E71C7F6BDE8}" name="Column3449"/>
    <tableColumn id="3450" xr3:uid="{A26A87F7-C6D8-496D-8ABF-F61AE8A351B6}" name="Column3450"/>
    <tableColumn id="3451" xr3:uid="{B8790017-5A81-4766-8D65-578643382DAE}" name="Column3451"/>
    <tableColumn id="3452" xr3:uid="{4D9A0DE4-C454-4AAE-B193-E8780B0F1329}" name="Column3452"/>
    <tableColumn id="3453" xr3:uid="{79DD52EA-CA1F-49AF-8175-E707C3C4348A}" name="Column3453"/>
    <tableColumn id="3454" xr3:uid="{81DBAD7F-78B3-4AF0-8A04-CA084C986559}" name="Column3454"/>
    <tableColumn id="3455" xr3:uid="{1B58E64B-3203-4DEF-BCBD-C28B8200FC9A}" name="Column3455"/>
    <tableColumn id="3456" xr3:uid="{CB164E90-A4EB-44EB-AE2E-ECAD28E9F858}" name="Column3456"/>
    <tableColumn id="3457" xr3:uid="{02B9423A-882F-495D-B83D-7136D12CC468}" name="Column3457"/>
    <tableColumn id="3458" xr3:uid="{1A890B1D-98DE-486D-ACB3-8D468643C196}" name="Column3458"/>
    <tableColumn id="3459" xr3:uid="{759A8124-B8AF-4004-A1F9-A01B2D6E3C1B}" name="Column3459"/>
    <tableColumn id="3460" xr3:uid="{49B47ED8-BAF3-4D75-ADCE-82BA87E6994D}" name="Column3460"/>
    <tableColumn id="3461" xr3:uid="{E7BB935B-578C-4A07-8180-A114B50F4555}" name="Column3461"/>
    <tableColumn id="3462" xr3:uid="{E6C72B73-63E4-4F05-BA29-52D97233F6D3}" name="Column3462"/>
    <tableColumn id="3463" xr3:uid="{25742F59-CAFC-4338-ADCD-C97E11883441}" name="Column3463"/>
    <tableColumn id="3464" xr3:uid="{1FCECACD-77C9-466E-9F65-9830A6832E18}" name="Column3464"/>
    <tableColumn id="3465" xr3:uid="{08710460-9DEF-4059-A48C-3FEB727F6C1D}" name="Column3465"/>
    <tableColumn id="3466" xr3:uid="{255F74E3-27DA-4D2C-BDAA-2B6743CECCEA}" name="Column3466"/>
    <tableColumn id="3467" xr3:uid="{378A1E2B-1CFE-404E-AD3D-90B8C4DCB363}" name="Column3467"/>
    <tableColumn id="3468" xr3:uid="{42FD7FD7-1009-4AA9-8C77-C3840B138B39}" name="Column3468"/>
    <tableColumn id="3469" xr3:uid="{8C673B43-A6F0-48AB-8A04-85685C1121AE}" name="Column3469"/>
    <tableColumn id="3470" xr3:uid="{D260554E-9356-4675-B7BC-E2058D84DD7B}" name="Column3470"/>
    <tableColumn id="3471" xr3:uid="{3897EA81-7BF3-40ED-AB89-43EBA4BFA35F}" name="Column3471"/>
    <tableColumn id="3472" xr3:uid="{8804C7BE-A6E9-41C8-87FA-8767C556F3E5}" name="Column3472"/>
    <tableColumn id="3473" xr3:uid="{91918BE7-CDCA-4EE8-B577-DDD03D1FA9C8}" name="Column3473"/>
    <tableColumn id="3474" xr3:uid="{A4A617CD-7AD4-423F-BA99-87A0EC492930}" name="Column3474"/>
    <tableColumn id="3475" xr3:uid="{97D70161-6E48-41FB-BAEA-760A1365D227}" name="Column3475"/>
    <tableColumn id="3476" xr3:uid="{44D6C081-8084-4C16-98A0-CD48277000F1}" name="Column3476"/>
    <tableColumn id="3477" xr3:uid="{E4089A97-8934-4496-9C22-45FA451C3099}" name="Column3477"/>
    <tableColumn id="3478" xr3:uid="{F49BA960-070A-498D-8218-059E488CC537}" name="Column3478"/>
    <tableColumn id="3479" xr3:uid="{9FD0A22F-6337-44D4-BE60-36C49CC674EB}" name="Column3479"/>
    <tableColumn id="3480" xr3:uid="{E066F34F-FD64-4C3D-9692-3CD47242F492}" name="Column3480"/>
    <tableColumn id="3481" xr3:uid="{BFBEF6D1-AB70-4E5F-9C87-92029783B1F6}" name="Column3481"/>
    <tableColumn id="3482" xr3:uid="{8083831C-1362-41B6-844D-8CE48B8A2021}" name="Column3482"/>
    <tableColumn id="3483" xr3:uid="{CD6C02B1-25F4-48B1-9170-0DE6D8B2D763}" name="Column3483"/>
    <tableColumn id="3484" xr3:uid="{C3FAD888-87B2-4AA9-9A29-D38A80E69841}" name="Column3484"/>
    <tableColumn id="3485" xr3:uid="{A2932C69-A623-47CC-B6AC-EE19311D9FAF}" name="Column3485"/>
    <tableColumn id="3486" xr3:uid="{706CA3EB-CDA1-4E7E-A109-79FF93F30BA2}" name="Column3486"/>
    <tableColumn id="3487" xr3:uid="{063E4CD6-FDA3-4FAA-8D48-6230419FBF00}" name="Column3487"/>
    <tableColumn id="3488" xr3:uid="{67F76544-04CE-4C7A-815F-3624042B238C}" name="Column3488"/>
    <tableColumn id="3489" xr3:uid="{56CAA61A-D4C6-4308-A73E-ECCD7FEC7A72}" name="Column3489"/>
    <tableColumn id="3490" xr3:uid="{3998CB25-49F0-4427-910A-827B4112CB09}" name="Column3490"/>
    <tableColumn id="3491" xr3:uid="{0208F012-25D0-4E5E-80FE-23D304112F52}" name="Column3491"/>
    <tableColumn id="3492" xr3:uid="{4042A70F-B073-4388-A362-2D08182C0FBF}" name="Column3492"/>
    <tableColumn id="3493" xr3:uid="{8E05A187-B5DA-4A82-BC8F-F78A9876C704}" name="Column3493"/>
    <tableColumn id="3494" xr3:uid="{56C6690F-D23F-40C3-91F0-7E52AFDAE255}" name="Column3494"/>
    <tableColumn id="3495" xr3:uid="{010E20EE-533F-42A9-92E7-1418749BBA9D}" name="Column3495"/>
    <tableColumn id="3496" xr3:uid="{7D10A100-3C56-4A09-AEBA-959D696BE729}" name="Column3496"/>
    <tableColumn id="3497" xr3:uid="{7A481CD6-D40C-4487-9C69-52E46AC16E65}" name="Column3497"/>
    <tableColumn id="3498" xr3:uid="{D92BE2A8-4EF5-47D5-AEEF-E3E8DACD54BD}" name="Column3498"/>
    <tableColumn id="3499" xr3:uid="{B4AF66CF-E7A9-44EE-BF11-422B2B618744}" name="Column3499"/>
    <tableColumn id="3500" xr3:uid="{0493DAC0-9BD2-49CC-B999-3990AA5001C4}" name="Column3500"/>
    <tableColumn id="3501" xr3:uid="{7D2A1DE5-BCBB-4940-89D9-44EBDAEF795F}" name="Column3501"/>
    <tableColumn id="3502" xr3:uid="{C0886EC0-0C75-44CE-A76F-9D1184BFB563}" name="Column3502"/>
    <tableColumn id="3503" xr3:uid="{2006F6AA-FEBF-4602-A5D1-35D9822313FC}" name="Column3503"/>
    <tableColumn id="3504" xr3:uid="{CC1DDDA0-9C38-4DE8-A831-9FA2A68D1F38}" name="Column3504"/>
    <tableColumn id="3505" xr3:uid="{D7E946E6-45E0-4E96-98C3-42F571B24D85}" name="Column3505"/>
    <tableColumn id="3506" xr3:uid="{58694872-66BE-491D-84EB-06568D7D4CCF}" name="Column3506"/>
    <tableColumn id="3507" xr3:uid="{2FBAE44F-4861-4279-923E-7DC15A91D0EC}" name="Column3507"/>
    <tableColumn id="3508" xr3:uid="{DB106BE8-DD78-4A05-BFAA-CBCD8FC2A09A}" name="Column3508"/>
    <tableColumn id="3509" xr3:uid="{03EFF25C-9253-4B78-B1A7-DF1B49AF054F}" name="Column3509"/>
    <tableColumn id="3510" xr3:uid="{8830AE2A-EBBE-4A10-A788-7700C2126669}" name="Column3510"/>
    <tableColumn id="3511" xr3:uid="{C8DC1687-5EA1-4002-B35A-14B74DC357DE}" name="Column3511"/>
    <tableColumn id="3512" xr3:uid="{8DA86CA5-DAFB-4FF4-B7E3-F4FAC440FF6A}" name="Column3512"/>
    <tableColumn id="3513" xr3:uid="{D3F97AED-6D1E-4EE6-AC04-131E8467AF44}" name="Column3513"/>
    <tableColumn id="3514" xr3:uid="{C7E62C1A-418E-43C5-A3C4-78416DFE76E7}" name="Column3514"/>
    <tableColumn id="3515" xr3:uid="{6AB424F3-828D-4133-AA45-6B9680223FDE}" name="Column3515"/>
    <tableColumn id="3516" xr3:uid="{FA788EAD-701F-42F4-B020-397D2E82D945}" name="Column3516"/>
    <tableColumn id="3517" xr3:uid="{EDD9B976-E5FB-42C7-8E16-2C1CD250BEC7}" name="Column3517"/>
    <tableColumn id="3518" xr3:uid="{858CBB15-A284-4B11-B832-476951927779}" name="Column3518"/>
    <tableColumn id="3519" xr3:uid="{A44504EF-409A-4032-887E-8848A031B949}" name="Column3519"/>
    <tableColumn id="3520" xr3:uid="{4C41F3FE-2EB5-48B2-A61A-930AFEA5C3F8}" name="Column3520"/>
    <tableColumn id="3521" xr3:uid="{0E068F79-554E-404F-A7A7-DABF6065E4CD}" name="Column3521"/>
    <tableColumn id="3522" xr3:uid="{88AAC707-83E1-4678-AF0C-02C2D960C432}" name="Column3522"/>
    <tableColumn id="3523" xr3:uid="{C050276D-A3EC-4707-8198-0E0FBCCB3B2D}" name="Column3523"/>
    <tableColumn id="3524" xr3:uid="{EFA2623E-CB75-441D-94DC-766C30143703}" name="Column3524"/>
    <tableColumn id="3525" xr3:uid="{0ADBEAB5-6820-4C09-80EF-CA89E2547C97}" name="Column3525"/>
    <tableColumn id="3526" xr3:uid="{517EF900-950C-4C1E-B924-D55CB235B120}" name="Column3526"/>
    <tableColumn id="3527" xr3:uid="{3A2116B7-4C78-4EED-B97F-13249DC8235C}" name="Column3527"/>
    <tableColumn id="3528" xr3:uid="{B7948628-68F4-4E88-9F8B-C1E34AEF7B54}" name="Column3528"/>
    <tableColumn id="3529" xr3:uid="{3B3C5DF4-870A-4156-94AB-B78A0C796920}" name="Column3529"/>
    <tableColumn id="3530" xr3:uid="{F367A366-BA51-4CE5-932C-8369B1D2E85F}" name="Column3530"/>
    <tableColumn id="3531" xr3:uid="{DF96B242-251B-4BEF-86F7-7620B5C02409}" name="Column3531"/>
    <tableColumn id="3532" xr3:uid="{AEAA4C84-7EE8-4524-96DB-4AF4C61F4D1C}" name="Column3532"/>
    <tableColumn id="3533" xr3:uid="{E25B8E86-D1A8-4C84-994A-39562B525599}" name="Column3533"/>
    <tableColumn id="3534" xr3:uid="{166D2877-5376-45C8-AED6-842B416C7EA8}" name="Column3534"/>
    <tableColumn id="3535" xr3:uid="{30108CF8-F4B1-40CA-BFD2-840EB4141C1E}" name="Column3535"/>
    <tableColumn id="3536" xr3:uid="{F71BEB10-236B-46FF-AA58-D98DD989DD37}" name="Column3536"/>
    <tableColumn id="3537" xr3:uid="{F5AD8E5A-9973-47CA-9C21-74FA377302E5}" name="Column3537"/>
    <tableColumn id="3538" xr3:uid="{E7FB180E-DB73-4043-A9AE-DC95BCE88AF8}" name="Column3538"/>
    <tableColumn id="3539" xr3:uid="{48E6C6EB-DEB8-4009-A79F-6F1DBF7F7A54}" name="Column3539"/>
    <tableColumn id="3540" xr3:uid="{E2FC3EFA-0B9E-44F2-8135-D2B24A18A3AE}" name="Column3540"/>
    <tableColumn id="3541" xr3:uid="{D453229B-3865-4ED7-AD01-96E52C2002F6}" name="Column3541"/>
    <tableColumn id="3542" xr3:uid="{71AF8F6D-4B41-4383-AB18-19829FFDE089}" name="Column3542"/>
    <tableColumn id="3543" xr3:uid="{C29D9FA9-C8F6-497A-B95C-2C8CD4FB79E7}" name="Column3543"/>
    <tableColumn id="3544" xr3:uid="{3F0667AE-F109-48AB-99AC-F5BFE045E410}" name="Column3544"/>
    <tableColumn id="3545" xr3:uid="{22DFBA84-6550-44B6-91F9-BF0069199EFF}" name="Column3545"/>
    <tableColumn id="3546" xr3:uid="{C95677E1-664A-4AC9-BF49-11568FF3D7D8}" name="Column3546"/>
    <tableColumn id="3547" xr3:uid="{4259A90C-39C7-4861-951D-4949315BB5B4}" name="Column3547"/>
    <tableColumn id="3548" xr3:uid="{85CCAC33-FE29-4C4D-8AC3-2880A0B97118}" name="Column3548"/>
    <tableColumn id="3549" xr3:uid="{7EF900C3-E399-4086-9905-5055C9B6115C}" name="Column3549"/>
    <tableColumn id="3550" xr3:uid="{EE52F006-FABE-46CC-9BF3-3ED8248BB904}" name="Column3550"/>
    <tableColumn id="3551" xr3:uid="{763ADAC6-7CAC-403A-9C5D-213558ADC4F2}" name="Column3551"/>
    <tableColumn id="3552" xr3:uid="{9FBE57DB-6793-4D16-AA57-7D3D796BF84D}" name="Column3552"/>
    <tableColumn id="3553" xr3:uid="{B1A4F089-3FAB-4386-9A12-9F23169DEE99}" name="Column3553"/>
    <tableColumn id="3554" xr3:uid="{C53D9F0B-ADE5-449D-8ECE-E95437409EF9}" name="Column3554"/>
    <tableColumn id="3555" xr3:uid="{25F83F01-E441-4F70-88E3-97E748FBEA6F}" name="Column3555"/>
    <tableColumn id="3556" xr3:uid="{928209C3-8F71-42AE-8ABD-EA171B30B85A}" name="Column3556"/>
    <tableColumn id="3557" xr3:uid="{58061CE7-2899-4E6C-BD25-AC5057513FFF}" name="Column3557"/>
    <tableColumn id="3558" xr3:uid="{F9C6B39E-0EB7-4A36-B0CB-A4790BF56C3A}" name="Column3558"/>
    <tableColumn id="3559" xr3:uid="{8C23A641-EA72-4515-B4D4-0C5B440763A7}" name="Column3559"/>
    <tableColumn id="3560" xr3:uid="{81642CF8-ED3F-4CC2-99B5-C6C4EAAD3853}" name="Column3560"/>
    <tableColumn id="3561" xr3:uid="{F77C8B07-334A-4708-B990-A7B2D8D6D86B}" name="Column3561"/>
    <tableColumn id="3562" xr3:uid="{05BA78BF-A426-44D8-9494-2066ED6E94AF}" name="Column3562"/>
    <tableColumn id="3563" xr3:uid="{4C97FA07-1B71-4260-BF2A-DE277F5747F0}" name="Column3563"/>
    <tableColumn id="3564" xr3:uid="{41DF9B49-2F5F-46AB-8AF0-36845820F41D}" name="Column3564"/>
    <tableColumn id="3565" xr3:uid="{F0248DD1-1F69-4EE8-855B-281D365FA7F1}" name="Column3565"/>
    <tableColumn id="3566" xr3:uid="{F3154EFC-15EA-4EBC-8E3C-A69C9C4B792E}" name="Column3566"/>
    <tableColumn id="3567" xr3:uid="{4588E84A-2D0D-453D-9288-654E57819C40}" name="Column3567"/>
    <tableColumn id="3568" xr3:uid="{63690681-7CA2-4C44-9373-8D5BE81F9466}" name="Column3568"/>
    <tableColumn id="3569" xr3:uid="{E1E3F6E5-2634-4263-BF7D-6207FF5FD6F9}" name="Column3569"/>
    <tableColumn id="3570" xr3:uid="{9A2EFACF-5CB2-47CD-BFE9-E667BFCAAE56}" name="Column3570"/>
    <tableColumn id="3571" xr3:uid="{15EF7C8A-D341-4325-9F6D-8F45F02A0158}" name="Column3571"/>
    <tableColumn id="3572" xr3:uid="{F55D528B-0DFC-43B4-A4C6-06C13D4DC838}" name="Column3572"/>
    <tableColumn id="3573" xr3:uid="{DCBE07CB-8B01-4802-AD2F-A99ACB648A75}" name="Column3573"/>
    <tableColumn id="3574" xr3:uid="{22B843C3-C7D9-4320-B76F-EF8B5C90E03B}" name="Column3574"/>
    <tableColumn id="3575" xr3:uid="{9CFFA9F7-0A9F-407B-AC7C-78F3A31AC0FB}" name="Column3575"/>
    <tableColumn id="3576" xr3:uid="{F292D208-FD96-4E22-AE4A-B5D96D3799CC}" name="Column3576"/>
    <tableColumn id="3577" xr3:uid="{5A07C301-F676-4E46-B5B8-FFF2CDCF3C7E}" name="Column3577"/>
    <tableColumn id="3578" xr3:uid="{641B1609-042C-460F-BD3D-DEE677A5F9FF}" name="Column3578"/>
    <tableColumn id="3579" xr3:uid="{C3CB724C-BE4E-4607-BE16-26FD947B1331}" name="Column3579"/>
    <tableColumn id="3580" xr3:uid="{F9192D7B-0B85-4687-B468-A96F714BA671}" name="Column3580"/>
    <tableColumn id="3581" xr3:uid="{0E076932-F7A1-4FAF-BEFE-32914C5F13CC}" name="Column3581"/>
    <tableColumn id="3582" xr3:uid="{08599EC4-BF9B-42EA-86B1-6FEE30E9A789}" name="Column3582"/>
    <tableColumn id="3583" xr3:uid="{C2DEE909-7854-4405-A216-AE1B85AEEA93}" name="Column3583"/>
    <tableColumn id="3584" xr3:uid="{1291CCFB-4B1A-44C4-96C7-5B2B3FC0BD34}" name="Column3584"/>
    <tableColumn id="3585" xr3:uid="{65FDC490-6A65-4D73-B38C-1EA9D78E7434}" name="Column3585"/>
    <tableColumn id="3586" xr3:uid="{95C92E66-51C8-4EF3-BC4A-CB66B6AE7D92}" name="Column3586"/>
    <tableColumn id="3587" xr3:uid="{348FAFA1-8BC0-4C8A-AFF2-79E804D25A7E}" name="Column3587"/>
    <tableColumn id="3588" xr3:uid="{29DBDA3B-ADF9-44B7-B214-304720316166}" name="Column3588"/>
    <tableColumn id="3589" xr3:uid="{F94095E1-900F-4756-9CD8-4E106176802C}" name="Column3589"/>
    <tableColumn id="3590" xr3:uid="{8E4663FC-4E69-4CAE-A77E-706AAF026AB3}" name="Column3590"/>
    <tableColumn id="3591" xr3:uid="{12916A5B-BAFB-48BB-9C77-5A458CD62D3A}" name="Column3591"/>
    <tableColumn id="3592" xr3:uid="{2396BDCE-F1C6-481E-8B95-583E0CCA4BB0}" name="Column3592"/>
    <tableColumn id="3593" xr3:uid="{77E930F4-ED74-47D3-A0C1-C2B8D21351AA}" name="Column3593"/>
    <tableColumn id="3594" xr3:uid="{8A4446E5-6575-4137-9F31-4556BA6F5280}" name="Column3594"/>
    <tableColumn id="3595" xr3:uid="{F4F7CD82-1A98-42C0-ABA0-01B60B579639}" name="Column3595"/>
    <tableColumn id="3596" xr3:uid="{19C87F29-0036-4462-836B-0641CDD56D3C}" name="Column3596"/>
    <tableColumn id="3597" xr3:uid="{44C5FED4-2FF0-4A18-B417-DE5EC6FF42DF}" name="Column3597"/>
    <tableColumn id="3598" xr3:uid="{46AF4E87-7AEA-487E-B86D-8478369DC991}" name="Column3598"/>
    <tableColumn id="3599" xr3:uid="{D53D039C-12EE-4D70-BC6A-895317A7F844}" name="Column3599"/>
    <tableColumn id="3600" xr3:uid="{5B0F5EA5-3898-4217-9FEF-EDCACF7E2E59}" name="Column3600"/>
    <tableColumn id="3601" xr3:uid="{2CA9440C-12DF-470E-B886-6B8B995FA11E}" name="Column3601"/>
    <tableColumn id="3602" xr3:uid="{A4F56822-8C03-47CF-B2F3-8F0E55C776E3}" name="Column3602"/>
    <tableColumn id="3603" xr3:uid="{6A88FF22-5552-4395-A913-8A9926F0A1B1}" name="Column3603"/>
    <tableColumn id="3604" xr3:uid="{35AA33D6-6C80-487E-AE93-86DD7DAF0060}" name="Column3604"/>
    <tableColumn id="3605" xr3:uid="{84ECA158-5859-4327-9B38-CA11BAF9800E}" name="Column3605"/>
    <tableColumn id="3606" xr3:uid="{BD4E07FE-43D7-402D-84C2-41C06E8ACEC6}" name="Column3606"/>
    <tableColumn id="3607" xr3:uid="{A02D358E-AC8E-4501-AB63-9076DA83EBC4}" name="Column3607"/>
    <tableColumn id="3608" xr3:uid="{1A98B667-00AF-4AC4-BD25-F0CA4FC56A4B}" name="Column3608"/>
    <tableColumn id="3609" xr3:uid="{46C3FF60-2AF4-42A8-8741-085560D2CDEB}" name="Column3609"/>
    <tableColumn id="3610" xr3:uid="{CDD5637E-C389-43FD-9305-CA55BCA4F587}" name="Column3610"/>
    <tableColumn id="3611" xr3:uid="{3A110FDC-DA5C-4500-8CD1-CDCD9DDDD708}" name="Column3611"/>
    <tableColumn id="3612" xr3:uid="{D66AF029-8257-406E-93CA-88B4F7500724}" name="Column3612"/>
    <tableColumn id="3613" xr3:uid="{CABF1BA8-9B85-434D-8BBD-992C90EB9AF9}" name="Column3613"/>
    <tableColumn id="3614" xr3:uid="{52235445-FEDA-4121-B08D-71B24C7FA6EB}" name="Column3614"/>
    <tableColumn id="3615" xr3:uid="{EE73FE5D-39E0-41F4-9DC4-C235E2A4DF00}" name="Column3615"/>
    <tableColumn id="3616" xr3:uid="{A0D2A28F-42B0-4C2A-854B-4080B47E9112}" name="Column3616"/>
    <tableColumn id="3617" xr3:uid="{F537575C-8941-4215-A748-ACF95E3FAA74}" name="Column3617"/>
    <tableColumn id="3618" xr3:uid="{DCA54C18-5A46-463F-8F7C-AB2FE2B054E7}" name="Column3618"/>
    <tableColumn id="3619" xr3:uid="{E929A6C9-F5BF-4B3F-B784-F8002554DB0C}" name="Column3619"/>
    <tableColumn id="3620" xr3:uid="{74359BAE-F30B-4263-AA01-7E51ACAD9F83}" name="Column3620"/>
    <tableColumn id="3621" xr3:uid="{2B917050-1FE7-43A3-B257-9596A7C223F2}" name="Column3621"/>
    <tableColumn id="3622" xr3:uid="{061A0937-464D-43D5-A902-8DFFF2533499}" name="Column3622"/>
    <tableColumn id="3623" xr3:uid="{95E56CCD-9ADC-4B82-9F1C-6595535121BD}" name="Column3623"/>
    <tableColumn id="3624" xr3:uid="{0A7C2A6F-4BFD-481F-B9C6-4364401F4F85}" name="Column3624"/>
    <tableColumn id="3625" xr3:uid="{E48DB60D-B8E2-4E17-B80D-9CC2CDEB023F}" name="Column3625"/>
    <tableColumn id="3626" xr3:uid="{09907CD0-306B-4ACC-BF9D-0195A3C8311C}" name="Column3626"/>
    <tableColumn id="3627" xr3:uid="{96ADB5F6-55EF-44C4-997E-AD328F5E399C}" name="Column3627"/>
    <tableColumn id="3628" xr3:uid="{11FB1C93-EF99-4FBC-B348-6B9086272157}" name="Column3628"/>
    <tableColumn id="3629" xr3:uid="{97668A2E-25AA-4B41-9EFB-E4E2A04873C3}" name="Column3629"/>
    <tableColumn id="3630" xr3:uid="{3626C3BE-04B9-48AF-A970-DFF18324087C}" name="Column3630"/>
    <tableColumn id="3631" xr3:uid="{D3BF42F3-C751-4546-8C07-509E8B27514C}" name="Column3631"/>
    <tableColumn id="3632" xr3:uid="{B32E0DFA-1C7E-4278-ADDF-3E84E2FF1B3E}" name="Column3632"/>
    <tableColumn id="3633" xr3:uid="{C5CE65AB-50E1-4C5C-8D18-D74C2DA62215}" name="Column3633"/>
    <tableColumn id="3634" xr3:uid="{84788550-14F7-4024-9422-37D6820FD3C0}" name="Column3634"/>
    <tableColumn id="3635" xr3:uid="{B92F844A-1B1B-4C29-8183-40C23EB5B6C3}" name="Column3635"/>
    <tableColumn id="3636" xr3:uid="{13EB9956-6715-4469-93AD-9E4F46226F81}" name="Column3636"/>
    <tableColumn id="3637" xr3:uid="{201A3062-D30A-432A-85D6-FBF80DC0E16E}" name="Column3637"/>
    <tableColumn id="3638" xr3:uid="{3331431F-3F5C-4921-828A-95DB7D5279FC}" name="Column3638"/>
    <tableColumn id="3639" xr3:uid="{C4607DC0-7672-4DB8-9038-8893D78A76D6}" name="Column3639"/>
    <tableColumn id="3640" xr3:uid="{A92A6496-85EA-4B5B-8D7E-321F38469ECD}" name="Column3640"/>
    <tableColumn id="3641" xr3:uid="{1323584B-8D62-49F7-A78B-D1F6C3C93797}" name="Column3641"/>
    <tableColumn id="3642" xr3:uid="{1BF9080B-F979-4EB4-A00C-7EB64A78CB54}" name="Column3642"/>
    <tableColumn id="3643" xr3:uid="{86DA49B2-D6EE-4C99-A816-800EFD272489}" name="Column3643"/>
    <tableColumn id="3644" xr3:uid="{A640042D-184E-4243-9E84-D954A80ED2CB}" name="Column3644"/>
    <tableColumn id="3645" xr3:uid="{D1F3ECDC-4E99-46E3-8468-9378B0B70288}" name="Column3645"/>
    <tableColumn id="3646" xr3:uid="{C42926D4-6FAF-4C2A-9FD1-CDDB2722D05E}" name="Column3646"/>
    <tableColumn id="3647" xr3:uid="{206FDBE4-B003-4292-A5BF-0F1D9A67E3D1}" name="Column3647"/>
    <tableColumn id="3648" xr3:uid="{9F7E3790-CFB0-428B-8031-7B2DE9FB1A67}" name="Column3648"/>
    <tableColumn id="3649" xr3:uid="{366561ED-7604-4B04-9B06-BB41C29B0B2F}" name="Column3649"/>
    <tableColumn id="3650" xr3:uid="{C5308B03-0FFB-4B6C-865B-D1CB03856C87}" name="Column3650"/>
    <tableColumn id="3651" xr3:uid="{9CA70B88-1B9A-47B7-A463-B533F601E44D}" name="Column3651"/>
    <tableColumn id="3652" xr3:uid="{4E98197C-DAF9-40AC-9697-7F1DB84341D2}" name="Column3652"/>
    <tableColumn id="3653" xr3:uid="{C93A8590-107F-46FF-A3EB-5BD5698983D7}" name="Column3653"/>
    <tableColumn id="3654" xr3:uid="{4041E33B-911C-4A97-8B2C-F912C549B512}" name="Column3654"/>
    <tableColumn id="3655" xr3:uid="{EA15B305-E092-4645-97FC-56875A261083}" name="Column3655"/>
    <tableColumn id="3656" xr3:uid="{5A2796F8-6F99-40CB-AEB8-0835E829A1F9}" name="Column3656"/>
    <tableColumn id="3657" xr3:uid="{66265240-A4F0-48D0-81D0-AB23FBA60B10}" name="Column3657"/>
    <tableColumn id="3658" xr3:uid="{217E88D0-3615-4BFB-A1EF-4A5BE8CA667E}" name="Column3658"/>
    <tableColumn id="3659" xr3:uid="{7ACD26E5-258A-414C-94FC-7411591B522C}" name="Column3659"/>
    <tableColumn id="3660" xr3:uid="{69E33633-9964-46D9-B6E0-05E58354C298}" name="Column3660"/>
    <tableColumn id="3661" xr3:uid="{3BD92B26-7172-4ECA-A7F0-76F5B8C88197}" name="Column3661"/>
    <tableColumn id="3662" xr3:uid="{30CD981D-E7FD-42E4-A372-631DAA43D88A}" name="Column3662"/>
    <tableColumn id="3663" xr3:uid="{21E416AF-407B-4619-A512-1E1F594A93CC}" name="Column3663"/>
    <tableColumn id="3664" xr3:uid="{43E38C2D-0BC9-4A9B-83E3-50962FD2A843}" name="Column3664"/>
    <tableColumn id="3665" xr3:uid="{2E3A43D8-E11C-4E7A-9636-0B22CA3B2BA1}" name="Column3665"/>
    <tableColumn id="3666" xr3:uid="{AE71B95E-42C4-4744-B572-A63CC56983F7}" name="Column3666"/>
    <tableColumn id="3667" xr3:uid="{A52794A0-653E-4B58-A3EA-54EB78BB932D}" name="Column3667"/>
    <tableColumn id="3668" xr3:uid="{7CAE0551-0442-4825-BB5B-C084503F4EDE}" name="Column3668"/>
    <tableColumn id="3669" xr3:uid="{0AB79D81-96C8-47C1-ACED-923F7760AFB6}" name="Column3669"/>
    <tableColumn id="3670" xr3:uid="{DA8FE016-94EB-4AA6-A824-178EBBA31B92}" name="Column3670"/>
    <tableColumn id="3671" xr3:uid="{1BCBE34B-9B31-4B12-BE26-65840F9E3734}" name="Column3671"/>
    <tableColumn id="3672" xr3:uid="{BA7107F5-3536-4355-B6ED-1F44A54AEF43}" name="Column3672"/>
    <tableColumn id="3673" xr3:uid="{5EC59A61-6F67-4E89-BDC7-CDDF3478D15E}" name="Column3673"/>
    <tableColumn id="3674" xr3:uid="{C5C248CC-1350-47CE-B338-73FC7333F215}" name="Column3674"/>
    <tableColumn id="3675" xr3:uid="{0E88482A-7794-4630-B935-F52F7177E19C}" name="Column3675"/>
    <tableColumn id="3676" xr3:uid="{53D4605B-CBD8-41D7-AE94-D0623B64205A}" name="Column3676"/>
    <tableColumn id="3677" xr3:uid="{E993C2CC-C6CA-4D53-9533-E868EE0E19E2}" name="Column3677"/>
    <tableColumn id="3678" xr3:uid="{609AD86C-7997-4F68-9051-BC0D68C4304C}" name="Column3678"/>
    <tableColumn id="3679" xr3:uid="{8947AF65-0894-45E3-A870-9EA4D4048827}" name="Column3679"/>
    <tableColumn id="3680" xr3:uid="{B54633D7-6F10-429D-BA59-F45FD91A3146}" name="Column3680"/>
    <tableColumn id="3681" xr3:uid="{D4797700-FFF4-42A5-9595-6F6DCF915067}" name="Column3681"/>
    <tableColumn id="3682" xr3:uid="{E0B2496A-1356-4D3C-BC63-0F081367C033}" name="Column3682"/>
    <tableColumn id="3683" xr3:uid="{C84EC3A3-1A81-4FC5-97DE-C74908EF960A}" name="Column3683"/>
    <tableColumn id="3684" xr3:uid="{33436007-75B9-493F-935B-14CEC45BDF02}" name="Column3684"/>
    <tableColumn id="3685" xr3:uid="{02454E08-1683-456B-9198-52E126F090C6}" name="Column3685"/>
    <tableColumn id="3686" xr3:uid="{24B710DC-D9CF-45CA-A453-9377A95F1132}" name="Column3686"/>
    <tableColumn id="3687" xr3:uid="{57D03D5E-E910-48E0-9C16-E8D0E1B48AB8}" name="Column3687"/>
    <tableColumn id="3688" xr3:uid="{43E2C5C3-CDEC-42E1-A32E-94B79E93997C}" name="Column3688"/>
    <tableColumn id="3689" xr3:uid="{BEBF0205-2568-43D9-8842-58D1E081E913}" name="Column3689"/>
    <tableColumn id="3690" xr3:uid="{2DCCB336-2D00-45AD-BA55-D352A265FF50}" name="Column3690"/>
    <tableColumn id="3691" xr3:uid="{A224AEA2-4114-4DA9-852D-C573C776B3F3}" name="Column3691"/>
    <tableColumn id="3692" xr3:uid="{05D37CD5-79F8-415D-B7C1-D4C58EF60F51}" name="Column3692"/>
    <tableColumn id="3693" xr3:uid="{9E4D123D-BFF4-4CB1-99D1-11073CD92B5E}" name="Column3693"/>
    <tableColumn id="3694" xr3:uid="{C1CFD8E8-C94F-4A0D-83ED-490B403527AC}" name="Column3694"/>
    <tableColumn id="3695" xr3:uid="{6CC36C3E-22FF-4802-80DA-AFB0F1C1802B}" name="Column3695"/>
    <tableColumn id="3696" xr3:uid="{920829A9-8F60-4D5B-BF6F-4003A321D32B}" name="Column3696"/>
    <tableColumn id="3697" xr3:uid="{4C472550-F5B1-46DC-8E29-604ADB17209F}" name="Column3697"/>
    <tableColumn id="3698" xr3:uid="{A52023DA-1094-43E9-B384-3F4117C1C656}" name="Column3698"/>
    <tableColumn id="3699" xr3:uid="{0DEE6843-2051-40E2-A063-5339495941CF}" name="Column3699"/>
    <tableColumn id="3700" xr3:uid="{320D3D98-B9CF-4272-A7E4-301546BC757D}" name="Column3700"/>
    <tableColumn id="3701" xr3:uid="{8175581C-4A05-4C2C-B4DB-6716E593CD5A}" name="Column3701"/>
    <tableColumn id="3702" xr3:uid="{78429A3C-CB17-439E-B88A-49FCE2FF3D4D}" name="Column3702"/>
    <tableColumn id="3703" xr3:uid="{0ADB0DED-6B1A-4D6C-B54D-C6DB968F01A4}" name="Column3703"/>
    <tableColumn id="3704" xr3:uid="{4662946D-E44A-4587-BFB1-6E854A9A48E6}" name="Column3704"/>
    <tableColumn id="3705" xr3:uid="{2E5B63B2-E675-4743-A764-5C64105D1846}" name="Column3705"/>
    <tableColumn id="3706" xr3:uid="{26F8E204-C356-432C-81EA-7A62E430954F}" name="Column3706"/>
    <tableColumn id="3707" xr3:uid="{371F6B09-ECF3-4A4B-AB92-D25950EFB126}" name="Column3707"/>
    <tableColumn id="3708" xr3:uid="{2CF9B084-4EFD-406B-8620-570CC3EC6D27}" name="Column3708"/>
    <tableColumn id="3709" xr3:uid="{65378095-612A-4815-9591-190816FDC421}" name="Column3709"/>
    <tableColumn id="3710" xr3:uid="{AFE69AA5-F0E8-4F19-BDE3-302E82EDAA2B}" name="Column3710"/>
    <tableColumn id="3711" xr3:uid="{DFA604F7-D09C-4D7B-B3B5-23B3C166E80F}" name="Column3711"/>
    <tableColumn id="3712" xr3:uid="{22F179BE-EDF2-4E58-B0B4-733F65E3BC88}" name="Column3712"/>
    <tableColumn id="3713" xr3:uid="{3AF9045D-1E42-498D-9DDA-F3C73253309B}" name="Column3713"/>
    <tableColumn id="3714" xr3:uid="{16CB3F7D-5EBB-432B-8272-1E5FD1913032}" name="Column3714"/>
    <tableColumn id="3715" xr3:uid="{AEB57EBE-027F-4EBB-8581-5DDA6553AB18}" name="Column3715"/>
    <tableColumn id="3716" xr3:uid="{E9B547D8-4267-4B48-A782-70E6637F275D}" name="Column3716"/>
    <tableColumn id="3717" xr3:uid="{9FF43E2A-7BC8-4A70-8B34-FE0CB5508AF8}" name="Column3717"/>
    <tableColumn id="3718" xr3:uid="{364F9BEB-2110-4A34-9004-830D7B0EBDCF}" name="Column3718"/>
    <tableColumn id="3719" xr3:uid="{D83A7414-B88E-4265-8990-E13240AB8B13}" name="Column3719"/>
    <tableColumn id="3720" xr3:uid="{0B61F9D0-4F50-4252-B31D-AC9AD0493AD7}" name="Column3720"/>
    <tableColumn id="3721" xr3:uid="{6B1F88B6-34D6-4C3A-BAD1-ACC65A3871DB}" name="Column3721"/>
    <tableColumn id="3722" xr3:uid="{FF1441B6-55D0-4847-9517-3E8C3021FFFF}" name="Column3722"/>
    <tableColumn id="3723" xr3:uid="{00EFC381-241B-4439-AEFC-00D6E06E50EE}" name="Column3723"/>
    <tableColumn id="3724" xr3:uid="{5696E89F-BB30-453C-AC55-BA3902408B6F}" name="Column3724"/>
    <tableColumn id="3725" xr3:uid="{CCF845E5-8C18-4E13-868F-4AD46DD4ED79}" name="Column3725"/>
    <tableColumn id="3726" xr3:uid="{515A111E-07AA-4700-9A6A-110EC6FBBBF4}" name="Column3726"/>
    <tableColumn id="3727" xr3:uid="{23EC7251-5B80-4752-8FFB-91FA9CA8CFC2}" name="Column3727"/>
    <tableColumn id="3728" xr3:uid="{8D47391C-128D-4DB0-8AF5-FCDA5E132D4F}" name="Column3728"/>
    <tableColumn id="3729" xr3:uid="{5A440259-B480-4205-8D57-3600E69E1A32}" name="Column3729"/>
    <tableColumn id="3730" xr3:uid="{F6327E06-111F-4191-BC1E-B2272B47357A}" name="Column3730"/>
    <tableColumn id="3731" xr3:uid="{F5AB4A9F-A9ED-42CC-9648-5A5E278A0636}" name="Column3731"/>
    <tableColumn id="3732" xr3:uid="{C134CB52-2BF4-40C7-A1F1-ACABBBF33E80}" name="Column3732"/>
    <tableColumn id="3733" xr3:uid="{C02A9E34-4E59-4079-B5E1-D12642CF3E92}" name="Column3733"/>
    <tableColumn id="3734" xr3:uid="{4BCF0A88-A440-4E9A-8D8B-4C2A1CA9C7FC}" name="Column3734"/>
    <tableColumn id="3735" xr3:uid="{53D16D02-5541-4EB4-9D20-64BD54A02105}" name="Column3735"/>
    <tableColumn id="3736" xr3:uid="{0340E496-5683-498D-B90C-B7761766B116}" name="Column3736"/>
    <tableColumn id="3737" xr3:uid="{03A408F4-C847-4D59-A947-9AB7659FB7ED}" name="Column3737"/>
    <tableColumn id="3738" xr3:uid="{7227941E-4B98-470D-98A8-36E82BA78D55}" name="Column3738"/>
    <tableColumn id="3739" xr3:uid="{BC1C468C-42D2-4198-9ECB-0FB6E22A22C9}" name="Column3739"/>
    <tableColumn id="3740" xr3:uid="{0A32FED4-9793-4481-BE48-5F04990D71E6}" name="Column3740"/>
    <tableColumn id="3741" xr3:uid="{993D1EB7-F030-4AE1-BA64-8343F9C12C96}" name="Column3741"/>
    <tableColumn id="3742" xr3:uid="{310F2495-8175-4775-87EB-A8E435BAFBB0}" name="Column3742"/>
    <tableColumn id="3743" xr3:uid="{AD4EECE8-6085-4D85-A129-9BE4EEEAAC8B}" name="Column3743"/>
    <tableColumn id="3744" xr3:uid="{5490EE8D-B848-4417-AE14-41F03F659E79}" name="Column3744"/>
    <tableColumn id="3745" xr3:uid="{E3A343BA-2A7B-46A1-AE30-58725979850E}" name="Column3745"/>
    <tableColumn id="3746" xr3:uid="{42EA12DF-FB2A-4EE0-BA1F-DC4CA07CBCD6}" name="Column3746"/>
    <tableColumn id="3747" xr3:uid="{85545007-3776-4896-AD87-374B977FB552}" name="Column3747"/>
    <tableColumn id="3748" xr3:uid="{1E8BC734-CC9D-4309-A13B-B3FF2CEAC449}" name="Column3748"/>
    <tableColumn id="3749" xr3:uid="{C124EA11-2207-4388-82D7-AA9AA872745F}" name="Column3749"/>
    <tableColumn id="3750" xr3:uid="{97CB8DF4-3FE2-4FD9-95EF-95C8A9D7BCD6}" name="Column3750"/>
    <tableColumn id="3751" xr3:uid="{B00EC79E-56F5-4253-A8DD-D1BD521E3C02}" name="Column3751"/>
    <tableColumn id="3752" xr3:uid="{FD206550-9838-4CD5-8082-DEEDAF6894C5}" name="Column3752"/>
    <tableColumn id="3753" xr3:uid="{ABDF93C5-A584-4CED-AB63-823246B6C10E}" name="Column3753"/>
    <tableColumn id="3754" xr3:uid="{32E11FF2-EF21-4D83-968C-664A8AC5761F}" name="Column3754"/>
    <tableColumn id="3755" xr3:uid="{129CEF3A-E34B-49EC-BC39-0944147CFEC7}" name="Column3755"/>
    <tableColumn id="3756" xr3:uid="{3107E109-BE3A-4542-AF3E-2C89B4CBF832}" name="Column3756"/>
    <tableColumn id="3757" xr3:uid="{E2E20D2A-992E-48ED-ADC6-70AD2220E262}" name="Column3757"/>
    <tableColumn id="3758" xr3:uid="{1F0E59FD-924D-4DE0-9A81-1A9E17D4FCC2}" name="Column3758"/>
    <tableColumn id="3759" xr3:uid="{8ECCD3A3-2E00-42D7-9031-B0F819E791D4}" name="Column3759"/>
    <tableColumn id="3760" xr3:uid="{A18BBBDA-0499-444E-8F15-9B6BF0B2D7B3}" name="Column3760"/>
    <tableColumn id="3761" xr3:uid="{DFB8D894-CC41-420E-8409-B277CA86E466}" name="Column3761"/>
    <tableColumn id="3762" xr3:uid="{CDA47760-B9B3-4EB5-91C6-40BC51685D5D}" name="Column3762"/>
    <tableColumn id="3763" xr3:uid="{70AE0091-845B-4FC5-A0B8-15A320933A8A}" name="Column3763"/>
    <tableColumn id="3764" xr3:uid="{59D9BCAF-AAA7-4529-9441-F0056F90E45A}" name="Column3764"/>
    <tableColumn id="3765" xr3:uid="{1CDE4933-8E83-4807-9BC5-AE6D69845FF1}" name="Column3765"/>
    <tableColumn id="3766" xr3:uid="{C6C14FC1-D4D6-4C47-9A1F-76954A8262B4}" name="Column3766"/>
    <tableColumn id="3767" xr3:uid="{783C80F3-CB1E-4392-9250-5E58855ECECD}" name="Column3767"/>
    <tableColumn id="3768" xr3:uid="{4F2E971D-810A-42FD-827B-C7C1A480FF0A}" name="Column3768"/>
    <tableColumn id="3769" xr3:uid="{6BA71A79-DFDE-48AD-B3B5-FC71615F6358}" name="Column3769"/>
    <tableColumn id="3770" xr3:uid="{707516DA-B930-4C9D-9B00-4114289B5621}" name="Column3770"/>
    <tableColumn id="3771" xr3:uid="{085A0CB2-1FCB-4162-AAA0-B3DEB5B80210}" name="Column3771"/>
    <tableColumn id="3772" xr3:uid="{992DB1AB-3282-43A1-992C-FFCAB6B12BE7}" name="Column3772"/>
    <tableColumn id="3773" xr3:uid="{FE921CFC-2D05-4059-8EAE-64252CAC07F8}" name="Column3773"/>
    <tableColumn id="3774" xr3:uid="{D86C027C-53F9-49CC-BF81-CACEB5C393EB}" name="Column3774"/>
    <tableColumn id="3775" xr3:uid="{3BA5231E-2D63-40AB-AEDB-CD9DE4FBF8B8}" name="Column3775"/>
    <tableColumn id="3776" xr3:uid="{FF51F279-F141-48B4-85C7-D315EAC92F1B}" name="Column3776"/>
    <tableColumn id="3777" xr3:uid="{B9C47141-DC8B-43FA-80FB-C33058289399}" name="Column3777"/>
    <tableColumn id="3778" xr3:uid="{E7A4192E-B777-4173-8C62-CAF057A4A2A2}" name="Column3778"/>
    <tableColumn id="3779" xr3:uid="{73336546-548F-4440-8155-B2A42CE5BA53}" name="Column3779"/>
    <tableColumn id="3780" xr3:uid="{3C88F07E-06F4-455B-8FED-2AF130813E0F}" name="Column3780"/>
    <tableColumn id="3781" xr3:uid="{01B1F2DF-9924-4912-9DA4-7B005566D655}" name="Column3781"/>
    <tableColumn id="3782" xr3:uid="{FE1F9BDF-F122-42DE-9E56-85B6175C13CA}" name="Column3782"/>
    <tableColumn id="3783" xr3:uid="{7E02873E-1DC1-4FEB-A6E9-8DF086366031}" name="Column3783"/>
    <tableColumn id="3784" xr3:uid="{05848E3A-72C7-4160-8EF2-959F3C0366A2}" name="Column3784"/>
    <tableColumn id="3785" xr3:uid="{68EA3A57-7CB1-480C-8529-07DFCD8A3A03}" name="Column3785"/>
    <tableColumn id="3786" xr3:uid="{60A828CE-9D8F-4C4A-9FA7-11F5C8E0E363}" name="Column3786"/>
    <tableColumn id="3787" xr3:uid="{EC755600-B75A-46BC-95B3-CFE6D3ACDF9D}" name="Column3787"/>
    <tableColumn id="3788" xr3:uid="{A19E776E-8695-4FFC-9DCC-2EB8B7A986CF}" name="Column3788"/>
    <tableColumn id="3789" xr3:uid="{7F871314-C52E-42BB-B89D-8D02C17D47CC}" name="Column3789"/>
    <tableColumn id="3790" xr3:uid="{922CD173-06CD-49CA-84A1-82D893CE0E14}" name="Column3790"/>
    <tableColumn id="3791" xr3:uid="{9E00A751-B215-4D00-BE96-49461F2DC69F}" name="Column3791"/>
    <tableColumn id="3792" xr3:uid="{D5B469F8-04E1-4772-B242-A0ECFE3E68DA}" name="Column3792"/>
    <tableColumn id="3793" xr3:uid="{478DA181-2BAF-4CBB-B653-B0CFF9872DA0}" name="Column3793"/>
    <tableColumn id="3794" xr3:uid="{38F2DC89-4BF7-4632-9223-FF1D63862DC7}" name="Column3794"/>
    <tableColumn id="3795" xr3:uid="{0819822E-81A3-4752-873E-61369D1839DD}" name="Column3795"/>
    <tableColumn id="3796" xr3:uid="{98ADBC31-46B7-40C6-8EAA-444D78B8CF86}" name="Column3796"/>
    <tableColumn id="3797" xr3:uid="{18636F55-23CE-45C0-A2E0-D12CAAE4CE0D}" name="Column3797"/>
    <tableColumn id="3798" xr3:uid="{47FFCE75-7A02-4A17-B5F5-F3D7CFAB87E1}" name="Column3798"/>
    <tableColumn id="3799" xr3:uid="{D34C6858-900C-4296-8A6F-05B6366B7008}" name="Column3799"/>
    <tableColumn id="3800" xr3:uid="{B4B5AFB3-3D45-4E8E-A2F3-004664BB430E}" name="Column3800"/>
    <tableColumn id="3801" xr3:uid="{C8D0A1C2-E1FB-401D-9FD4-4F8C4713C06D}" name="Column3801"/>
    <tableColumn id="3802" xr3:uid="{630EC9AF-CA27-4118-A197-C50EFB5AF652}" name="Column3802"/>
    <tableColumn id="3803" xr3:uid="{11F2E11A-9D56-4ED1-83BF-CB7490CC46EE}" name="Column3803"/>
    <tableColumn id="3804" xr3:uid="{3D4123BB-DBDA-4CDD-924A-F7FE52D63EAE}" name="Column3804"/>
    <tableColumn id="3805" xr3:uid="{533FF116-8679-4254-9E3E-B18DB8B7E215}" name="Column3805"/>
    <tableColumn id="3806" xr3:uid="{E5A96750-2E36-43B6-9759-0A4E332A0C29}" name="Column3806"/>
    <tableColumn id="3807" xr3:uid="{B47F580B-1F37-45A1-8974-9D72AF797424}" name="Column3807"/>
    <tableColumn id="3808" xr3:uid="{58A96D7B-5D07-4CF7-A818-69A680F46E9A}" name="Column3808"/>
    <tableColumn id="3809" xr3:uid="{61A3336B-602F-4500-ABDF-2B99D933E9AB}" name="Column3809"/>
    <tableColumn id="3810" xr3:uid="{429639FE-4A45-485D-87CB-32D4ABEAD5A0}" name="Column3810"/>
    <tableColumn id="3811" xr3:uid="{BE05A6CE-B80F-44D8-BFA1-D29ED6B2C480}" name="Column3811"/>
    <tableColumn id="3812" xr3:uid="{345345C3-0F40-4F34-B2F2-9FD8FC52E8B4}" name="Column3812"/>
    <tableColumn id="3813" xr3:uid="{72B9EA05-0433-489D-8EC2-E09C558AE56A}" name="Column3813"/>
    <tableColumn id="3814" xr3:uid="{8AA0624A-A6F1-4E31-8C71-7BB74A5CA3AE}" name="Column3814"/>
    <tableColumn id="3815" xr3:uid="{92731A88-31C9-454D-B616-BA9D308D5F1A}" name="Column3815"/>
    <tableColumn id="3816" xr3:uid="{BF5D48AC-ABDF-44AE-81D7-223FA0BFECF4}" name="Column3816"/>
    <tableColumn id="3817" xr3:uid="{EDB01F17-F3CB-4425-B6A4-D89CB7FF08CD}" name="Column3817"/>
    <tableColumn id="3818" xr3:uid="{DAC0AFD2-2BBC-453A-8618-CA5CA5F8149A}" name="Column3818"/>
    <tableColumn id="3819" xr3:uid="{835373F3-6BD6-4392-B6F2-39C39B26EE9F}" name="Column3819"/>
    <tableColumn id="3820" xr3:uid="{59826131-1D57-47D5-9101-30A99C118946}" name="Column3820"/>
    <tableColumn id="3821" xr3:uid="{157A15B2-DC62-4A09-8119-B659EEDABD62}" name="Column3821"/>
    <tableColumn id="3822" xr3:uid="{15BCA070-FFD8-491E-BBEC-70BAE3A4D93C}" name="Column3822"/>
    <tableColumn id="3823" xr3:uid="{2629A5DF-8425-4BA4-AF04-630AA18AC6A9}" name="Column3823"/>
    <tableColumn id="3824" xr3:uid="{6D925C41-4691-4545-BD7D-6F1AD64CC477}" name="Column3824"/>
    <tableColumn id="3825" xr3:uid="{8DA8BA37-847D-4D83-BBB7-77430F3B8025}" name="Column3825"/>
    <tableColumn id="3826" xr3:uid="{386C52EB-EAF7-47AC-843B-0A6A01770FC9}" name="Column3826"/>
    <tableColumn id="3827" xr3:uid="{775D6C44-784D-42A9-AE53-3308CF975283}" name="Column3827"/>
    <tableColumn id="3828" xr3:uid="{169B74DF-D830-4108-B845-CE0174E06C24}" name="Column3828"/>
    <tableColumn id="3829" xr3:uid="{785B34F4-288C-42A2-B561-C2E7C58D967D}" name="Column3829"/>
    <tableColumn id="3830" xr3:uid="{D77541BB-3743-4EF4-8F95-B723A2046046}" name="Column3830"/>
    <tableColumn id="3831" xr3:uid="{981032B5-CCB2-4D1B-9D8E-09B988CF8F51}" name="Column3831"/>
    <tableColumn id="3832" xr3:uid="{D1AD2956-E51A-4BE6-8E07-2692B1DF957E}" name="Column3832"/>
    <tableColumn id="3833" xr3:uid="{C9AF4617-12A7-41D2-AEB4-7B31E3D63144}" name="Column3833"/>
    <tableColumn id="3834" xr3:uid="{D6014CD2-C9FC-483F-BA9E-BAD5E020B591}" name="Column3834"/>
    <tableColumn id="3835" xr3:uid="{B244AC23-CC96-4134-B52A-51BCB715C88A}" name="Column3835"/>
    <tableColumn id="3836" xr3:uid="{757EF4FF-D73F-4253-A911-BBFF86E7ECDC}" name="Column3836"/>
    <tableColumn id="3837" xr3:uid="{16845C11-5E19-4E2D-8F08-1A1590AFFD14}" name="Column3837"/>
    <tableColumn id="3838" xr3:uid="{BAE3181A-270B-4485-AEAC-15268BCF13EA}" name="Column3838"/>
    <tableColumn id="3839" xr3:uid="{ABBFEDAD-8FB3-45A4-A7E8-C282F5075FD4}" name="Column3839"/>
    <tableColumn id="3840" xr3:uid="{B2D95674-75F5-43C8-8EF0-515EA0EB1136}" name="Column3840"/>
    <tableColumn id="3841" xr3:uid="{27BC46AF-D81A-4473-A216-D26C51C896B4}" name="Column3841"/>
    <tableColumn id="3842" xr3:uid="{339D3368-9D8A-47E7-91F1-CCFADBC76F95}" name="Column3842"/>
    <tableColumn id="3843" xr3:uid="{1F80CBB5-0046-4210-84CC-51FCE58BE87B}" name="Column3843"/>
    <tableColumn id="3844" xr3:uid="{F3A60095-D77C-4847-B0E0-64A6EA839680}" name="Column3844"/>
    <tableColumn id="3845" xr3:uid="{7A7BCDBD-A632-4FDE-AB7D-B40839D005E8}" name="Column3845"/>
    <tableColumn id="3846" xr3:uid="{C3FFA985-34BF-4591-9D34-DEB59D908A16}" name="Column3846"/>
    <tableColumn id="3847" xr3:uid="{0B6C52F4-20EF-450F-A994-FCEE28878335}" name="Column3847"/>
    <tableColumn id="3848" xr3:uid="{0247DFD3-5956-46E5-BA8E-0D2F5C0AA2BE}" name="Column3848"/>
    <tableColumn id="3849" xr3:uid="{87FD77F2-FFEF-4851-81F6-04B5F08FBDE6}" name="Column3849"/>
    <tableColumn id="3850" xr3:uid="{A6F86451-DAB2-464D-814F-02285C263D73}" name="Column3850"/>
    <tableColumn id="3851" xr3:uid="{0942F3EA-B265-4323-8049-CBC2BDF7EB1C}" name="Column3851"/>
    <tableColumn id="3852" xr3:uid="{B05494E9-F3A2-4B29-A3D4-60F8B0795924}" name="Column3852"/>
    <tableColumn id="3853" xr3:uid="{9343BEE3-5FC3-48B0-9238-F6BB6C08F24C}" name="Column3853"/>
    <tableColumn id="3854" xr3:uid="{2C7370C4-2CDC-48B9-9822-E0E201DEB7E2}" name="Column3854"/>
    <tableColumn id="3855" xr3:uid="{BCEC0A79-10CF-4269-AA16-B8C942AF9B8D}" name="Column3855"/>
    <tableColumn id="3856" xr3:uid="{4E08B5E3-3C20-4DDB-B0A3-74F56DEA6C3D}" name="Column3856"/>
    <tableColumn id="3857" xr3:uid="{8B66F0A8-DB5C-410E-ACB9-BFC41988C52A}" name="Column3857"/>
    <tableColumn id="3858" xr3:uid="{918E5EAE-2DCF-4064-89FE-AB52E8045CA9}" name="Column3858"/>
    <tableColumn id="3859" xr3:uid="{B45E5C69-80D6-422B-A1D9-E428B52B1666}" name="Column3859"/>
    <tableColumn id="3860" xr3:uid="{9B59894E-6F5E-4BBF-B9C8-A59B7D1CA9BE}" name="Column3860"/>
    <tableColumn id="3861" xr3:uid="{D3D938CB-A10F-4AF9-950F-C18ED4BCF017}" name="Column3861"/>
    <tableColumn id="3862" xr3:uid="{27358048-BED5-4404-A3C1-64D00832F4D3}" name="Column3862"/>
    <tableColumn id="3863" xr3:uid="{0E9230AF-841C-4B22-BC03-07CBBA500C77}" name="Column3863"/>
    <tableColumn id="3864" xr3:uid="{665796D5-AB16-4AFE-AA55-0DD5E13DC8E7}" name="Column3864"/>
    <tableColumn id="3865" xr3:uid="{51C501D8-4264-406E-AAF3-4F795C490014}" name="Column3865"/>
    <tableColumn id="3866" xr3:uid="{24DBEA9B-5BD5-4D78-99F1-681865F1C061}" name="Column3866"/>
    <tableColumn id="3867" xr3:uid="{A84B60D3-CF4A-4685-AFA8-9362C00F5210}" name="Column3867"/>
    <tableColumn id="3868" xr3:uid="{3EA9D98D-CE4F-4510-9760-62565D2B6D99}" name="Column3868"/>
    <tableColumn id="3869" xr3:uid="{A892D0A3-584D-4F8A-B6CC-56B631EA0445}" name="Column3869"/>
    <tableColumn id="3870" xr3:uid="{970CD57E-602C-4D05-8E63-BB107839C973}" name="Column3870"/>
    <tableColumn id="3871" xr3:uid="{CDE0426F-2957-4A4E-BF46-2CC38FC85D07}" name="Column3871"/>
    <tableColumn id="3872" xr3:uid="{66ACA74D-1A47-4F9F-BD30-E6314785C884}" name="Column3872"/>
    <tableColumn id="3873" xr3:uid="{7D7DE4A0-A98C-4107-96E4-A02DC710E350}" name="Column3873"/>
    <tableColumn id="3874" xr3:uid="{C71EEFE0-9D87-48CA-8F72-B105E3F18C55}" name="Column3874"/>
    <tableColumn id="3875" xr3:uid="{608790DD-E918-4415-99C9-5F24195D788B}" name="Column3875"/>
    <tableColumn id="3876" xr3:uid="{D2CDBEE0-7765-4474-87FF-133C754C4077}" name="Column3876"/>
    <tableColumn id="3877" xr3:uid="{B2A40B71-8CAE-4CE5-8BAD-78D4F6D30CF8}" name="Column3877"/>
    <tableColumn id="3878" xr3:uid="{13172441-F482-4155-81C3-F8A5AFE13C19}" name="Column3878"/>
    <tableColumn id="3879" xr3:uid="{6322E392-8954-4E05-A296-C62AE7F91830}" name="Column3879"/>
    <tableColumn id="3880" xr3:uid="{9F865696-66D1-4FD7-B0EA-931A9B249761}" name="Column3880"/>
    <tableColumn id="3881" xr3:uid="{6D814461-0BFF-4B0A-9715-C0826E28D830}" name="Column3881"/>
    <tableColumn id="3882" xr3:uid="{5BA2F483-B021-46DF-8FA1-0CE8F755E3E2}" name="Column3882"/>
    <tableColumn id="3883" xr3:uid="{080A70E1-765D-4FB4-8F13-B2168FD379D8}" name="Column3883"/>
    <tableColumn id="3884" xr3:uid="{27A869D0-C42A-43B7-9350-0A7E1622F0B3}" name="Column3884"/>
    <tableColumn id="3885" xr3:uid="{0247956C-B531-427B-B2C8-C43172EB04A6}" name="Column3885"/>
    <tableColumn id="3886" xr3:uid="{E58E2591-7DE4-4990-B9CA-477428074741}" name="Column3886"/>
    <tableColumn id="3887" xr3:uid="{A269C6B3-F467-4356-985D-2D6B55B053FD}" name="Column3887"/>
    <tableColumn id="3888" xr3:uid="{D454B5B2-5C9D-4A2A-83F1-B349FA198AAE}" name="Column3888"/>
    <tableColumn id="3889" xr3:uid="{5430E180-7504-4D63-9497-53B2829B5740}" name="Column3889"/>
    <tableColumn id="3890" xr3:uid="{8C62E515-CDF5-464A-A2E2-DE6C8BCEB51A}" name="Column3890"/>
    <tableColumn id="3891" xr3:uid="{485E7B97-31E2-4566-91C5-8EE94667BF18}" name="Column3891"/>
    <tableColumn id="3892" xr3:uid="{BDDF92E7-32C0-4B30-8088-1BC2C84EC681}" name="Column3892"/>
    <tableColumn id="3893" xr3:uid="{1BA6D9D5-9918-45B2-9F5F-5756571B8602}" name="Column3893"/>
    <tableColumn id="3894" xr3:uid="{6CAAC818-06CD-40F9-B9CE-99F7AC386E28}" name="Column3894"/>
    <tableColumn id="3895" xr3:uid="{1C180069-5B0E-450D-9B90-C9DB1FE53C6E}" name="Column3895"/>
    <tableColumn id="3896" xr3:uid="{C078CDE8-0577-4483-8F0F-377E5A7016A9}" name="Column3896"/>
    <tableColumn id="3897" xr3:uid="{2B8300B9-8B3E-4806-8DB6-042956C9250F}" name="Column3897"/>
    <tableColumn id="3898" xr3:uid="{35B855A7-9FE0-419D-9BB3-CDF531CF33E2}" name="Column3898"/>
    <tableColumn id="3899" xr3:uid="{B3A8D58B-EEA7-4B0F-8881-954E7D96CF3F}" name="Column3899"/>
    <tableColumn id="3900" xr3:uid="{A1B8EBF0-8DD4-4CCF-8EC5-5B29144A2476}" name="Column3900"/>
    <tableColumn id="3901" xr3:uid="{1E5D8AC3-6217-4486-89B1-3769062122D2}" name="Column3901"/>
    <tableColumn id="3902" xr3:uid="{28E2F213-F4F6-4DC6-A40A-9D57D675CB34}" name="Column3902"/>
    <tableColumn id="3903" xr3:uid="{D8E597C1-A9FC-4127-9487-4A9E8065359F}" name="Column3903"/>
    <tableColumn id="3904" xr3:uid="{FA71FAC7-D8C5-4BF3-8896-2A75580B47A4}" name="Column3904"/>
    <tableColumn id="3905" xr3:uid="{2E328B7A-2F19-40D3-9DBA-3535C1A8D7CD}" name="Column3905"/>
    <tableColumn id="3906" xr3:uid="{2625C662-9F3C-421F-85EB-834560E45DEE}" name="Column3906"/>
    <tableColumn id="3907" xr3:uid="{3C163BA5-DECE-4B77-83D4-903629CF1A4E}" name="Column3907"/>
    <tableColumn id="3908" xr3:uid="{C68419FF-FEC1-441C-8AC2-8FCC34AAFBB8}" name="Column3908"/>
    <tableColumn id="3909" xr3:uid="{18E783DE-BB22-4F6F-A490-63581F975980}" name="Column3909"/>
    <tableColumn id="3910" xr3:uid="{ADC9B202-A4EA-4E71-9A53-C2E58DB79489}" name="Column3910"/>
    <tableColumn id="3911" xr3:uid="{27C3483B-B07A-4709-A2FC-22383EEB8DDA}" name="Column3911"/>
    <tableColumn id="3912" xr3:uid="{386D83FC-DBC5-4983-92AD-5DDCFEACC360}" name="Column3912"/>
    <tableColumn id="3913" xr3:uid="{51393A00-FA76-4FF6-AB59-707341C1294B}" name="Column3913"/>
    <tableColumn id="3914" xr3:uid="{34CF13B0-DAB0-412E-B225-2B3E51B8CE66}" name="Column3914"/>
    <tableColumn id="3915" xr3:uid="{4309995C-76D7-4590-A51F-AA91E6F36FA8}" name="Column3915"/>
    <tableColumn id="3916" xr3:uid="{426CA6FD-0877-474D-96DA-D438CEE0B735}" name="Column3916"/>
    <tableColumn id="3917" xr3:uid="{7BCBE8C1-E3FC-4628-B853-2B9D73B3A563}" name="Column3917"/>
    <tableColumn id="3918" xr3:uid="{AB86913B-6D47-415D-8B06-D788E91C3A6A}" name="Column3918"/>
    <tableColumn id="3919" xr3:uid="{BCE7C7BD-A979-41CB-B67F-4BD032FDC52B}" name="Column3919"/>
    <tableColumn id="3920" xr3:uid="{6CC2DA5B-B7BC-4A34-B775-90C3DEC79C2C}" name="Column3920"/>
    <tableColumn id="3921" xr3:uid="{CDA95330-DC4B-4E7A-A069-46B248FB71BB}" name="Column3921"/>
    <tableColumn id="3922" xr3:uid="{5AA5B802-68C2-433E-872F-1DBB3FFC0CF1}" name="Column3922"/>
    <tableColumn id="3923" xr3:uid="{37F0E09F-DE57-4854-BBDC-5AB549F822AF}" name="Column3923"/>
    <tableColumn id="3924" xr3:uid="{312A00CA-1F20-4C4C-9EED-A675CBDF1E6C}" name="Column3924"/>
    <tableColumn id="3925" xr3:uid="{ECE532D6-3248-4AE8-8E90-C600558C06CD}" name="Column3925"/>
    <tableColumn id="3926" xr3:uid="{3E140E00-84B2-4AE0-B2EA-6AE9214699A5}" name="Column3926"/>
    <tableColumn id="3927" xr3:uid="{40DAFAC6-176B-412E-8B49-2D06610E384A}" name="Column3927"/>
    <tableColumn id="3928" xr3:uid="{EF0E0B8C-0F38-4EF5-A01D-CAEF6E2EA2A9}" name="Column3928"/>
    <tableColumn id="3929" xr3:uid="{9F6AAC9B-99A7-400C-8004-619B844D2C80}" name="Column3929"/>
    <tableColumn id="3930" xr3:uid="{83457AFE-ADCE-486A-A891-7CA93502C485}" name="Column3930"/>
    <tableColumn id="3931" xr3:uid="{43B06148-3B31-447D-9E40-A8929D423542}" name="Column3931"/>
    <tableColumn id="3932" xr3:uid="{E05C81BE-24F2-4AB0-A19B-72E17B5E0926}" name="Column3932"/>
    <tableColumn id="3933" xr3:uid="{D041EE7F-E1DC-4BBA-B766-112EF841EB01}" name="Column3933"/>
    <tableColumn id="3934" xr3:uid="{687F5642-C1D8-4490-8B1D-6D294BDAFFAD}" name="Column3934"/>
    <tableColumn id="3935" xr3:uid="{DE13B75B-B1B8-420F-A219-526457012F9F}" name="Column3935"/>
    <tableColumn id="3936" xr3:uid="{55AB08A5-A204-44F0-9E18-3FB75CCC1C48}" name="Column3936"/>
    <tableColumn id="3937" xr3:uid="{E84FD7D4-84A1-4DA2-B977-140FB707C6AD}" name="Column3937"/>
    <tableColumn id="3938" xr3:uid="{90481B20-EEAD-483E-8966-4E11819400DE}" name="Column3938"/>
    <tableColumn id="3939" xr3:uid="{54D4C7D8-28F8-4078-9A83-D2EB62926527}" name="Column3939"/>
    <tableColumn id="3940" xr3:uid="{5759CAD5-C151-4835-A559-D65B0B7F9096}" name="Column3940"/>
    <tableColumn id="3941" xr3:uid="{7B5A41B6-8580-4A74-B2E0-25A27F907988}" name="Column3941"/>
    <tableColumn id="3942" xr3:uid="{20E7A408-1865-48B1-969A-227DB2561D23}" name="Column3942"/>
    <tableColumn id="3943" xr3:uid="{307B8291-B740-4216-B162-8F4C1FFD3542}" name="Column3943"/>
    <tableColumn id="3944" xr3:uid="{FF093C3B-2132-4F80-843D-A8D00C52C578}" name="Column3944"/>
    <tableColumn id="3945" xr3:uid="{C78F6291-0D09-4C3E-9CA4-D6F9A9767B37}" name="Column3945"/>
    <tableColumn id="3946" xr3:uid="{22FD20AE-794D-45D5-BA10-4477C92BA216}" name="Column3946"/>
    <tableColumn id="3947" xr3:uid="{4EC3E9AF-E932-4F84-9C12-A3CE7AB82E42}" name="Column3947"/>
    <tableColumn id="3948" xr3:uid="{625A703C-14E3-42EB-A4A6-329978B717D0}" name="Column3948"/>
    <tableColumn id="3949" xr3:uid="{13F5EAAD-9D8B-4615-A3B2-074C906286EB}" name="Column3949"/>
    <tableColumn id="3950" xr3:uid="{E0603787-212C-403D-B515-7ACFD9CBAE19}" name="Column3950"/>
    <tableColumn id="3951" xr3:uid="{F7C65A61-7D1E-4828-A5EF-B71EC68CED9F}" name="Column3951"/>
    <tableColumn id="3952" xr3:uid="{35C100DE-5C92-4597-9A18-1EB2CA6E4768}" name="Column3952"/>
    <tableColumn id="3953" xr3:uid="{DA382290-3D68-414C-B7BC-3D1A065902C7}" name="Column3953"/>
    <tableColumn id="3954" xr3:uid="{6285D789-E1E7-479E-ABBE-3EF970761AB8}" name="Column3954"/>
    <tableColumn id="3955" xr3:uid="{07E87612-D2E3-481D-A8CE-FEAE7E0F7005}" name="Column3955"/>
    <tableColumn id="3956" xr3:uid="{CAD5028C-B497-4598-927E-1276B0C487F5}" name="Column3956"/>
    <tableColumn id="3957" xr3:uid="{44B433CD-E2D8-454F-894D-B1D5123DDCDD}" name="Column3957"/>
    <tableColumn id="3958" xr3:uid="{8A79F062-295C-4C69-A05D-07E1FB64E232}" name="Column3958"/>
    <tableColumn id="3959" xr3:uid="{C76BE1FC-94C3-4E2F-AAA4-034421C60A86}" name="Column3959"/>
    <tableColumn id="3960" xr3:uid="{A0CDCC5E-0B67-4D55-A57C-F6BF10B2905C}" name="Column3960"/>
    <tableColumn id="3961" xr3:uid="{5DA16DF0-E92C-455D-B4CC-63620FACE40D}" name="Column3961"/>
    <tableColumn id="3962" xr3:uid="{12070708-E424-42E7-A439-0DEA4211CE90}" name="Column3962"/>
    <tableColumn id="3963" xr3:uid="{B7797F39-4DC1-4FF6-A37F-F4D6161D5F7C}" name="Column3963"/>
    <tableColumn id="3964" xr3:uid="{16D7B3EA-8F72-4C68-A4AF-4B8FC79E216B}" name="Column3964"/>
    <tableColumn id="3965" xr3:uid="{D9024572-1771-468C-8248-6AB2772B3E74}" name="Column3965"/>
    <tableColumn id="3966" xr3:uid="{C7EAE37E-ABDD-4918-B60C-9CB549CC82BB}" name="Column3966"/>
    <tableColumn id="3967" xr3:uid="{E888CCF1-69DD-41E5-BACF-DA5E4DBFD198}" name="Column3967"/>
    <tableColumn id="3968" xr3:uid="{201FE480-C686-4634-A549-A1DF2E7E0569}" name="Column3968"/>
    <tableColumn id="3969" xr3:uid="{AD920B7A-D159-4F2E-BC43-ABA3241EFAE2}" name="Column3969"/>
    <tableColumn id="3970" xr3:uid="{66270E50-500A-4032-A07D-3B931E1E78BA}" name="Column3970"/>
    <tableColumn id="3971" xr3:uid="{FBC0318E-1FA8-43F0-93C5-6B3FE79E4C66}" name="Column3971"/>
    <tableColumn id="3972" xr3:uid="{1C87A287-33F4-4F73-A4E4-D3013F593C53}" name="Column3972"/>
    <tableColumn id="3973" xr3:uid="{395819CA-15E1-4BE9-BB3C-606EB9F580DC}" name="Column3973"/>
    <tableColumn id="3974" xr3:uid="{95B030F7-8D9C-41E4-9710-6DB646DE3F96}" name="Column3974"/>
    <tableColumn id="3975" xr3:uid="{6B094356-2A24-49D5-970A-C499E0BA79CE}" name="Column3975"/>
    <tableColumn id="3976" xr3:uid="{44B35635-458F-451C-B423-B76D18A5F8CE}" name="Column3976"/>
    <tableColumn id="3977" xr3:uid="{8CCBD9A1-3164-4D8C-90E0-DA0D80E7D018}" name="Column3977"/>
    <tableColumn id="3978" xr3:uid="{F856EA08-D5DE-45DA-81E0-48313936B542}" name="Column3978"/>
    <tableColumn id="3979" xr3:uid="{B86FA9E2-FA47-4E07-8890-458571583F3C}" name="Column3979"/>
    <tableColumn id="3980" xr3:uid="{B9A66E1F-FFEE-48C9-9092-9D7F707581DE}" name="Column3980"/>
    <tableColumn id="3981" xr3:uid="{205AABAD-9412-41F3-A31E-D3438E6E53F8}" name="Column3981"/>
    <tableColumn id="3982" xr3:uid="{23031D8E-0428-4533-942A-5BDCE17F6EB3}" name="Column3982"/>
    <tableColumn id="3983" xr3:uid="{47CE04A8-3762-4EB6-AFE2-FE74AFEAEA0D}" name="Column3983"/>
    <tableColumn id="3984" xr3:uid="{2B39989A-CE9F-4602-9870-C4D4D5A3609D}" name="Column3984"/>
    <tableColumn id="3985" xr3:uid="{5DFA014F-B8CE-480D-B8A5-431297AF96A6}" name="Column3985"/>
    <tableColumn id="3986" xr3:uid="{2EC2D1C0-1C6C-4ABC-A403-802CBEA5BC75}" name="Column3986"/>
    <tableColumn id="3987" xr3:uid="{956DF4C3-8725-43A4-A769-E94FE9092FD1}" name="Column3987"/>
    <tableColumn id="3988" xr3:uid="{522BD16F-7013-4F96-9A4D-24BA4A22EBEF}" name="Column3988"/>
    <tableColumn id="3989" xr3:uid="{8E9E00C9-158F-44FD-ABC8-9F2B353D82DA}" name="Column3989"/>
    <tableColumn id="3990" xr3:uid="{2F965251-F60E-46BB-95F4-70082BFD5135}" name="Column3990"/>
    <tableColumn id="3991" xr3:uid="{B33F3D65-5B30-4F79-8A56-35794CC42441}" name="Column3991"/>
    <tableColumn id="3992" xr3:uid="{899D8FCA-E2F4-4581-96B0-25CB61AD7302}" name="Column3992"/>
    <tableColumn id="3993" xr3:uid="{E9D79E4B-9071-49EF-B59A-27178B2C38EA}" name="Column3993"/>
    <tableColumn id="3994" xr3:uid="{5FE8D74E-D8B4-4976-A537-66114FB83E74}" name="Column3994"/>
    <tableColumn id="3995" xr3:uid="{1C934B9A-AB5F-4602-B589-C3CE8714DF1E}" name="Column3995"/>
    <tableColumn id="3996" xr3:uid="{98C3DB39-FBAC-4F96-B810-0376D3CD89E9}" name="Column3996"/>
    <tableColumn id="3997" xr3:uid="{4182DB5D-E70B-4903-87C2-8AF4C3215521}" name="Column3997"/>
    <tableColumn id="3998" xr3:uid="{6B25D33B-E586-43A3-9C1B-9AF9B23F51A9}" name="Column3998"/>
    <tableColumn id="3999" xr3:uid="{9E357E82-47BD-43F2-802F-FE7715501366}" name="Column3999"/>
    <tableColumn id="4000" xr3:uid="{FB0038D7-3A51-44DD-91A9-BBAA085D5D7C}" name="Column4000"/>
    <tableColumn id="4001" xr3:uid="{D65F5137-2474-45DA-A974-A2A1D3D6FB55}" name="Column4001"/>
    <tableColumn id="4002" xr3:uid="{8681C3C4-4BA4-4616-B5ED-6033189BB776}" name="Column4002"/>
    <tableColumn id="4003" xr3:uid="{0B0D8DA9-C84E-48CB-85FD-7FDE927D8D54}" name="Column4003"/>
    <tableColumn id="4004" xr3:uid="{656B2560-401A-4BF8-8FC5-E66FACA9A97B}" name="Column4004"/>
    <tableColumn id="4005" xr3:uid="{E119E09A-A4B9-4FD8-B502-35C5AF703FDB}" name="Column4005"/>
    <tableColumn id="4006" xr3:uid="{AC91691F-A8E2-4B90-9BF1-7CAFD7DA1470}" name="Column4006"/>
    <tableColumn id="4007" xr3:uid="{92881BEB-94C3-4438-809D-CAFFB699D4B0}" name="Column4007"/>
    <tableColumn id="4008" xr3:uid="{0AA17C91-A35D-49DA-9939-3D17F2809265}" name="Column4008"/>
    <tableColumn id="4009" xr3:uid="{8055A2D2-F239-4D24-A5F8-61866DB90F11}" name="Column4009"/>
    <tableColumn id="4010" xr3:uid="{35570F37-666C-4EF1-B02F-B73E80D50D23}" name="Column4010"/>
    <tableColumn id="4011" xr3:uid="{64485533-7515-4095-95C3-0971E6E3A9DB}" name="Column4011"/>
    <tableColumn id="4012" xr3:uid="{4F03135C-D055-4CC8-BAD8-A1FB050A608B}" name="Column4012"/>
    <tableColumn id="4013" xr3:uid="{00F032F0-B06A-4ECD-ABF1-8640F06B670E}" name="Column4013"/>
    <tableColumn id="4014" xr3:uid="{63624042-8EBD-4A8E-AF1C-70F394705D2B}" name="Column4014"/>
    <tableColumn id="4015" xr3:uid="{7303BB04-9AEF-4098-B9AD-3BA1A46DC264}" name="Column4015"/>
    <tableColumn id="4016" xr3:uid="{E3788270-6B93-4EE6-903D-78B9648533B5}" name="Column4016"/>
    <tableColumn id="4017" xr3:uid="{CBBB9080-1CEB-4E58-9F3B-71EA55B22D58}" name="Column4017"/>
    <tableColumn id="4018" xr3:uid="{95634B7E-D253-4302-AE64-58F95BBB722C}" name="Column4018"/>
    <tableColumn id="4019" xr3:uid="{1D7B5DBB-E212-458C-A4B3-DA15CE606CDE}" name="Column4019"/>
    <tableColumn id="4020" xr3:uid="{35729CF2-88E9-4D48-928C-A9791316E097}" name="Column4020"/>
    <tableColumn id="4021" xr3:uid="{AF379B88-9C5F-415E-A10E-7DBFAF05A8F5}" name="Column4021"/>
    <tableColumn id="4022" xr3:uid="{09F1CCBF-0B37-4DA7-BB90-A4086F823454}" name="Column4022"/>
    <tableColumn id="4023" xr3:uid="{A2344528-81A6-4936-BDAC-6D2715A58CB3}" name="Column4023"/>
    <tableColumn id="4024" xr3:uid="{9E791AC7-65ED-41AE-A117-8138E6550D6C}" name="Column4024"/>
    <tableColumn id="4025" xr3:uid="{83B9CFCD-6863-4DD1-8600-E01F0AF76428}" name="Column4025"/>
    <tableColumn id="4026" xr3:uid="{29CA6398-D832-4C7D-A05D-F5B822F517D2}" name="Column4026"/>
    <tableColumn id="4027" xr3:uid="{6DC35E7B-FD13-4DDB-8912-FB12375B37CC}" name="Column4027"/>
    <tableColumn id="4028" xr3:uid="{96A2A9DD-0F08-458A-9E6A-C8D36CDBA886}" name="Column4028"/>
    <tableColumn id="4029" xr3:uid="{C88283A1-9A91-4D9E-8136-965389574C99}" name="Column4029"/>
    <tableColumn id="4030" xr3:uid="{D71CB9BE-830A-45A5-8CCF-18B55F1A159D}" name="Column4030"/>
    <tableColumn id="4031" xr3:uid="{09E027EC-5F22-415F-97D0-40F8A2B6937A}" name="Column4031"/>
    <tableColumn id="4032" xr3:uid="{6DCB1307-6EA2-47D2-AB7D-4D01012A5720}" name="Column4032"/>
    <tableColumn id="4033" xr3:uid="{7FC1142A-3A2F-4C54-8EDD-9D4242618537}" name="Column4033"/>
    <tableColumn id="4034" xr3:uid="{4F84E52D-E3C5-4D6A-A179-742048501450}" name="Column4034"/>
    <tableColumn id="4035" xr3:uid="{ECA9F08D-3554-456E-9D04-6C85FAE071DA}" name="Column4035"/>
    <tableColumn id="4036" xr3:uid="{B0D9D55D-6ECC-4CAE-BDD9-90B4A95465C1}" name="Column4036"/>
    <tableColumn id="4037" xr3:uid="{C517F689-0CBC-4343-ABDB-63E75C9FB4A0}" name="Column4037"/>
    <tableColumn id="4038" xr3:uid="{85B0CB44-9201-424D-BE56-339DEABE9AC8}" name="Column4038"/>
    <tableColumn id="4039" xr3:uid="{94A81B48-2DAF-411E-9055-6FEBF072F055}" name="Column4039"/>
    <tableColumn id="4040" xr3:uid="{75D64173-7EE2-4918-B578-3147C713BF55}" name="Column4040"/>
    <tableColumn id="4041" xr3:uid="{D9B219AE-43C3-4996-904B-BEC166E829B8}" name="Column4041"/>
    <tableColumn id="4042" xr3:uid="{2736DA45-7639-429E-A5CA-1D9C0AD23438}" name="Column4042"/>
    <tableColumn id="4043" xr3:uid="{B480E211-C3C8-4D77-9DF9-4EBB9F12A08E}" name="Column4043"/>
    <tableColumn id="4044" xr3:uid="{D78EF5E7-6E8A-46D6-BD43-0010DC014485}" name="Column4044"/>
    <tableColumn id="4045" xr3:uid="{2E8CB2D6-AE4B-407D-9DB6-62BD292A8B43}" name="Column4045"/>
    <tableColumn id="4046" xr3:uid="{6E89B77B-1E31-4547-9CEF-A3670B0161BB}" name="Column4046"/>
    <tableColumn id="4047" xr3:uid="{A95A3B90-A9E3-468C-99E1-EDB27A2881E0}" name="Column4047"/>
    <tableColumn id="4048" xr3:uid="{C68C2C24-9208-4C9F-8252-7BD3CBF7EE65}" name="Column4048"/>
    <tableColumn id="4049" xr3:uid="{B40C3DBC-321F-418B-A604-51BA3F89B322}" name="Column4049"/>
    <tableColumn id="4050" xr3:uid="{10E9C878-9A0A-4581-B565-5E14EB389492}" name="Column4050"/>
    <tableColumn id="4051" xr3:uid="{92F2B8E1-A3E4-4180-A404-CBA856F0E588}" name="Column4051"/>
    <tableColumn id="4052" xr3:uid="{11C451BA-1777-404D-A38A-26B6DE86F449}" name="Column4052"/>
    <tableColumn id="4053" xr3:uid="{92DA7100-9EAA-4FA1-BD09-91AB5D48DBDD}" name="Column4053"/>
    <tableColumn id="4054" xr3:uid="{37D94DFA-A516-4535-BF4D-A26AABB3B592}" name="Column4054"/>
    <tableColumn id="4055" xr3:uid="{3794B57B-7AF5-43ED-8703-BDFBDEBB88A2}" name="Column4055"/>
    <tableColumn id="4056" xr3:uid="{1AEF65E4-46F3-4B09-8C2E-FE6B3DF842D4}" name="Column4056"/>
    <tableColumn id="4057" xr3:uid="{13D5B15D-21DB-4670-BD9E-70651DE2557A}" name="Column4057"/>
    <tableColumn id="4058" xr3:uid="{CB3814B7-E0ED-4A0C-B7E9-0585D5623322}" name="Column4058"/>
    <tableColumn id="4059" xr3:uid="{69CF9025-8047-4EC3-8AFB-4E4D2F06D0B3}" name="Column4059"/>
    <tableColumn id="4060" xr3:uid="{6407EDED-FBD2-4F15-8B1A-182E6BED7B78}" name="Column4060"/>
    <tableColumn id="4061" xr3:uid="{8598E58B-D428-4AF1-BF12-AF1877F84AD5}" name="Column4061"/>
    <tableColumn id="4062" xr3:uid="{372FFBA6-720F-4437-BE99-1D54E6CC1122}" name="Column4062"/>
    <tableColumn id="4063" xr3:uid="{A40B2FD7-F9BD-4DC1-910D-A9D78ED68E37}" name="Column4063"/>
    <tableColumn id="4064" xr3:uid="{90BCF6C0-C7B6-4BBA-824A-F51DE65CABAD}" name="Column4064"/>
    <tableColumn id="4065" xr3:uid="{6E8353C4-04FB-4661-B0BE-7ACACBEE77A0}" name="Column4065"/>
    <tableColumn id="4066" xr3:uid="{89B6D7D7-98B9-4CD4-8F80-FEDF3FA00009}" name="Column4066"/>
    <tableColumn id="4067" xr3:uid="{A14C817E-8431-42F9-8FB1-2A3D94517ABF}" name="Column4067"/>
    <tableColumn id="4068" xr3:uid="{2DF18C5A-8584-4DC3-ADE4-3D80E93C4858}" name="Column4068"/>
    <tableColumn id="4069" xr3:uid="{5DA00396-5EFA-493A-B309-1EBE91B4CB26}" name="Column4069"/>
    <tableColumn id="4070" xr3:uid="{4F09B713-2F9C-479B-8156-7965DA86030D}" name="Column4070"/>
    <tableColumn id="4071" xr3:uid="{9546FE55-BFF4-4E0E-98BA-07FB7240A78A}" name="Column4071"/>
    <tableColumn id="4072" xr3:uid="{08A85364-3D1A-4D32-8B74-A14F272DD16C}" name="Column4072"/>
    <tableColumn id="4073" xr3:uid="{CC21F2F1-7DD0-4B23-87BC-A090BDAFA6C4}" name="Column4073"/>
    <tableColumn id="4074" xr3:uid="{1DE9AD8E-107F-48FE-B0F9-7BD7792E1971}" name="Column4074"/>
    <tableColumn id="4075" xr3:uid="{78990044-E64B-45D0-B92F-69DC657034E2}" name="Column4075"/>
    <tableColumn id="4076" xr3:uid="{F5A39BA0-D3E0-4AF9-81C2-20B80F2427DB}" name="Column4076"/>
    <tableColumn id="4077" xr3:uid="{21DF6A87-8079-4875-83D0-B92C78180619}" name="Column4077"/>
    <tableColumn id="4078" xr3:uid="{AFA12147-20E2-4BDA-AC93-4B3E9EA46127}" name="Column4078"/>
    <tableColumn id="4079" xr3:uid="{CC5339BC-A3FE-4868-A472-F128829425DE}" name="Column4079"/>
    <tableColumn id="4080" xr3:uid="{6F16B016-3AB9-413B-9830-476876C25D94}" name="Column4080"/>
    <tableColumn id="4081" xr3:uid="{3D42B91E-CAA9-473F-8D20-39D9E8438466}" name="Column4081"/>
    <tableColumn id="4082" xr3:uid="{72182AC7-1AD6-449B-A82D-58A1E36F7573}" name="Column4082"/>
    <tableColumn id="4083" xr3:uid="{5A1E78E8-DC81-434F-B388-8DF5943911CC}" name="Column4083"/>
    <tableColumn id="4084" xr3:uid="{07416FC7-D8EB-46DB-9D38-0825BDF8FA9B}" name="Column4084"/>
    <tableColumn id="4085" xr3:uid="{C2197960-7DAF-4495-9022-FA4BD297378C}" name="Column4085"/>
    <tableColumn id="4086" xr3:uid="{E1AC4BC9-6AE8-4259-B38C-DC2AC5ACF99E}" name="Column4086"/>
    <tableColumn id="4087" xr3:uid="{AF65BC0A-59C3-4910-9B1F-7C43D4ABE2C1}" name="Column4087"/>
    <tableColumn id="4088" xr3:uid="{D0C4E723-E7C1-46D6-B9F2-76711D76C88E}" name="Column4088"/>
    <tableColumn id="4089" xr3:uid="{5B4BC09F-E345-4040-A6AC-9AD68A61D9D4}" name="Column4089"/>
    <tableColumn id="4090" xr3:uid="{87C63416-2D45-49CC-BB18-37E02D275D20}" name="Column4090"/>
    <tableColumn id="4091" xr3:uid="{DA26290D-DC7F-4871-9C41-9DB1AC34B39E}" name="Column4091"/>
    <tableColumn id="4092" xr3:uid="{E250228A-0C60-40A6-9EFF-0577D9B1A25B}" name="Column4092"/>
    <tableColumn id="4093" xr3:uid="{1665475C-CFAE-4CCD-B135-92833786C537}" name="Column4093"/>
    <tableColumn id="4094" xr3:uid="{FDB8E813-856F-42BB-92D0-F0AE851B586C}" name="Column4094"/>
    <tableColumn id="4095" xr3:uid="{0249C9D7-167D-49BE-A5E6-8329838B4945}" name="Column4095"/>
    <tableColumn id="4096" xr3:uid="{07300CA9-511C-484B-B416-35E35589D20A}" name="Column4096"/>
    <tableColumn id="4097" xr3:uid="{06171E50-3457-4FB8-9895-EE9A0BCAE6C4}" name="Column4097"/>
    <tableColumn id="4098" xr3:uid="{273862F2-A519-456E-988A-546F454D2524}" name="Column4098"/>
    <tableColumn id="4099" xr3:uid="{795C6355-D0DD-4508-BB70-F4490729B22D}" name="Column4099"/>
    <tableColumn id="4100" xr3:uid="{5FFF4B92-E102-4668-830E-16835593583B}" name="Column4100"/>
    <tableColumn id="4101" xr3:uid="{63E3D509-F9F1-423B-ABBA-35ABFE8EEAFB}" name="Column4101"/>
    <tableColumn id="4102" xr3:uid="{A1916B26-7F19-4015-BFB6-0E40F0298AD5}" name="Column4102"/>
    <tableColumn id="4103" xr3:uid="{59CF1BF1-7776-4C2F-9AFC-5AD8DA8869A2}" name="Column4103"/>
    <tableColumn id="4104" xr3:uid="{37533283-66AD-42B9-B2C9-21AA58252D0F}" name="Column4104"/>
    <tableColumn id="4105" xr3:uid="{C792878B-7262-4B97-A1F2-8A7B0CC3500D}" name="Column4105"/>
    <tableColumn id="4106" xr3:uid="{600DFC69-EFF4-4224-ABD5-CB3A9A1B5193}" name="Column4106"/>
    <tableColumn id="4107" xr3:uid="{5946E709-833A-49FF-8CDC-3256EA01389B}" name="Column4107"/>
    <tableColumn id="4108" xr3:uid="{533E4AE5-6C52-4E56-9012-85FC88B7E40B}" name="Column4108"/>
    <tableColumn id="4109" xr3:uid="{689F10E3-1021-468B-8C0C-6049E9BB0C13}" name="Column4109"/>
    <tableColumn id="4110" xr3:uid="{4EC81923-8875-4332-88C8-83E058F8CB27}" name="Column4110"/>
    <tableColumn id="4111" xr3:uid="{EB6C4F20-0555-40DE-9209-F8E285A50B46}" name="Column4111"/>
    <tableColumn id="4112" xr3:uid="{9FE2BE1F-B54E-42E7-90AC-EE4A8A149CBE}" name="Column4112"/>
    <tableColumn id="4113" xr3:uid="{7B71E9BC-7EE7-466B-A2EA-4259C44720FC}" name="Column4113"/>
    <tableColumn id="4114" xr3:uid="{60F8C2A4-A172-41F2-8FF4-1F3698219E62}" name="Column4114"/>
    <tableColumn id="4115" xr3:uid="{B2BCCB34-9890-44A2-B047-0181B6466F81}" name="Column4115"/>
    <tableColumn id="4116" xr3:uid="{18FCF893-AFD7-4182-9546-74B58420FEB1}" name="Column4116"/>
    <tableColumn id="4117" xr3:uid="{80FAF014-5D79-4DD0-AEEA-243530140BF9}" name="Column4117"/>
    <tableColumn id="4118" xr3:uid="{9F6394AE-E145-4071-A4DF-49F16FB8ED12}" name="Column4118"/>
    <tableColumn id="4119" xr3:uid="{5AABA8CD-15F3-43BD-B189-8C4BC9CA6005}" name="Column4119"/>
    <tableColumn id="4120" xr3:uid="{86F9F4A6-3E3B-4C59-8678-B9CDD65C9E01}" name="Column4120"/>
    <tableColumn id="4121" xr3:uid="{4B9FFEC9-FB79-46A8-ADB6-3606B3449589}" name="Column4121"/>
    <tableColumn id="4122" xr3:uid="{1CB1A431-04A9-44D4-82E6-E47F639CC611}" name="Column4122"/>
    <tableColumn id="4123" xr3:uid="{FD8F27CF-39A0-4C19-AFCE-8F30920EFD22}" name="Column4123"/>
    <tableColumn id="4124" xr3:uid="{DBA5A25B-2EF9-46DC-AA7C-6F6F3375D641}" name="Column4124"/>
    <tableColumn id="4125" xr3:uid="{8BCED9DB-44B8-4177-A668-15B987B8111C}" name="Column4125"/>
    <tableColumn id="4126" xr3:uid="{6063E2D1-31DF-4AFB-88F4-3F8C247B1D38}" name="Column4126"/>
    <tableColumn id="4127" xr3:uid="{A4B764BE-00B9-4AF1-BF42-56BD7A73D723}" name="Column4127"/>
    <tableColumn id="4128" xr3:uid="{1EB32D2F-1327-47BC-A379-4C72E5702CA0}" name="Column4128"/>
    <tableColumn id="4129" xr3:uid="{03BF0810-2F5C-43DD-A5C2-339441E8C712}" name="Column4129"/>
    <tableColumn id="4130" xr3:uid="{3A02DFC2-873E-4E06-BAB2-F740437319F7}" name="Column4130"/>
    <tableColumn id="4131" xr3:uid="{0CBB3667-8FB2-4D9D-A918-1EFF7F66CF41}" name="Column4131"/>
    <tableColumn id="4132" xr3:uid="{D9617621-F12A-40F0-9D6A-8A80FDA3D925}" name="Column4132"/>
    <tableColumn id="4133" xr3:uid="{340322B8-5FD6-4172-9C18-88C78F66840E}" name="Column4133"/>
    <tableColumn id="4134" xr3:uid="{66EACB83-E256-4E83-9FBA-397D335FF37E}" name="Column4134"/>
    <tableColumn id="4135" xr3:uid="{811542BA-6FBB-43AA-BADD-1983CFA64FD9}" name="Column4135"/>
    <tableColumn id="4136" xr3:uid="{2166C00A-C8B4-43E0-8B6E-21D9C3B60B2A}" name="Column4136"/>
    <tableColumn id="4137" xr3:uid="{CF6B4644-D2A1-430E-BD50-AC0662292C98}" name="Column4137"/>
    <tableColumn id="4138" xr3:uid="{DFB49233-B9EB-499A-87BD-6C7229FE91AC}" name="Column4138"/>
    <tableColumn id="4139" xr3:uid="{AB8676C9-AC44-41DA-94D2-15937A89DAAB}" name="Column4139"/>
    <tableColumn id="4140" xr3:uid="{C60DF5D2-5992-4F77-ACC9-237CF69B5761}" name="Column4140"/>
    <tableColumn id="4141" xr3:uid="{14D958F2-CC70-4C6E-84C0-FD14FDE77471}" name="Column4141"/>
    <tableColumn id="4142" xr3:uid="{B2ED4E1F-E289-49C4-83BE-DC321B420032}" name="Column4142"/>
    <tableColumn id="4143" xr3:uid="{30A34358-C90F-4764-BD17-C26C0617D7D0}" name="Column4143"/>
    <tableColumn id="4144" xr3:uid="{E9A5F992-8D20-46B2-8EC7-7ECC7DC43D30}" name="Column4144"/>
    <tableColumn id="4145" xr3:uid="{849D558A-0AEF-4DA9-A6E6-F36F9CB20F12}" name="Column4145"/>
    <tableColumn id="4146" xr3:uid="{5410CBA7-00AE-49E5-B7F2-020201EB9718}" name="Column4146"/>
    <tableColumn id="4147" xr3:uid="{178B3BDC-93CD-48C4-954B-EA45E5CEE409}" name="Column4147"/>
    <tableColumn id="4148" xr3:uid="{7146353F-58A9-4EC3-B24A-5EE37C310C6E}" name="Column4148"/>
    <tableColumn id="4149" xr3:uid="{87091807-86ED-4130-A24E-634038365B7F}" name="Column4149"/>
    <tableColumn id="4150" xr3:uid="{45D39D39-CFA9-43F0-BC8A-98C7B7D9E5AD}" name="Column4150"/>
    <tableColumn id="4151" xr3:uid="{E4E4A841-2BD9-4522-AC04-F96BFE05B48B}" name="Column4151"/>
    <tableColumn id="4152" xr3:uid="{06D0A063-DA8F-4DD1-868A-406F67DEC64C}" name="Column4152"/>
    <tableColumn id="4153" xr3:uid="{D47D70CE-2D38-4D94-90DF-F51C1B0A6EA1}" name="Column4153"/>
    <tableColumn id="4154" xr3:uid="{9749B20B-F9A5-4109-AEF3-C8B21C0BCAAD}" name="Column4154"/>
    <tableColumn id="4155" xr3:uid="{7F2A55CF-3777-4295-85CA-489F346E7961}" name="Column4155"/>
    <tableColumn id="4156" xr3:uid="{4BD35448-AB0D-4AF6-8175-223996866703}" name="Column4156"/>
    <tableColumn id="4157" xr3:uid="{5C72D7EC-63F2-4E25-98E1-D6F7A53378E9}" name="Column4157"/>
    <tableColumn id="4158" xr3:uid="{7EE2E325-FF23-4E3A-8506-77AB3993DFEE}" name="Column4158"/>
    <tableColumn id="4159" xr3:uid="{0811F64B-236F-4A0E-8E2B-71072ECFC69A}" name="Column4159"/>
    <tableColumn id="4160" xr3:uid="{F119D5EB-58FA-4195-AF89-618AD9FCA0E4}" name="Column4160"/>
    <tableColumn id="4161" xr3:uid="{ECB24835-EC0A-42F9-9CC3-CD38716EE384}" name="Column4161"/>
    <tableColumn id="4162" xr3:uid="{E62F3C1D-AFF4-40ED-9161-8D7FBF6188C1}" name="Column4162"/>
    <tableColumn id="4163" xr3:uid="{29B4FA09-B1ED-4121-85CA-662D8689BC18}" name="Column4163"/>
    <tableColumn id="4164" xr3:uid="{E309AA29-8A1F-4416-9F82-5D1F0034051B}" name="Column4164"/>
    <tableColumn id="4165" xr3:uid="{8950B1FB-FE48-456D-8C05-66E747FB61B2}" name="Column4165"/>
    <tableColumn id="4166" xr3:uid="{2CEDFCA2-B65C-4C3A-8F16-760B1A5A2F09}" name="Column4166"/>
    <tableColumn id="4167" xr3:uid="{BB79CFA7-B3E1-4F5D-AF87-4D8AD7F03BDC}" name="Column4167"/>
    <tableColumn id="4168" xr3:uid="{E5200670-6BA2-4318-8372-6C7E60590764}" name="Column4168"/>
    <tableColumn id="4169" xr3:uid="{1FB0C994-D01C-402A-B243-9E7F5B39F2BF}" name="Column4169"/>
    <tableColumn id="4170" xr3:uid="{CA1964D9-B673-4C47-88F0-366A5CF1DDD8}" name="Column4170"/>
    <tableColumn id="4171" xr3:uid="{D18BA90E-C0D5-4DA8-BFB3-A1A51807D673}" name="Column4171"/>
    <tableColumn id="4172" xr3:uid="{41086287-11E8-472C-9292-AC2A675C3CC8}" name="Column4172"/>
    <tableColumn id="4173" xr3:uid="{C1CA19EB-8042-44D9-874B-8BFF385648E8}" name="Column4173"/>
    <tableColumn id="4174" xr3:uid="{C7AB4625-DF94-406F-83E3-34FB4F26AA9C}" name="Column4174"/>
    <tableColumn id="4175" xr3:uid="{4E873198-3CD4-403E-AEE0-C6F08D9CF87C}" name="Column4175"/>
    <tableColumn id="4176" xr3:uid="{9ED7E305-A48C-4071-9E6F-1350718D2DC8}" name="Column4176"/>
    <tableColumn id="4177" xr3:uid="{45E00FC5-CE41-451F-BA59-A832E123DBAA}" name="Column4177"/>
    <tableColumn id="4178" xr3:uid="{70E0C1B8-2870-4BBE-B4E6-34B21FADC431}" name="Column4178"/>
    <tableColumn id="4179" xr3:uid="{416A2D2A-0F37-45FB-A6E0-0D59B4DBEFA7}" name="Column4179"/>
    <tableColumn id="4180" xr3:uid="{B67C2D10-D3E5-4E63-927A-B42FAAEBBE04}" name="Column4180"/>
    <tableColumn id="4181" xr3:uid="{A8E8F410-9A47-4013-81FF-85D1854F8A45}" name="Column4181"/>
    <tableColumn id="4182" xr3:uid="{43FEB8F5-8F73-4A27-BEF1-A8B1B9F26C35}" name="Column4182"/>
    <tableColumn id="4183" xr3:uid="{7D47E711-0963-4005-945F-157910515BF6}" name="Column4183"/>
    <tableColumn id="4184" xr3:uid="{AC1F0F75-D7DF-48D6-A6E3-5E7AE934D1CD}" name="Column4184"/>
    <tableColumn id="4185" xr3:uid="{87E6D23C-20E5-4D1B-92FB-7A92F6F5E435}" name="Column4185"/>
    <tableColumn id="4186" xr3:uid="{846B481C-A3CF-4905-9544-CCBE6375FEAD}" name="Column4186"/>
    <tableColumn id="4187" xr3:uid="{F9ADE7AD-DCD8-477C-BDAC-7CE0B8CFA6B7}" name="Column4187"/>
    <tableColumn id="4188" xr3:uid="{F1FCCEBB-9E3F-4DEB-AAF8-7FB351BFDA7D}" name="Column4188"/>
    <tableColumn id="4189" xr3:uid="{18B827E7-48BF-466B-96F9-BDF172BB18CF}" name="Column4189"/>
    <tableColumn id="4190" xr3:uid="{9B7DC95A-46DF-4C19-9C6E-F54218167B82}" name="Column4190"/>
    <tableColumn id="4191" xr3:uid="{156403BB-1717-41A2-8ED4-1E6F8573145C}" name="Column4191"/>
    <tableColumn id="4192" xr3:uid="{8EF441F3-5C0B-43AD-8318-D58BAA889F90}" name="Column4192"/>
    <tableColumn id="4193" xr3:uid="{E38C3A60-EF94-4385-9CC2-F2BCF93FD855}" name="Column4193"/>
    <tableColumn id="4194" xr3:uid="{F2B9F10E-251A-47E7-A447-2481585647F6}" name="Column4194"/>
    <tableColumn id="4195" xr3:uid="{2B6A64AA-7418-4822-A63F-F0F313FA7E3B}" name="Column4195"/>
    <tableColumn id="4196" xr3:uid="{1499EE4C-97B8-4BD8-B783-0902B6EC8C83}" name="Column4196"/>
    <tableColumn id="4197" xr3:uid="{C4817A26-B2E0-490C-8A87-80810330E1A5}" name="Column4197"/>
    <tableColumn id="4198" xr3:uid="{3BF2E084-7460-45D1-8EDE-215C8386DC3A}" name="Column4198"/>
    <tableColumn id="4199" xr3:uid="{29881D0C-6F0C-46CD-887A-B89C88B5C150}" name="Column4199"/>
    <tableColumn id="4200" xr3:uid="{A7D4CB66-AD62-445B-88A2-6E1A06E8AE4C}" name="Column4200"/>
    <tableColumn id="4201" xr3:uid="{F3B51D47-98D0-4CDD-9700-DC16AFA2D61B}" name="Column4201"/>
    <tableColumn id="4202" xr3:uid="{816B11F6-02C0-4CC0-805C-5E2179C1DBF7}" name="Column4202"/>
    <tableColumn id="4203" xr3:uid="{B0B1889A-DF2F-4DD6-B64E-487F6FEAAB17}" name="Column4203"/>
    <tableColumn id="4204" xr3:uid="{03227CC8-6F83-4546-85E9-3E71403492B4}" name="Column4204"/>
    <tableColumn id="4205" xr3:uid="{8A175685-2F57-4103-90DF-2639C9E4CFFB}" name="Column4205"/>
    <tableColumn id="4206" xr3:uid="{8D5EAA6B-9CFA-46C3-9467-210CD202133B}" name="Column4206"/>
    <tableColumn id="4207" xr3:uid="{17A28A17-0E3E-4678-AE72-D7952F3E5E66}" name="Column4207"/>
    <tableColumn id="4208" xr3:uid="{15A77444-22C4-42D1-B2C6-461333D842A8}" name="Column4208"/>
    <tableColumn id="4209" xr3:uid="{60394EE4-8A85-48DC-92CA-A95A5AB5934D}" name="Column4209"/>
    <tableColumn id="4210" xr3:uid="{2320EA75-AE73-43E5-9FB5-A9C5DA888E53}" name="Column4210"/>
    <tableColumn id="4211" xr3:uid="{B37FF85C-E576-4CDE-8AD9-F73A9E431D26}" name="Column4211"/>
    <tableColumn id="4212" xr3:uid="{01FB410F-213C-4157-A17B-63A1917DE10B}" name="Column4212"/>
    <tableColumn id="4213" xr3:uid="{A050BEAD-2B1A-4A15-A419-B831D8CFCC41}" name="Column4213"/>
    <tableColumn id="4214" xr3:uid="{784BDCD4-997A-454A-9B3A-6741EC93FF38}" name="Column4214"/>
    <tableColumn id="4215" xr3:uid="{52A6EC75-8223-401C-93D6-006C2C99EE5D}" name="Column4215"/>
    <tableColumn id="4216" xr3:uid="{8B7B866B-312D-459F-9FA0-73D5B09607FC}" name="Column4216"/>
    <tableColumn id="4217" xr3:uid="{6A262FB2-27B6-4F3C-AF68-22912F284633}" name="Column4217"/>
    <tableColumn id="4218" xr3:uid="{86FA8064-0CDD-4BDA-AF7C-3B0C60D1CA13}" name="Column4218"/>
    <tableColumn id="4219" xr3:uid="{4ADF0B2F-5A80-42F7-9238-0FCFFFF2C243}" name="Column4219"/>
    <tableColumn id="4220" xr3:uid="{5E32E5F4-C65D-465B-88FB-4007BB856589}" name="Column4220"/>
    <tableColumn id="4221" xr3:uid="{DA00E34F-A500-47A3-BF80-C833667E1AFA}" name="Column4221"/>
    <tableColumn id="4222" xr3:uid="{30955326-0E3A-4E30-9A07-FF27E70FD5D4}" name="Column4222"/>
    <tableColumn id="4223" xr3:uid="{8F871BF8-75DD-49BD-8B2D-CD312AB3E7FD}" name="Column4223"/>
    <tableColumn id="4224" xr3:uid="{80323311-E307-4F72-B9F5-6E98B84DD8A5}" name="Column4224"/>
    <tableColumn id="4225" xr3:uid="{E33A450D-C3CB-4261-BC60-B506317A82B2}" name="Column4225"/>
    <tableColumn id="4226" xr3:uid="{067222E3-ECFD-4236-B723-F65EECDFBE6A}" name="Column4226"/>
    <tableColumn id="4227" xr3:uid="{4E28E87B-C5FE-4DB0-95E5-B05604125808}" name="Column4227"/>
    <tableColumn id="4228" xr3:uid="{692ECB5A-71C8-4961-978D-B29E1991D8FD}" name="Column4228"/>
    <tableColumn id="4229" xr3:uid="{D0DCAE56-F705-4D51-905F-15B5F6C4D784}" name="Column4229"/>
    <tableColumn id="4230" xr3:uid="{81944CE5-B577-443D-A854-98B87DEBB0B7}" name="Column4230"/>
    <tableColumn id="4231" xr3:uid="{3994E1D1-02B9-4815-A263-A5D9DF03964A}" name="Column4231"/>
    <tableColumn id="4232" xr3:uid="{038A8D48-B658-44B3-845A-CDB06CEE6424}" name="Column4232"/>
    <tableColumn id="4233" xr3:uid="{69885056-F258-46C9-B331-9D4963D285C4}" name="Column4233"/>
    <tableColumn id="4234" xr3:uid="{E5D71DE0-0920-40D6-80D8-74A12CA5E834}" name="Column4234"/>
    <tableColumn id="4235" xr3:uid="{4565EFC6-2372-49A1-AA3D-E8398E95D56E}" name="Column4235"/>
    <tableColumn id="4236" xr3:uid="{02CD92F5-CBD7-42F1-9C50-018079BFEA6E}" name="Column4236"/>
    <tableColumn id="4237" xr3:uid="{1CAE510B-5A66-4A54-81EC-27C78897608E}" name="Column4237"/>
    <tableColumn id="4238" xr3:uid="{9E0499AA-72F7-482A-96EA-E27EB9523D71}" name="Column4238"/>
    <tableColumn id="4239" xr3:uid="{1C8F389D-5BC3-4F43-AD84-1AFC5655BD6B}" name="Column4239"/>
    <tableColumn id="4240" xr3:uid="{41B4E51F-85AE-4694-B819-33506D1A990D}" name="Column4240"/>
    <tableColumn id="4241" xr3:uid="{D71E5DA1-9A71-42E8-BD8B-40E9F5B0CB99}" name="Column4241"/>
    <tableColumn id="4242" xr3:uid="{B0422D68-5F11-45F0-8752-5D5D2BE73720}" name="Column4242"/>
    <tableColumn id="4243" xr3:uid="{795CE2F8-70B8-4A11-B89D-5AAEC8687B24}" name="Column4243"/>
    <tableColumn id="4244" xr3:uid="{B3AD75C0-139D-44B5-9582-4231C941B627}" name="Column4244"/>
    <tableColumn id="4245" xr3:uid="{8E3E769E-7B6B-4ABE-A30C-FB8E666EE81D}" name="Column4245"/>
    <tableColumn id="4246" xr3:uid="{5E7F61B7-BE92-4AD9-97C5-1BA41E5650AE}" name="Column4246"/>
    <tableColumn id="4247" xr3:uid="{0CCA3395-FC1C-48AD-81C3-7BD85CA763CF}" name="Column4247"/>
    <tableColumn id="4248" xr3:uid="{2812870A-8269-4D09-9144-3D1A797063BC}" name="Column4248"/>
    <tableColumn id="4249" xr3:uid="{C5146DEF-D635-43C4-A0D5-0CC904579526}" name="Column4249"/>
    <tableColumn id="4250" xr3:uid="{E20ABB5E-DA4B-460B-85A9-79CF6C2B4C87}" name="Column4250"/>
    <tableColumn id="4251" xr3:uid="{3F43C241-4B15-4E36-9E41-A1575D077E92}" name="Column4251"/>
    <tableColumn id="4252" xr3:uid="{E3F7FD65-7597-41A3-ADBD-07601235ED98}" name="Column4252"/>
    <tableColumn id="4253" xr3:uid="{80464351-7E94-4699-8193-70C60EDD84C9}" name="Column4253"/>
    <tableColumn id="4254" xr3:uid="{B7D21C73-0082-474A-8376-D06B365B9BDA}" name="Column4254"/>
    <tableColumn id="4255" xr3:uid="{862B9DC9-268E-4236-BC46-0D730C203BFE}" name="Column4255"/>
    <tableColumn id="4256" xr3:uid="{BB58926A-0E1C-4021-9B40-3D4A6064FB97}" name="Column4256"/>
    <tableColumn id="4257" xr3:uid="{B8178C78-412E-41B7-AAB7-92AD8754873D}" name="Column4257"/>
    <tableColumn id="4258" xr3:uid="{D52C39C4-B7E6-4DF3-92C6-1850FC095BCD}" name="Column4258"/>
    <tableColumn id="4259" xr3:uid="{6D40EA61-1C7A-471B-A221-50ABF952B146}" name="Column4259"/>
    <tableColumn id="4260" xr3:uid="{521A409A-3E8A-4445-84CD-2060E527EF85}" name="Column4260"/>
    <tableColumn id="4261" xr3:uid="{09505CD5-0A99-4B08-9318-721C40D1C7C8}" name="Column4261"/>
    <tableColumn id="4262" xr3:uid="{62FBDE1F-7F97-49EF-9F63-CCDB1CB81F91}" name="Column4262"/>
    <tableColumn id="4263" xr3:uid="{84B67491-3874-4AFB-BFAC-DCB0C6613CB2}" name="Column4263"/>
    <tableColumn id="4264" xr3:uid="{995C99E3-FF5D-4BB2-9CA5-6ACE8F8E75CA}" name="Column4264"/>
    <tableColumn id="4265" xr3:uid="{1E54F7F3-8BD0-4CC1-B22D-6851580BFC11}" name="Column4265"/>
    <tableColumn id="4266" xr3:uid="{8FA2C70E-B6F0-4DD8-8C70-01ED3777ECF9}" name="Column4266"/>
    <tableColumn id="4267" xr3:uid="{4834D1A7-6664-448C-815A-5FD4206F96B0}" name="Column4267"/>
    <tableColumn id="4268" xr3:uid="{E85A4378-36E6-444F-91A8-7FA27DA6C2F2}" name="Column4268"/>
    <tableColumn id="4269" xr3:uid="{EF2334E2-DE3A-496E-8941-9E9577665854}" name="Column4269"/>
    <tableColumn id="4270" xr3:uid="{4AC0B7F3-A9B9-4CDA-91FE-31DE21288A54}" name="Column4270"/>
    <tableColumn id="4271" xr3:uid="{BF18D0D3-FE7A-49D5-9E90-0BDA94013129}" name="Column4271"/>
    <tableColumn id="4272" xr3:uid="{461015C2-A0DB-4232-9AC1-80EC4ED44D80}" name="Column4272"/>
    <tableColumn id="4273" xr3:uid="{3603BDD4-11EA-4905-BAD4-99C476641D83}" name="Column4273"/>
    <tableColumn id="4274" xr3:uid="{F3A3E717-CF64-43D2-90E6-42805433991F}" name="Column4274"/>
    <tableColumn id="4275" xr3:uid="{08B25559-A929-40E9-886B-A3D11E4AABCF}" name="Column4275"/>
    <tableColumn id="4276" xr3:uid="{6BD2BA7B-7732-4453-983C-447D99E046ED}" name="Column4276"/>
    <tableColumn id="4277" xr3:uid="{441B81F7-5795-4762-9848-50B8D0DBEB25}" name="Column4277"/>
    <tableColumn id="4278" xr3:uid="{E3BFF122-209D-4558-829A-5A3C12E1EAB0}" name="Column4278"/>
    <tableColumn id="4279" xr3:uid="{04C185E3-BC33-40D0-BCA6-99B90825247B}" name="Column4279"/>
    <tableColumn id="4280" xr3:uid="{5EF89815-7F73-4AB6-B663-6B712A9B3432}" name="Column4280"/>
    <tableColumn id="4281" xr3:uid="{CB71B786-DD55-498D-841F-4F9D8929C7EC}" name="Column4281"/>
    <tableColumn id="4282" xr3:uid="{BB845DBE-4E6F-447F-A386-4ECD38C88A2A}" name="Column4282"/>
    <tableColumn id="4283" xr3:uid="{28FEF1ED-660C-416F-A0A6-9A6A9D1B2C48}" name="Column4283"/>
    <tableColumn id="4284" xr3:uid="{0253ED4F-1A75-4A45-A6E5-D915E7F76157}" name="Column4284"/>
    <tableColumn id="4285" xr3:uid="{E525923C-71C3-497A-A197-F14A558B53F0}" name="Column4285"/>
    <tableColumn id="4286" xr3:uid="{18642A3A-49DB-493D-B539-99E152BCE7A1}" name="Column4286"/>
    <tableColumn id="4287" xr3:uid="{39D96306-EA8B-448B-9885-ED8A53918A62}" name="Column4287"/>
    <tableColumn id="4288" xr3:uid="{89E8A3FB-3EB4-46AE-93EC-4D7E876193B3}" name="Column4288"/>
    <tableColumn id="4289" xr3:uid="{93E73EC3-E1EF-450C-B463-5ECFB1A87C86}" name="Column4289"/>
    <tableColumn id="4290" xr3:uid="{A3B8AA3A-FCB6-4D24-9101-0C6DA41293BE}" name="Column4290"/>
    <tableColumn id="4291" xr3:uid="{24434965-4A7D-4A0C-A019-139726D020E2}" name="Column4291"/>
    <tableColumn id="4292" xr3:uid="{57BDF2AF-3CD7-448E-BBA8-921B81ED5B9F}" name="Column4292"/>
    <tableColumn id="4293" xr3:uid="{8270F88A-6DFC-4F59-9E38-4E1ECD97640B}" name="Column4293"/>
    <tableColumn id="4294" xr3:uid="{90DFD67B-78AD-469C-B8E1-485D4BA61446}" name="Column4294"/>
    <tableColumn id="4295" xr3:uid="{AAD0B13E-2545-4176-82AD-0954D7E6214F}" name="Column4295"/>
    <tableColumn id="4296" xr3:uid="{C84BCF74-18D8-45DE-B484-7A7215BF0E02}" name="Column4296"/>
    <tableColumn id="4297" xr3:uid="{9548D445-BABE-424D-9638-2BA7390C6A74}" name="Column4297"/>
    <tableColumn id="4298" xr3:uid="{86B6952A-DB65-4153-81E8-0B24E6F8DB51}" name="Column4298"/>
    <tableColumn id="4299" xr3:uid="{245908F6-AD5A-45C8-A59F-0A3E7E08D446}" name="Column4299"/>
    <tableColumn id="4300" xr3:uid="{8436D719-F6A7-4963-88A2-8D498204352D}" name="Column4300"/>
    <tableColumn id="4301" xr3:uid="{E33CBBAB-EED8-4850-9117-F83BC5871C16}" name="Column4301"/>
    <tableColumn id="4302" xr3:uid="{30382F71-2560-4D6B-BC52-3C0A70452564}" name="Column4302"/>
    <tableColumn id="4303" xr3:uid="{B10A5D7D-C852-45E8-A5B1-0FCC9A980E05}" name="Column4303"/>
    <tableColumn id="4304" xr3:uid="{A1DCF59A-FEF1-4F96-8B36-DF8A9F627646}" name="Column4304"/>
    <tableColumn id="4305" xr3:uid="{6FA279E5-19CB-4046-9DA9-65A683E72AD2}" name="Column4305"/>
    <tableColumn id="4306" xr3:uid="{EBCF6CF2-DFBD-494A-BDC7-2DD0A79C76DB}" name="Column4306"/>
    <tableColumn id="4307" xr3:uid="{523604A0-B391-49E0-B48A-57CB8B3F5478}" name="Column4307"/>
    <tableColumn id="4308" xr3:uid="{619EB884-5EEC-4988-8523-68A80B493F2D}" name="Column4308"/>
    <tableColumn id="4309" xr3:uid="{B9C2BD9A-6576-4F92-913A-908307F35BB7}" name="Column4309"/>
    <tableColumn id="4310" xr3:uid="{D9FD06FF-640B-4E98-B154-B8FA02FF7751}" name="Column4310"/>
    <tableColumn id="4311" xr3:uid="{704647A9-008F-4B3B-9D31-12D63532AC3A}" name="Column4311"/>
    <tableColumn id="4312" xr3:uid="{53DBB6FB-D3C7-44C8-8BC8-B934C44523D1}" name="Column4312"/>
    <tableColumn id="4313" xr3:uid="{9BD05D15-8AE0-4F13-8534-F7E7BE33991A}" name="Column4313"/>
    <tableColumn id="4314" xr3:uid="{CCDEDC62-F8F3-4B5E-8EFA-F18D6A71F5F8}" name="Column4314"/>
    <tableColumn id="4315" xr3:uid="{D83BDCFC-6C63-4E6E-A9E9-1717118AC5F8}" name="Column4315"/>
    <tableColumn id="4316" xr3:uid="{6DCA65B2-854C-45F2-9B3E-17990D11481C}" name="Column4316"/>
    <tableColumn id="4317" xr3:uid="{E35B0F8C-7E13-4DA4-86F7-291F6E654145}" name="Column4317"/>
    <tableColumn id="4318" xr3:uid="{52B25219-6B79-4168-B82C-A6880F9D26AC}" name="Column4318"/>
    <tableColumn id="4319" xr3:uid="{E7722DD7-DE81-42D4-AD89-4617ADB3073E}" name="Column4319"/>
    <tableColumn id="4320" xr3:uid="{CD504ACC-0B97-4175-A6E7-79CFD87212D8}" name="Column4320"/>
    <tableColumn id="4321" xr3:uid="{55EBF538-0502-4E36-A0B5-BC808D1C56CB}" name="Column4321"/>
    <tableColumn id="4322" xr3:uid="{41C2FEF8-61E0-4BA0-94B9-368339A06FF8}" name="Column4322"/>
    <tableColumn id="4323" xr3:uid="{A1F5A2CB-0C0A-43D4-A3E6-653E90102CA7}" name="Column4323"/>
    <tableColumn id="4324" xr3:uid="{09B17999-2F67-4D34-9AA9-68A6C5A695BE}" name="Column4324"/>
    <tableColumn id="4325" xr3:uid="{0B409C7E-11A3-4E9F-91CC-23612558FCE5}" name="Column4325"/>
    <tableColumn id="4326" xr3:uid="{A676D364-6190-4E34-A946-0D302DD2F680}" name="Column4326"/>
    <tableColumn id="4327" xr3:uid="{DFE99B1C-9B42-4BD3-A16C-E116D3F7FA67}" name="Column4327"/>
    <tableColumn id="4328" xr3:uid="{4CCA4EB9-0CC2-4DA0-AE7E-541F530DB654}" name="Column4328"/>
    <tableColumn id="4329" xr3:uid="{9B7CE6CB-C1F2-4020-8667-E5438E16C1FE}" name="Column4329"/>
    <tableColumn id="4330" xr3:uid="{E911EC6E-EA3D-4A0D-A776-05AC14AF8F70}" name="Column4330"/>
    <tableColumn id="4331" xr3:uid="{A0D2EA46-9712-4603-AE65-68B46ECB1365}" name="Column4331"/>
    <tableColumn id="4332" xr3:uid="{48C67F9A-87E7-4CB8-9F5E-3D8A56998489}" name="Column4332"/>
    <tableColumn id="4333" xr3:uid="{1ABD0752-009B-4425-8DBE-02B1F784A17A}" name="Column4333"/>
    <tableColumn id="4334" xr3:uid="{1DA660A9-CC24-4F46-97F2-B94F48139979}" name="Column4334"/>
    <tableColumn id="4335" xr3:uid="{D14B908D-1B3E-4487-93C6-B034B44B5A49}" name="Column4335"/>
    <tableColumn id="4336" xr3:uid="{C3251EA9-C34B-4470-8AA6-D1ACA87D6A32}" name="Column4336"/>
    <tableColumn id="4337" xr3:uid="{9EC0D1E1-534D-45BE-8C62-4531ACC394E3}" name="Column4337"/>
    <tableColumn id="4338" xr3:uid="{9A145F41-165F-4A61-9FF0-F713BD5D4EE0}" name="Column4338"/>
    <tableColumn id="4339" xr3:uid="{BA290EED-CF12-413C-A891-9732DB822698}" name="Column4339"/>
    <tableColumn id="4340" xr3:uid="{E3614DC1-085F-45A0-AEFC-776A436193E4}" name="Column4340"/>
    <tableColumn id="4341" xr3:uid="{CDBAB891-D9CD-4A3E-B506-D18689B063F0}" name="Column4341"/>
    <tableColumn id="4342" xr3:uid="{2787F4A1-F534-41A0-B233-D7D83FC7C48D}" name="Column4342"/>
    <tableColumn id="4343" xr3:uid="{254382AA-F056-4C18-912B-CF4B82FE67B8}" name="Column4343"/>
    <tableColumn id="4344" xr3:uid="{E713FF89-77DD-42CE-A2B1-34A21F25814C}" name="Column4344"/>
    <tableColumn id="4345" xr3:uid="{8C232F34-0111-4778-9413-7E28D4078F40}" name="Column4345"/>
    <tableColumn id="4346" xr3:uid="{B4E7FC4D-CB0E-4DB1-A466-2AFCEF9D47F4}" name="Column4346"/>
    <tableColumn id="4347" xr3:uid="{4D3BDAFC-A0EE-4D35-919E-1A86DD44A007}" name="Column4347"/>
    <tableColumn id="4348" xr3:uid="{AAA1D9AF-F698-4F2B-A7CC-181FEE32A179}" name="Column4348"/>
    <tableColumn id="4349" xr3:uid="{B3D4E1C5-20DB-4C0A-92F0-172368B1E4A7}" name="Column4349"/>
    <tableColumn id="4350" xr3:uid="{160AB5B6-3B6C-4FE1-A0CB-35F204521F56}" name="Column4350"/>
    <tableColumn id="4351" xr3:uid="{0B0F4AF7-03AB-4170-BA6A-58157B0F12EC}" name="Column4351"/>
    <tableColumn id="4352" xr3:uid="{111C5220-C6F4-4141-8206-68767FF9DFE2}" name="Column4352"/>
    <tableColumn id="4353" xr3:uid="{2CAB2AB4-BD4F-4F10-9E9F-4B66431D35C5}" name="Column4353"/>
    <tableColumn id="4354" xr3:uid="{562447F4-6154-4505-A8D6-8952B3A56B52}" name="Column4354"/>
    <tableColumn id="4355" xr3:uid="{9A6DD02F-6899-4F75-8E75-DFCE4C1702BA}" name="Column4355"/>
    <tableColumn id="4356" xr3:uid="{2EC56331-A85D-42A4-802E-9ACB460BE8EE}" name="Column4356"/>
    <tableColumn id="4357" xr3:uid="{86B67153-F443-4CD0-BF4B-B76B1852A63D}" name="Column4357"/>
    <tableColumn id="4358" xr3:uid="{06E71075-81EB-4172-9B5C-75F284F0AF15}" name="Column4358"/>
    <tableColumn id="4359" xr3:uid="{8D37D0CE-5618-478D-A5FC-EEB4BDF9E340}" name="Column4359"/>
    <tableColumn id="4360" xr3:uid="{16F47D19-FBB3-480F-8539-7D9D26F5A9FA}" name="Column4360"/>
    <tableColumn id="4361" xr3:uid="{F79908A7-4E7C-41C7-8126-AB9B8DC10EC5}" name="Column4361"/>
    <tableColumn id="4362" xr3:uid="{36F9CB8C-1843-487D-8C34-BA9CD1CDD0BA}" name="Column4362"/>
    <tableColumn id="4363" xr3:uid="{1264891A-B65D-4D1D-A40E-648190E33BCD}" name="Column4363"/>
    <tableColumn id="4364" xr3:uid="{F9CEEE1C-C963-442A-85DB-EAF8CEC04FD7}" name="Column4364"/>
    <tableColumn id="4365" xr3:uid="{0D1F7973-B6D0-4BC4-9647-040BE8122ABA}" name="Column4365"/>
    <tableColumn id="4366" xr3:uid="{47003476-67CE-4646-B5D5-C6A8BC8C158A}" name="Column4366"/>
    <tableColumn id="4367" xr3:uid="{47941C8D-B8C2-4132-A2FE-EDACA27E1C9B}" name="Column4367"/>
    <tableColumn id="4368" xr3:uid="{453FCEDF-AF3C-4C37-AA8A-661288220394}" name="Column4368"/>
    <tableColumn id="4369" xr3:uid="{E91BA7A2-F3E2-4952-832E-90590193FAC7}" name="Column4369"/>
    <tableColumn id="4370" xr3:uid="{8BF1AC46-174C-47B4-8E07-35828CEDBBC6}" name="Column4370"/>
    <tableColumn id="4371" xr3:uid="{B68143D9-B91C-40BA-8636-B1732DCEA38C}" name="Column4371"/>
    <tableColumn id="4372" xr3:uid="{5C6F4F22-C640-4D2E-BF9B-EB9FCA2957C1}" name="Column4372"/>
    <tableColumn id="4373" xr3:uid="{4341E9EE-148B-4054-8DB2-F14EBDFA422B}" name="Column4373"/>
    <tableColumn id="4374" xr3:uid="{DBD0C29D-5D46-4CD3-A653-9C57CA82EF26}" name="Column4374"/>
    <tableColumn id="4375" xr3:uid="{6D7A2B5B-ACF0-44EA-B37B-E62A986ABBAA}" name="Column4375"/>
    <tableColumn id="4376" xr3:uid="{CAA8FC6F-190D-4443-BA04-EAFE466C71BD}" name="Column4376"/>
    <tableColumn id="4377" xr3:uid="{F5F3CC2F-EF22-46D9-9137-CB56122EDC1D}" name="Column4377"/>
    <tableColumn id="4378" xr3:uid="{9D9E1C29-8FA8-4B75-A1AC-56572B0E2415}" name="Column4378"/>
    <tableColumn id="4379" xr3:uid="{D57201CC-69BB-477B-AEA6-6B31996440FF}" name="Column4379"/>
    <tableColumn id="4380" xr3:uid="{BE09075E-B087-438B-9969-39CC86D406EE}" name="Column4380"/>
    <tableColumn id="4381" xr3:uid="{30ACAC5B-08E8-45F0-8736-9B25C8FBDB8C}" name="Column4381"/>
    <tableColumn id="4382" xr3:uid="{3164B5C0-7921-4639-B5BE-6AAF1111436E}" name="Column4382"/>
    <tableColumn id="4383" xr3:uid="{4CCA7555-F4BF-48A3-9EA7-0AEF3848E7CE}" name="Column4383"/>
    <tableColumn id="4384" xr3:uid="{298F41CC-0763-480C-861C-59D401CBA111}" name="Column4384"/>
    <tableColumn id="4385" xr3:uid="{B8CD2B24-FA93-4D95-B7C1-2726C46B2087}" name="Column4385"/>
    <tableColumn id="4386" xr3:uid="{C8BCCBD2-56F4-4F10-9E2F-B7E7FFEB5598}" name="Column4386"/>
    <tableColumn id="4387" xr3:uid="{909C8B35-70A6-4C6C-820F-5E603F7876A8}" name="Column4387"/>
    <tableColumn id="4388" xr3:uid="{08092148-6396-4972-888A-CBE0B408C285}" name="Column4388"/>
    <tableColumn id="4389" xr3:uid="{978D07C8-FD87-4D67-89DA-1013D22EDAC9}" name="Column4389"/>
    <tableColumn id="4390" xr3:uid="{E0F9E6EA-D24D-494B-9AB4-57289A8060F4}" name="Column4390"/>
    <tableColumn id="4391" xr3:uid="{63C4BB78-F381-4542-A587-F0982B104277}" name="Column4391"/>
    <tableColumn id="4392" xr3:uid="{98721929-3C58-4182-8985-1D40200CABB9}" name="Column4392"/>
    <tableColumn id="4393" xr3:uid="{A8B8082B-931C-4162-94CF-FBF18641073D}" name="Column4393"/>
    <tableColumn id="4394" xr3:uid="{DD30834D-8E3F-4DFE-B83E-A9B7622636BC}" name="Column4394"/>
    <tableColumn id="4395" xr3:uid="{D5449263-0046-4B81-B695-5467BD76F8D0}" name="Column4395"/>
    <tableColumn id="4396" xr3:uid="{DB9FCAEB-103C-4352-A0B0-7C3F9462014B}" name="Column4396"/>
    <tableColumn id="4397" xr3:uid="{7EE04B76-3472-4778-B362-A4DA8F27CC27}" name="Column4397"/>
    <tableColumn id="4398" xr3:uid="{C7870ECB-68D7-400B-B50C-B2F6DB1C9464}" name="Column4398"/>
    <tableColumn id="4399" xr3:uid="{8BB0946E-429B-492C-94D7-EEE75AD953EB}" name="Column4399"/>
    <tableColumn id="4400" xr3:uid="{621CBB5B-DA46-4B7C-8CD9-B15C94D4967A}" name="Column4400"/>
    <tableColumn id="4401" xr3:uid="{1EE4A929-F3F1-46D2-B5D3-C87F57E8797C}" name="Column4401"/>
    <tableColumn id="4402" xr3:uid="{372D7346-1F8B-4CBE-A789-618E35A0951A}" name="Column4402"/>
    <tableColumn id="4403" xr3:uid="{80DAF7EA-007C-4DF9-A8B5-47502BCDDA36}" name="Column4403"/>
    <tableColumn id="4404" xr3:uid="{A01EE02D-C9C1-4D87-9311-D2644A5B08A8}" name="Column4404"/>
    <tableColumn id="4405" xr3:uid="{97710788-76F5-4DC8-8279-B15ECE1350F8}" name="Column4405"/>
    <tableColumn id="4406" xr3:uid="{CC07B2AE-312A-48A8-8FB5-FC9D4CC5A07A}" name="Column4406"/>
    <tableColumn id="4407" xr3:uid="{A276FBD7-FC6D-4163-A008-2823EDD51CD5}" name="Column4407"/>
    <tableColumn id="4408" xr3:uid="{75BE98AF-D608-4C98-8F36-BE6F12D1CDDF}" name="Column4408"/>
    <tableColumn id="4409" xr3:uid="{80C846B2-F00C-4BE7-974F-4B95239CA4A8}" name="Column4409"/>
    <tableColumn id="4410" xr3:uid="{D506CF3B-B90D-4236-A951-8C3A46BA7710}" name="Column4410"/>
    <tableColumn id="4411" xr3:uid="{99E3DB7C-444B-433D-8B51-C874EAD51B7E}" name="Column4411"/>
    <tableColumn id="4412" xr3:uid="{5AF8451D-ED04-4859-8F51-2B92C835B456}" name="Column4412"/>
    <tableColumn id="4413" xr3:uid="{AE30EDBF-C670-4C7D-B595-23F76630DE35}" name="Column4413"/>
    <tableColumn id="4414" xr3:uid="{45E9631E-D4F4-4A12-8F56-773BDC4DC3B6}" name="Column4414"/>
    <tableColumn id="4415" xr3:uid="{09CD9C24-B114-4A5F-AE65-DDD3C1492620}" name="Column4415"/>
    <tableColumn id="4416" xr3:uid="{B788B826-5BBA-4FFA-A90D-425E4C87C237}" name="Column4416"/>
    <tableColumn id="4417" xr3:uid="{6862A74A-44AF-49EE-AF92-680C3ED686C1}" name="Column4417"/>
    <tableColumn id="4418" xr3:uid="{956AC151-0D2D-4FCF-AA00-7C04D83E99DD}" name="Column4418"/>
    <tableColumn id="4419" xr3:uid="{971D49B5-ADA4-4A8D-B98D-63D5AA3B9397}" name="Column4419"/>
    <tableColumn id="4420" xr3:uid="{FD230804-C5A9-4E29-A7F9-5FC5EFB9E8F8}" name="Column4420"/>
    <tableColumn id="4421" xr3:uid="{2E39D3A4-F9BB-4EF2-87DF-40C83BF86AB6}" name="Column4421"/>
    <tableColumn id="4422" xr3:uid="{63A38D16-53D6-427B-9C8A-35BC0CBC2574}" name="Column4422"/>
    <tableColumn id="4423" xr3:uid="{85A60DAB-80C8-4EE7-8592-DAD0D8EF362C}" name="Column4423"/>
    <tableColumn id="4424" xr3:uid="{25E777B6-73E6-48C7-A04D-FA7DF6A039C0}" name="Column4424"/>
    <tableColumn id="4425" xr3:uid="{D89763C6-AA95-4AAA-93D6-8B52CF609339}" name="Column4425"/>
    <tableColumn id="4426" xr3:uid="{43280A46-0F1F-4095-9E86-391D29EE71F0}" name="Column4426"/>
    <tableColumn id="4427" xr3:uid="{140CA76B-63B3-47C2-97A7-1287087DF613}" name="Column4427"/>
    <tableColumn id="4428" xr3:uid="{7B03558F-92AA-436C-A567-E39188298761}" name="Column4428"/>
    <tableColumn id="4429" xr3:uid="{D9D044C4-8F82-4DC6-8B19-3A8D14D19CF1}" name="Column4429"/>
    <tableColumn id="4430" xr3:uid="{CCFB769D-E3F1-4D60-8BD4-95AE4EE35B82}" name="Column4430"/>
    <tableColumn id="4431" xr3:uid="{23B249D3-4CD8-4976-B109-FFF27BE4F4AE}" name="Column4431"/>
    <tableColumn id="4432" xr3:uid="{0E9F8B73-9798-4F3A-B3D1-D6F32C060A50}" name="Column4432"/>
    <tableColumn id="4433" xr3:uid="{0A068ACF-2223-486B-ADA1-DB893EF7EECA}" name="Column4433"/>
    <tableColumn id="4434" xr3:uid="{078F963E-6930-4064-869D-572C22F507DB}" name="Column4434"/>
    <tableColumn id="4435" xr3:uid="{A5FF652C-3606-405D-ACAA-797FDF9C908E}" name="Column4435"/>
    <tableColumn id="4436" xr3:uid="{D69C3F59-F686-4F50-B441-BC2CE68903CF}" name="Column4436"/>
    <tableColumn id="4437" xr3:uid="{5951A4E3-AE3E-4F29-8941-11C29850E0C3}" name="Column4437"/>
    <tableColumn id="4438" xr3:uid="{2C4330F0-31D5-4F28-ADFD-48807615AFD0}" name="Column4438"/>
    <tableColumn id="4439" xr3:uid="{F6AB297D-C359-4D3A-A913-A85FCBB54F83}" name="Column4439"/>
    <tableColumn id="4440" xr3:uid="{77B206B9-5218-4257-9A9C-814AC7C891DA}" name="Column4440"/>
    <tableColumn id="4441" xr3:uid="{808352F7-67E0-4668-8C7D-0F8474F4C332}" name="Column4441"/>
    <tableColumn id="4442" xr3:uid="{7D2E98D7-7C29-4F31-A9AC-C019380F0963}" name="Column4442"/>
    <tableColumn id="4443" xr3:uid="{5B7F5B91-9D4C-4BE1-964D-DF6EF7999114}" name="Column4443"/>
    <tableColumn id="4444" xr3:uid="{C4D49826-1305-4995-A1A6-AC53E69B3113}" name="Column4444"/>
    <tableColumn id="4445" xr3:uid="{AB85E200-A4E6-4AF1-8B89-DE3680B7D0AD}" name="Column4445"/>
    <tableColumn id="4446" xr3:uid="{9E2E8E22-1F88-4EDC-AE2D-A79F70B8EA39}" name="Column4446"/>
    <tableColumn id="4447" xr3:uid="{513DEDDD-4E6A-42C8-81B6-B07C96C0A222}" name="Column4447"/>
    <tableColumn id="4448" xr3:uid="{1172336E-3F81-4B29-B00E-D14278111061}" name="Column4448"/>
    <tableColumn id="4449" xr3:uid="{E166FA2A-7F8D-4529-BD6A-24D58CE03EA5}" name="Column4449"/>
    <tableColumn id="4450" xr3:uid="{B5EF22CB-C2B6-4435-84DB-3BDF9FA3EAC4}" name="Column4450"/>
    <tableColumn id="4451" xr3:uid="{5957080D-2F29-4815-8ECE-74D6A31A90B2}" name="Column4451"/>
    <tableColumn id="4452" xr3:uid="{7CFAFBF5-0AED-4747-97F1-7F8B1A7A99F4}" name="Column4452"/>
    <tableColumn id="4453" xr3:uid="{DF0E14ED-4DDE-4B44-880F-A25EE7F76E3E}" name="Column4453"/>
    <tableColumn id="4454" xr3:uid="{A5CFBD4D-833F-4555-88A1-1D702E1B1B61}" name="Column4454"/>
    <tableColumn id="4455" xr3:uid="{60C0CC32-D1D5-4F18-9B05-F893C1CB9D2C}" name="Column4455"/>
    <tableColumn id="4456" xr3:uid="{206E7F4D-B331-4F84-998E-C6CAEC2FD970}" name="Column4456"/>
    <tableColumn id="4457" xr3:uid="{537E9E8E-6B28-47B5-AA7B-166F27C8E2EF}" name="Column4457"/>
    <tableColumn id="4458" xr3:uid="{100ECE58-2A81-415D-9AFC-D50E6FBDDABE}" name="Column4458"/>
    <tableColumn id="4459" xr3:uid="{DDF59C19-7D44-44E8-A545-2813E73AF59B}" name="Column4459"/>
    <tableColumn id="4460" xr3:uid="{2B04B09A-3053-4C12-A22B-BEF6F6E89EB0}" name="Column4460"/>
    <tableColumn id="4461" xr3:uid="{B0D4E51B-9BDA-4480-AD11-272235A84AB4}" name="Column4461"/>
    <tableColumn id="4462" xr3:uid="{34619BB7-7F1A-402D-977A-6A2585492D68}" name="Column4462"/>
    <tableColumn id="4463" xr3:uid="{CFDCEBE3-592B-4CAD-AE9C-7B4D1B83A8BB}" name="Column4463"/>
    <tableColumn id="4464" xr3:uid="{C2189843-8AA3-4E03-83E4-B6352F30D037}" name="Column4464"/>
    <tableColumn id="4465" xr3:uid="{C4C77D7D-ACEB-4B79-8025-B74EADE2630D}" name="Column4465"/>
    <tableColumn id="4466" xr3:uid="{AF1BE217-D8DB-44B2-8C1B-E87E449B5BBC}" name="Column4466"/>
    <tableColumn id="4467" xr3:uid="{C007AB85-05DD-407C-ADA9-A58D746B2B9E}" name="Column4467"/>
    <tableColumn id="4468" xr3:uid="{7901216D-A4DA-4B45-AFC4-911B4A1CC9A3}" name="Column4468"/>
    <tableColumn id="4469" xr3:uid="{E97B775D-FB70-4FF0-AA76-92AD2386FB3F}" name="Column4469"/>
    <tableColumn id="4470" xr3:uid="{D13DC85E-EF79-4DA4-9A2D-E9FC01522FC4}" name="Column4470"/>
    <tableColumn id="4471" xr3:uid="{E69495AE-4688-452F-AC3E-5A2719FD72F9}" name="Column4471"/>
    <tableColumn id="4472" xr3:uid="{80099446-5657-41F5-926A-B6C2F92DC4A0}" name="Column4472"/>
    <tableColumn id="4473" xr3:uid="{38E4EC11-62F1-4040-81C6-CFE407AD0C4A}" name="Column4473"/>
    <tableColumn id="4474" xr3:uid="{23C247CC-8A45-4282-83BA-7F1E9D6C4F7B}" name="Column4474"/>
    <tableColumn id="4475" xr3:uid="{5581FB21-F6B0-4144-A1C8-489F800AE9F4}" name="Column4475"/>
    <tableColumn id="4476" xr3:uid="{AF0A9658-EE93-4A1E-BC7A-F409A6526EBF}" name="Column4476"/>
    <tableColumn id="4477" xr3:uid="{2172503B-AC6D-4337-9D43-51946C897601}" name="Column4477"/>
    <tableColumn id="4478" xr3:uid="{E2D5FE19-AFB9-4691-A7D0-EE9428828253}" name="Column4478"/>
    <tableColumn id="4479" xr3:uid="{101A12E6-9796-4DEF-A89F-BB50036216D2}" name="Column4479"/>
    <tableColumn id="4480" xr3:uid="{3B642F08-1DB9-4B86-AAF5-DADBC01AA8AC}" name="Column4480"/>
    <tableColumn id="4481" xr3:uid="{145428B3-4EFF-4458-8709-055F400847C6}" name="Column4481"/>
    <tableColumn id="4482" xr3:uid="{238D7620-413D-4482-A997-D6A543177AEF}" name="Column4482"/>
    <tableColumn id="4483" xr3:uid="{B4C9A601-4847-49EE-A261-FAE2E96978BD}" name="Column4483"/>
    <tableColumn id="4484" xr3:uid="{3EFC1847-63FB-455F-BE93-EC57DEABCBE1}" name="Column4484"/>
    <tableColumn id="4485" xr3:uid="{EA7249F3-B991-411F-82BC-D4A626FF33B6}" name="Column4485"/>
    <tableColumn id="4486" xr3:uid="{CD33ED64-B638-469A-8EA3-7D21DEA35B52}" name="Column4486"/>
    <tableColumn id="4487" xr3:uid="{DFB62235-3836-4D59-92EA-2099E4DC2E2B}" name="Column4487"/>
    <tableColumn id="4488" xr3:uid="{64A674A1-AFE3-4A40-84DE-5B6967F8B055}" name="Column4488"/>
    <tableColumn id="4489" xr3:uid="{07366043-585E-4547-98DE-DEDE0715608B}" name="Column4489"/>
    <tableColumn id="4490" xr3:uid="{318C8B53-ED1F-47D2-AB83-0381ED43B9E5}" name="Column4490"/>
    <tableColumn id="4491" xr3:uid="{746C63A7-FF88-4E78-8EC6-84F99D75DB4B}" name="Column4491"/>
    <tableColumn id="4492" xr3:uid="{EB59B886-4DB4-4E50-93DA-2E9B2E9049FC}" name="Column4492"/>
    <tableColumn id="4493" xr3:uid="{2993D9C9-57B5-44BB-B0B3-C5A2A3190C19}" name="Column4493"/>
    <tableColumn id="4494" xr3:uid="{39FA967F-07BA-462B-86F4-6AFAD1AADE29}" name="Column4494"/>
    <tableColumn id="4495" xr3:uid="{3FEB50BA-715D-4CCC-9084-9C7B6B577823}" name="Column4495"/>
    <tableColumn id="4496" xr3:uid="{C1763D7A-2066-43E0-96C6-F32F8DA1A0A7}" name="Column4496"/>
    <tableColumn id="4497" xr3:uid="{C7EDA937-3FAD-4764-B25A-C7D8FC8E2D51}" name="Column4497"/>
    <tableColumn id="4498" xr3:uid="{F4BB4E66-C10B-4906-912E-B2F04BD62148}" name="Column4498"/>
    <tableColumn id="4499" xr3:uid="{8E9E62E3-4BA6-4D94-8CA9-EA08D4DC59F6}" name="Column4499"/>
    <tableColumn id="4500" xr3:uid="{CC772D17-6183-4CA6-ABD4-8308E96C7902}" name="Column4500"/>
    <tableColumn id="4501" xr3:uid="{B94AC286-39C5-4B6C-AD38-5C75ED4309A3}" name="Column4501"/>
    <tableColumn id="4502" xr3:uid="{72DC086D-2074-49BC-B2D5-6D82A450AF9A}" name="Column4502"/>
    <tableColumn id="4503" xr3:uid="{F60D651C-F9D8-4239-B2F6-771D3929D95E}" name="Column4503"/>
    <tableColumn id="4504" xr3:uid="{15565D51-3EF6-40D4-8559-21D766DD735F}" name="Column4504"/>
    <tableColumn id="4505" xr3:uid="{ADF466EA-D246-4BBD-87D2-660A8B758E6C}" name="Column4505"/>
    <tableColumn id="4506" xr3:uid="{5BF5FF66-F425-4900-B35A-6E15A9787127}" name="Column4506"/>
    <tableColumn id="4507" xr3:uid="{028AF062-EBC4-4DBA-89C4-CF0CA9CC8627}" name="Column4507"/>
    <tableColumn id="4508" xr3:uid="{633E3DFA-961A-4239-8CB4-013205FA5852}" name="Column4508"/>
    <tableColumn id="4509" xr3:uid="{50531ADE-8BD5-4CE5-AD8C-26C7EDA74CE8}" name="Column4509"/>
    <tableColumn id="4510" xr3:uid="{4640A8FD-8C28-498C-B9E9-A2ED09C98806}" name="Column4510"/>
    <tableColumn id="4511" xr3:uid="{BB66016A-D72D-4167-AB89-267091C45FAE}" name="Column4511"/>
    <tableColumn id="4512" xr3:uid="{0CF32EE9-462D-4F72-80B7-2BC1829B2EA5}" name="Column4512"/>
    <tableColumn id="4513" xr3:uid="{C7FE07E4-2D7E-4C71-A1CB-41BA9AB8A702}" name="Column4513"/>
    <tableColumn id="4514" xr3:uid="{DA80D2CA-1B0B-48EF-8AA4-C6F6DA512C90}" name="Column4514"/>
    <tableColumn id="4515" xr3:uid="{39BA90E2-77CB-4A9F-949B-5F5F3EF6F692}" name="Column4515"/>
    <tableColumn id="4516" xr3:uid="{12B7A09F-3D0E-4D18-8688-FF5616362374}" name="Column4516"/>
    <tableColumn id="4517" xr3:uid="{B34EB455-5CE0-4579-B12B-6A717C1B17CF}" name="Column4517"/>
    <tableColumn id="4518" xr3:uid="{1ECC79C5-F821-41EC-85A5-EFF72B4A217A}" name="Column4518"/>
    <tableColumn id="4519" xr3:uid="{A1808CD4-9255-4531-AE7F-09EBA47C5E8E}" name="Column4519"/>
    <tableColumn id="4520" xr3:uid="{60BA3709-6987-4807-ACD3-8766C9AA26F8}" name="Column4520"/>
    <tableColumn id="4521" xr3:uid="{3D83F32C-1AD2-4F8A-A2D6-1372E238BCC1}" name="Column4521"/>
    <tableColumn id="4522" xr3:uid="{C909036A-B46D-47FE-828A-139D57B192FB}" name="Column4522"/>
    <tableColumn id="4523" xr3:uid="{C79B68D1-4A1E-4BF1-84DB-CFA485D6BF11}" name="Column4523"/>
    <tableColumn id="4524" xr3:uid="{2CBE3065-0142-4C29-B45B-45D593E9A77C}" name="Column4524"/>
    <tableColumn id="4525" xr3:uid="{D4A7C44C-69C2-42C5-AC6F-863B42500943}" name="Column4525"/>
    <tableColumn id="4526" xr3:uid="{065D0BAA-2520-4914-8B5D-599FCA43E8BC}" name="Column4526"/>
    <tableColumn id="4527" xr3:uid="{257C75B1-0D78-477C-9126-B46E5B4D573F}" name="Column4527"/>
    <tableColumn id="4528" xr3:uid="{B9F911E4-99FA-4B08-97E2-7426540D14A9}" name="Column4528"/>
    <tableColumn id="4529" xr3:uid="{44FDCA0B-9915-44C5-84A9-B263CC922B4F}" name="Column4529"/>
    <tableColumn id="4530" xr3:uid="{0DDAA439-5E98-4B2D-9517-2E7F34456A74}" name="Column4530"/>
    <tableColumn id="4531" xr3:uid="{52B8ED56-8A24-49D0-B02F-C274A4CE09AF}" name="Column4531"/>
    <tableColumn id="4532" xr3:uid="{6E7D6D33-7341-4E27-9CE9-DDD012C764D7}" name="Column4532"/>
    <tableColumn id="4533" xr3:uid="{E62F1AE4-512F-4CF1-8818-F0050BD0DCE9}" name="Column4533"/>
    <tableColumn id="4534" xr3:uid="{3F656102-3538-478C-BE22-6579F7E4103C}" name="Column4534"/>
    <tableColumn id="4535" xr3:uid="{343DDEA6-709C-43D0-981C-A9EE65CEC180}" name="Column4535"/>
    <tableColumn id="4536" xr3:uid="{CBDA5430-F4B4-49E1-B82B-55D08887A198}" name="Column4536"/>
    <tableColumn id="4537" xr3:uid="{57056D2A-F631-4909-85A7-99BF898D6DFF}" name="Column4537"/>
    <tableColumn id="4538" xr3:uid="{99206A44-E57C-4968-A737-52E79310EA5B}" name="Column4538"/>
    <tableColumn id="4539" xr3:uid="{70D3894B-0CF9-4605-8DE9-096AB3479B49}" name="Column4539"/>
    <tableColumn id="4540" xr3:uid="{7EEE0232-1CD4-416F-8B95-EFC51B5DBB6D}" name="Column4540"/>
    <tableColumn id="4541" xr3:uid="{747E8C99-8649-40C0-B63D-A4AD27FB9FDB}" name="Column4541"/>
    <tableColumn id="4542" xr3:uid="{B7183936-CAC9-4728-9909-14E5C8B09E8B}" name="Column4542"/>
    <tableColumn id="4543" xr3:uid="{862A70C7-E1FA-4EBC-B29F-F109A7B28921}" name="Column4543"/>
    <tableColumn id="4544" xr3:uid="{013AF3BA-078D-44A0-B001-0778C2A8FC56}" name="Column4544"/>
    <tableColumn id="4545" xr3:uid="{78D4A6F0-2DD2-4940-BFA2-307DBC143752}" name="Column4545"/>
    <tableColumn id="4546" xr3:uid="{8CE4E37F-044B-466C-80D9-4E8B3F88B532}" name="Column4546"/>
    <tableColumn id="4547" xr3:uid="{70B45986-556A-441D-BF4A-5386FCA2924B}" name="Column4547"/>
    <tableColumn id="4548" xr3:uid="{164AAF6D-3045-435F-A522-DF47A07ABBB2}" name="Column4548"/>
    <tableColumn id="4549" xr3:uid="{8C74BADC-22DE-4E7F-84D1-9F9CD0E52378}" name="Column4549"/>
    <tableColumn id="4550" xr3:uid="{27D08B8A-43C8-4D3B-AF46-D28354B76FA0}" name="Column4550"/>
    <tableColumn id="4551" xr3:uid="{A8D30B68-433A-44A6-B319-61566F2D03E4}" name="Column4551"/>
    <tableColumn id="4552" xr3:uid="{8D32C72C-E7ED-4CD3-A574-ADF132819B0C}" name="Column4552"/>
    <tableColumn id="4553" xr3:uid="{490FE5AE-6D51-41DC-AF39-BE2AAAEB2BDA}" name="Column4553"/>
    <tableColumn id="4554" xr3:uid="{F0C0FF69-727A-4E4C-A095-1F4E97AA68E8}" name="Column4554"/>
    <tableColumn id="4555" xr3:uid="{98F7D40C-4330-4583-8DCA-8F3C65AA3C12}" name="Column4555"/>
    <tableColumn id="4556" xr3:uid="{EB63C5C3-CC9F-4894-9557-BA3D3E6395C8}" name="Column4556"/>
    <tableColumn id="4557" xr3:uid="{964BB2CB-CB1A-49CC-B424-D474B7689F27}" name="Column4557"/>
    <tableColumn id="4558" xr3:uid="{27CDD658-8CB8-45B0-8030-9CF4361378A9}" name="Column4558"/>
    <tableColumn id="4559" xr3:uid="{7B1CBC71-B56D-41B1-8A8B-7F2A1F58DB8F}" name="Column4559"/>
    <tableColumn id="4560" xr3:uid="{47C47C64-5A45-467F-836B-67EA2D15F57F}" name="Column4560"/>
    <tableColumn id="4561" xr3:uid="{AE23FC99-D194-4AE4-9DD1-E75B832B79FB}" name="Column4561"/>
    <tableColumn id="4562" xr3:uid="{9FF583D2-0934-4D81-818D-50BFA94954D0}" name="Column4562"/>
    <tableColumn id="4563" xr3:uid="{DE9DB803-5C08-42CD-BC89-7ABC90CBBC75}" name="Column4563"/>
    <tableColumn id="4564" xr3:uid="{6F50F3B4-7209-45E5-9ED4-E0681C5A2EC4}" name="Column4564"/>
    <tableColumn id="4565" xr3:uid="{2DE1915C-0D24-4DDF-B274-A9C3C1E437B2}" name="Column4565"/>
    <tableColumn id="4566" xr3:uid="{DB910C43-85DD-4B2C-8751-22F3FFC4F5B9}" name="Column4566"/>
    <tableColumn id="4567" xr3:uid="{DBD5695A-7A71-4C2F-98A4-E506FB2CFE62}" name="Column4567"/>
    <tableColumn id="4568" xr3:uid="{1A89FC2F-865D-44FB-8801-A62EA73779B4}" name="Column4568"/>
    <tableColumn id="4569" xr3:uid="{111E54D1-9736-4141-8CD7-B8CE3AEB9AAC}" name="Column4569"/>
    <tableColumn id="4570" xr3:uid="{0B8EEDB3-2723-482E-996B-DAB78DA391EF}" name="Column4570"/>
    <tableColumn id="4571" xr3:uid="{24BBC435-ED44-4343-B22B-B80EC266A5F5}" name="Column4571"/>
    <tableColumn id="4572" xr3:uid="{A32310FF-6473-4AB9-9806-F4463155DD0C}" name="Column4572"/>
    <tableColumn id="4573" xr3:uid="{802E0745-64FF-47F3-AC2D-2D7E219FF8BB}" name="Column4573"/>
    <tableColumn id="4574" xr3:uid="{ECDB4FC3-3570-4952-8BA1-125E66C1A7D1}" name="Column4574"/>
    <tableColumn id="4575" xr3:uid="{9CA78ED2-9F5B-4531-A4FD-280306230C00}" name="Column4575"/>
    <tableColumn id="4576" xr3:uid="{87B5A349-8F46-43DE-AF2A-9888F45AB936}" name="Column4576"/>
    <tableColumn id="4577" xr3:uid="{0E3F7EB3-65F1-4805-B74B-303E659C370B}" name="Column4577"/>
    <tableColumn id="4578" xr3:uid="{70BC9AB4-7AF6-4BDC-93A1-136174A0BE40}" name="Column4578"/>
    <tableColumn id="4579" xr3:uid="{E724A3B8-C3C2-4299-8051-29D536AB800B}" name="Column4579"/>
    <tableColumn id="4580" xr3:uid="{EF87D3E2-4BCC-4139-B8C4-A99FC14894D2}" name="Column4580"/>
    <tableColumn id="4581" xr3:uid="{D7BB7058-5A62-4A10-A9F5-F47BD8F0FDAF}" name="Column4581"/>
    <tableColumn id="4582" xr3:uid="{E33DDC24-E5DF-46B4-B926-C1F794F4E9E3}" name="Column4582"/>
    <tableColumn id="4583" xr3:uid="{CA317A07-FA80-4795-ADD6-761A700D4CC3}" name="Column4583"/>
    <tableColumn id="4584" xr3:uid="{103241EB-0E5A-4384-8C42-2A242B0AF3E6}" name="Column4584"/>
    <tableColumn id="4585" xr3:uid="{C98AD586-02DA-4DE1-9B7E-D287705A27A0}" name="Column4585"/>
    <tableColumn id="4586" xr3:uid="{5216468B-D37D-4EB0-8C46-C74F57C9D39A}" name="Column4586"/>
    <tableColumn id="4587" xr3:uid="{5369695C-A438-4C8D-8FF1-8FC5E28360F5}" name="Column4587"/>
    <tableColumn id="4588" xr3:uid="{1832E9CF-88EC-4B03-8BBF-3E03F0BC82F5}" name="Column4588"/>
    <tableColumn id="4589" xr3:uid="{7E8F9F20-FA54-4B23-81DE-A12EE5D47BA3}" name="Column4589"/>
    <tableColumn id="4590" xr3:uid="{A0B09E07-2196-404D-AED5-8B65A25FA568}" name="Column4590"/>
    <tableColumn id="4591" xr3:uid="{E7188FCB-D355-4B82-B451-C492AE0C442A}" name="Column4591"/>
    <tableColumn id="4592" xr3:uid="{31CDE97B-B265-4E01-8269-5A7CB23826FF}" name="Column4592"/>
    <tableColumn id="4593" xr3:uid="{2C6E5A9B-6BAD-4561-8CA0-5C0D8EEEFF53}" name="Column4593"/>
    <tableColumn id="4594" xr3:uid="{C4453C4C-E851-4324-8609-5362670DC8E2}" name="Column4594"/>
    <tableColumn id="4595" xr3:uid="{56F103A8-BF8B-4AC3-8CA3-15D42A3408B8}" name="Column4595"/>
    <tableColumn id="4596" xr3:uid="{B5A86D6D-B2B0-414C-85B2-98105648E0C2}" name="Column4596"/>
    <tableColumn id="4597" xr3:uid="{3476BB10-8AC7-499F-88D2-A964BEEAF004}" name="Column4597"/>
    <tableColumn id="4598" xr3:uid="{ED4C860B-DE37-433B-B1DF-055304C0FC15}" name="Column4598"/>
    <tableColumn id="4599" xr3:uid="{7777C23C-C395-47F5-8CCA-E1009727E0DD}" name="Column4599"/>
    <tableColumn id="4600" xr3:uid="{FF2C083E-ADED-4C60-B06D-9826EE8128F5}" name="Column4600"/>
    <tableColumn id="4601" xr3:uid="{81E99AD5-E8A2-4D97-B479-59F4C8FF2659}" name="Column4601"/>
    <tableColumn id="4602" xr3:uid="{50E991A7-BBDE-4B61-9B11-E5E8923567FD}" name="Column4602"/>
    <tableColumn id="4603" xr3:uid="{B5133ADC-EFD3-4B01-BA4D-CAC35F3E3EC1}" name="Column4603"/>
    <tableColumn id="4604" xr3:uid="{F3211E66-7690-49D3-BB14-7CFBF4CE9E49}" name="Column4604"/>
    <tableColumn id="4605" xr3:uid="{C27C09BF-6391-44EA-BC44-B230E9ED3C38}" name="Column4605"/>
    <tableColumn id="4606" xr3:uid="{6A77499A-3C11-4EA0-B45B-DE569DDBE0FA}" name="Column4606"/>
    <tableColumn id="4607" xr3:uid="{68703CFF-1A5F-4CDA-A369-F81E0E562A2D}" name="Column4607"/>
    <tableColumn id="4608" xr3:uid="{EC79EF7A-51A9-40B1-A994-0CC490305EE9}" name="Column4608"/>
    <tableColumn id="4609" xr3:uid="{B09843E6-AF26-41BE-B8BE-FE9E802E00D6}" name="Column4609"/>
    <tableColumn id="4610" xr3:uid="{8FC2104B-82EB-4E97-A2A2-1D73D08CD39F}" name="Column4610"/>
    <tableColumn id="4611" xr3:uid="{5C373872-26F9-4198-B422-E820F4BED07F}" name="Column4611"/>
    <tableColumn id="4612" xr3:uid="{810F684A-E8F1-4C78-8440-D10B6089298E}" name="Column4612"/>
    <tableColumn id="4613" xr3:uid="{A049BFB5-337D-4267-A637-3DABE2A4FC97}" name="Column4613"/>
    <tableColumn id="4614" xr3:uid="{934B90A5-DA98-4D21-8D87-1DEF43F676D2}" name="Column4614"/>
    <tableColumn id="4615" xr3:uid="{067279AB-D127-4678-8FEC-B9C11245A1C9}" name="Column4615"/>
    <tableColumn id="4616" xr3:uid="{E86818A7-71A5-4495-B423-4F34DE58D3E5}" name="Column4616"/>
    <tableColumn id="4617" xr3:uid="{AD487A17-0404-4CA7-A278-4836ABEA6910}" name="Column4617"/>
    <tableColumn id="4618" xr3:uid="{1D1981B4-A584-4CF4-93A0-220D57BF13F5}" name="Column4618"/>
    <tableColumn id="4619" xr3:uid="{2E1853B0-1169-43F8-920E-66707B592DED}" name="Column4619"/>
    <tableColumn id="4620" xr3:uid="{459516E3-3124-46DB-975B-541916D2408C}" name="Column4620"/>
    <tableColumn id="4621" xr3:uid="{028B2981-EC45-45C3-A967-CF5CC7491F5F}" name="Column4621"/>
    <tableColumn id="4622" xr3:uid="{BFB7BB15-F156-45A0-B732-A2EED0F7DAD5}" name="Column4622"/>
    <tableColumn id="4623" xr3:uid="{8CDD43C8-B83C-476C-8A26-BF705EE665D1}" name="Column4623"/>
    <tableColumn id="4624" xr3:uid="{C538E148-5927-49FB-8FD1-71A6D76AF80F}" name="Column4624"/>
    <tableColumn id="4625" xr3:uid="{4CDFDF46-ADB2-470B-A8BA-8B2DF80A696E}" name="Column4625"/>
    <tableColumn id="4626" xr3:uid="{BA0F9A0B-1109-4A1E-9168-3542563E833B}" name="Column4626"/>
    <tableColumn id="4627" xr3:uid="{602E8AFB-0D3C-4B4F-8440-7C5494F07BE8}" name="Column4627"/>
    <tableColumn id="4628" xr3:uid="{D84739C8-EEF5-4E4F-B4BE-D7BBC2EE6DBB}" name="Column4628"/>
    <tableColumn id="4629" xr3:uid="{5F2E9997-FACE-452B-8C1C-81A4E3876C25}" name="Column4629"/>
    <tableColumn id="4630" xr3:uid="{78A356CD-C4A4-4224-B1D2-E84C625F6CA1}" name="Column4630"/>
    <tableColumn id="4631" xr3:uid="{3AD150CA-84FD-42CC-8B45-BEADD3A2CED3}" name="Column4631"/>
    <tableColumn id="4632" xr3:uid="{96E7B812-8BC0-49DB-991C-057DF57A4CFC}" name="Column4632"/>
    <tableColumn id="4633" xr3:uid="{7F61461E-70BE-465E-B8C2-D2E3342065BB}" name="Column4633"/>
    <tableColumn id="4634" xr3:uid="{0220C871-3F02-4F7F-BEE1-D53F78363A24}" name="Column4634"/>
    <tableColumn id="4635" xr3:uid="{3DBF2ADF-7E2F-48AA-994A-FD2424B8894E}" name="Column4635"/>
    <tableColumn id="4636" xr3:uid="{261E6666-8B2E-409A-86B5-CEB6AC850FB9}" name="Column4636"/>
    <tableColumn id="4637" xr3:uid="{DE7874A6-4A8A-417F-9E81-2CCEB2684D02}" name="Column4637"/>
    <tableColumn id="4638" xr3:uid="{17BD439D-0983-48C3-BC43-041747D816EA}" name="Column4638"/>
    <tableColumn id="4639" xr3:uid="{B0DB2849-8DAB-4BA5-BCAE-EF593BF50C61}" name="Column4639"/>
    <tableColumn id="4640" xr3:uid="{9BC59B24-997E-4E05-9C1D-5C7D6A27EA63}" name="Column4640"/>
    <tableColumn id="4641" xr3:uid="{98CBF2CC-95DD-4334-B894-44972A388386}" name="Column4641"/>
    <tableColumn id="4642" xr3:uid="{29FDAB27-A61C-459D-BAE8-603F6EA5C22C}" name="Column4642"/>
    <tableColumn id="4643" xr3:uid="{688C7AA3-D4FF-462B-8C71-382D8C8BC9DB}" name="Column4643"/>
    <tableColumn id="4644" xr3:uid="{007DA175-8BF3-45B1-AC69-3DE7879CF5D8}" name="Column4644"/>
    <tableColumn id="4645" xr3:uid="{F4EFA686-AF27-4D08-BC78-2E3C69CC390F}" name="Column4645"/>
    <tableColumn id="4646" xr3:uid="{C8727D5C-F2F6-4177-A2BA-1706E038D667}" name="Column4646"/>
    <tableColumn id="4647" xr3:uid="{280D0DC2-6194-497A-B44F-E319991DB991}" name="Column4647"/>
    <tableColumn id="4648" xr3:uid="{5C6CFEDE-05B3-4B84-B6DB-47FBE97C13AB}" name="Column4648"/>
    <tableColumn id="4649" xr3:uid="{1B2483C6-A13A-4AB7-9463-B98AB2569481}" name="Column4649"/>
    <tableColumn id="4650" xr3:uid="{49DA244A-1CD3-4FE1-935A-D78205DDE484}" name="Column4650"/>
    <tableColumn id="4651" xr3:uid="{1A0EE262-6F90-479C-AD00-D37B7829DE3D}" name="Column4651"/>
    <tableColumn id="4652" xr3:uid="{CF7FCADE-8382-4B79-AB00-43958E0CF351}" name="Column4652"/>
    <tableColumn id="4653" xr3:uid="{F125ABE5-F963-49BC-BEA3-06EC9A1EA393}" name="Column4653"/>
    <tableColumn id="4654" xr3:uid="{A60E19D9-9E07-40DC-9AC5-C942EAF3B179}" name="Column4654"/>
    <tableColumn id="4655" xr3:uid="{BBEA9350-D0B1-48A9-9A9E-4642BED7F239}" name="Column4655"/>
    <tableColumn id="4656" xr3:uid="{B954E20D-558B-445B-8D76-F678343D1C71}" name="Column4656"/>
    <tableColumn id="4657" xr3:uid="{EDFD9344-841A-4F8E-ACA3-9B64810D43DB}" name="Column4657"/>
    <tableColumn id="4658" xr3:uid="{08392339-4D00-442C-9E38-1561E46F82D8}" name="Column4658"/>
    <tableColumn id="4659" xr3:uid="{62CD6D92-5C1A-4B04-A0C2-19DB638D4D24}" name="Column4659"/>
    <tableColumn id="4660" xr3:uid="{3DE6BA5C-A32D-4B95-B6DE-1740B135298E}" name="Column4660"/>
    <tableColumn id="4661" xr3:uid="{9E27640F-4086-4C19-B8F8-FE0F41B75289}" name="Column4661"/>
    <tableColumn id="4662" xr3:uid="{025B9CFC-FCC3-4FEA-AB9A-B0BB1756CD38}" name="Column4662"/>
    <tableColumn id="4663" xr3:uid="{B2D0BA1A-941C-4FA4-B818-FC314270508F}" name="Column4663"/>
    <tableColumn id="4664" xr3:uid="{5253FC82-E91F-46CC-961F-6F769DDB9487}" name="Column4664"/>
    <tableColumn id="4665" xr3:uid="{93FE0EAA-D709-421B-96FE-DCED92F212A3}" name="Column4665"/>
    <tableColumn id="4666" xr3:uid="{30A2DAF9-0160-4DFA-866C-865D411FB48A}" name="Column4666"/>
    <tableColumn id="4667" xr3:uid="{D49CF761-AD11-4AF4-89C8-93B473F1E2EF}" name="Column4667"/>
    <tableColumn id="4668" xr3:uid="{43093BB1-DA3E-4DEF-979F-0D2B28B46988}" name="Column4668"/>
    <tableColumn id="4669" xr3:uid="{9D74A6C4-A095-421A-A56D-66A3EAB3EA6C}" name="Column4669"/>
    <tableColumn id="4670" xr3:uid="{954D90E4-E057-426E-9361-EE1B5BF4B2E1}" name="Column4670"/>
    <tableColumn id="4671" xr3:uid="{8597D151-663C-4008-8CD1-901C0BCB1976}" name="Column4671"/>
    <tableColumn id="4672" xr3:uid="{6F014AFE-254A-4743-8830-B9A71ED936D5}" name="Column4672"/>
    <tableColumn id="4673" xr3:uid="{82CF3AF2-FD9C-4720-BB04-48AB1DFED3A4}" name="Column4673"/>
    <tableColumn id="4674" xr3:uid="{AD95E53B-344C-4308-B99A-5ADAD6D40151}" name="Column4674"/>
    <tableColumn id="4675" xr3:uid="{C002DC04-4AAB-418F-803D-5C439B8D632C}" name="Column4675"/>
    <tableColumn id="4676" xr3:uid="{10EDD5F8-554E-4B99-B1A7-65A3A5A5AE9E}" name="Column4676"/>
    <tableColumn id="4677" xr3:uid="{05305A9B-4615-444A-90D9-3C8314A324E0}" name="Column4677"/>
    <tableColumn id="4678" xr3:uid="{098B3D01-F929-459B-AD89-EBBCBDAD79BD}" name="Column4678"/>
    <tableColumn id="4679" xr3:uid="{44E956F5-C802-4345-B25A-C33B34E43B38}" name="Column4679"/>
    <tableColumn id="4680" xr3:uid="{913291E6-5DE1-464B-AC3E-7AE319C3E51B}" name="Column4680"/>
    <tableColumn id="4681" xr3:uid="{983543CC-3417-413A-859B-C3743606C8BD}" name="Column4681"/>
    <tableColumn id="4682" xr3:uid="{BAE42E66-D4F7-4EB1-83CA-EA4E2117A87B}" name="Column4682"/>
    <tableColumn id="4683" xr3:uid="{C1B1E86F-B586-4543-9D99-EDCBB411C9CA}" name="Column4683"/>
    <tableColumn id="4684" xr3:uid="{B2A11665-CF7A-44C7-8C62-C1CF3C215F8B}" name="Column4684"/>
    <tableColumn id="4685" xr3:uid="{2F9F9DCE-1E46-4814-8244-1FD06CA44818}" name="Column4685"/>
    <tableColumn id="4686" xr3:uid="{1F515366-5020-4C05-B83E-41BF5B7B4B8F}" name="Column4686"/>
    <tableColumn id="4687" xr3:uid="{00E73E0F-09B3-4EDF-B6FD-7ACE5E1A5CDC}" name="Column4687"/>
    <tableColumn id="4688" xr3:uid="{7DEE5041-BB3A-4961-ABF5-85BEB21B5D0C}" name="Column4688"/>
    <tableColumn id="4689" xr3:uid="{B292C114-9876-4EDD-8FAF-C1B260DD0B63}" name="Column4689"/>
    <tableColumn id="4690" xr3:uid="{4B3B41C5-7CCC-4F61-A2F9-9D1C3F86A4DA}" name="Column4690"/>
    <tableColumn id="4691" xr3:uid="{421B9584-5045-4111-BFA7-8114108CEF23}" name="Column4691"/>
    <tableColumn id="4692" xr3:uid="{075B5724-E6AF-48F8-B2F3-5F69C9FE63DD}" name="Column4692"/>
    <tableColumn id="4693" xr3:uid="{ACFD38C6-DDA5-4943-934E-68FEE2A61712}" name="Column4693"/>
    <tableColumn id="4694" xr3:uid="{3DCFC19A-3EB3-435A-AE52-FC649B197F2D}" name="Column4694"/>
    <tableColumn id="4695" xr3:uid="{55EF0261-138F-4D6B-B92C-5853408CE1D1}" name="Column4695"/>
    <tableColumn id="4696" xr3:uid="{D3C0220A-BE17-4FA2-A199-EE743476716D}" name="Column4696"/>
    <tableColumn id="4697" xr3:uid="{A1C12083-7871-408D-9506-6B8415AC64B4}" name="Column4697"/>
    <tableColumn id="4698" xr3:uid="{59CEF750-BF52-404C-A195-F5B9984FE03B}" name="Column4698"/>
    <tableColumn id="4699" xr3:uid="{7054B59F-DCC6-4ADF-8C11-B0D790B27936}" name="Column4699"/>
    <tableColumn id="4700" xr3:uid="{D04D3123-F15F-4992-82AD-4D6E1160465D}" name="Column4700"/>
    <tableColumn id="4701" xr3:uid="{BE684824-C894-4097-9D0C-5A9026C9C8AC}" name="Column4701"/>
    <tableColumn id="4702" xr3:uid="{E455D115-419B-4783-88B9-09EBE6AD4D6E}" name="Column4702"/>
    <tableColumn id="4703" xr3:uid="{3091320D-5DDB-4722-9BDD-E531E6852C53}" name="Column4703"/>
    <tableColumn id="4704" xr3:uid="{94402862-BE38-4832-A6F7-5583C737BA02}" name="Column4704"/>
    <tableColumn id="4705" xr3:uid="{877C2B6E-C57C-4B63-B716-98CBF6831C01}" name="Column4705"/>
    <tableColumn id="4706" xr3:uid="{D8AB92E0-0C07-4915-880F-F0C73B4CBB82}" name="Column4706"/>
    <tableColumn id="4707" xr3:uid="{64B4D28F-6B31-4F47-977F-6553C7A77447}" name="Column4707"/>
    <tableColumn id="4708" xr3:uid="{175B3780-22E5-493C-A834-010F615A8C7C}" name="Column4708"/>
    <tableColumn id="4709" xr3:uid="{7A50D270-C21C-4181-A2E1-E82FD1D18C90}" name="Column4709"/>
    <tableColumn id="4710" xr3:uid="{A647216C-127C-407F-9718-CC2EF57A596C}" name="Column4710"/>
    <tableColumn id="4711" xr3:uid="{BA80DA51-1F25-4465-8F57-20AB366CA378}" name="Column4711"/>
    <tableColumn id="4712" xr3:uid="{2E7A5560-9C19-4E4F-AEF4-B68B9ECC0181}" name="Column4712"/>
    <tableColumn id="4713" xr3:uid="{AC270A7B-3E55-4C55-AFBA-4554C12A8F84}" name="Column4713"/>
    <tableColumn id="4714" xr3:uid="{3BF9752E-20F7-477B-96B8-DBA4BE8AD279}" name="Column4714"/>
    <tableColumn id="4715" xr3:uid="{05FE454A-3E0D-4038-ACA5-0E7A9CA643F1}" name="Column4715"/>
    <tableColumn id="4716" xr3:uid="{060408E0-0660-4099-B336-5FEDF8681BAC}" name="Column4716"/>
    <tableColumn id="4717" xr3:uid="{AE5CDDCD-185F-4AC6-B165-7F222089BC6F}" name="Column4717"/>
    <tableColumn id="4718" xr3:uid="{CD3C0B7B-E55A-4E0E-84FA-ED8B9C3AEB59}" name="Column4718"/>
    <tableColumn id="4719" xr3:uid="{A5F57712-6662-4205-B17B-30792DC3D5B5}" name="Column4719"/>
    <tableColumn id="4720" xr3:uid="{9D4ABE22-D2A9-406D-9216-40D9D286309C}" name="Column4720"/>
    <tableColumn id="4721" xr3:uid="{511FFF10-EFDA-4E15-8FEC-48F1782D7A67}" name="Column4721"/>
    <tableColumn id="4722" xr3:uid="{7DEF6261-5FCD-47BC-A733-D26FB54E512A}" name="Column4722"/>
    <tableColumn id="4723" xr3:uid="{DD65FB00-5C96-4CC7-8B57-72988EE4216F}" name="Column4723"/>
    <tableColumn id="4724" xr3:uid="{8B5DDE30-B1F5-49DF-A378-80C4F0E5AFB0}" name="Column4724"/>
    <tableColumn id="4725" xr3:uid="{006CA535-B573-43A3-8584-3BB526F68109}" name="Column4725"/>
    <tableColumn id="4726" xr3:uid="{F0F6EA3B-D01F-4E9B-9C9D-18CEA899E620}" name="Column4726"/>
    <tableColumn id="4727" xr3:uid="{09ED4CF7-D067-41DE-A43D-AA4ED13E2CD0}" name="Column4727"/>
    <tableColumn id="4728" xr3:uid="{87C0306F-51C1-4098-A80F-AD7C5985FED6}" name="Column4728"/>
    <tableColumn id="4729" xr3:uid="{0FE7B773-2873-4844-8AB7-63008230601E}" name="Column4729"/>
    <tableColumn id="4730" xr3:uid="{3ED08A54-DD4C-41E6-B9CC-307D8B5EBB73}" name="Column4730"/>
    <tableColumn id="4731" xr3:uid="{564DF10F-B07C-42D7-B5EE-67DCDC13D9D3}" name="Column4731"/>
    <tableColumn id="4732" xr3:uid="{47F6469A-4E08-4CF4-893F-72A59829D385}" name="Column4732"/>
    <tableColumn id="4733" xr3:uid="{438E5238-67C9-4365-8D1E-0A2526F8A8E3}" name="Column4733"/>
    <tableColumn id="4734" xr3:uid="{AA23DCF6-CD2F-41BE-9E1F-84FA96BEB88E}" name="Column4734"/>
    <tableColumn id="4735" xr3:uid="{0DCB273A-6514-42BA-8BEA-5C1092AD7E87}" name="Column4735"/>
    <tableColumn id="4736" xr3:uid="{0E43B6F1-9D5A-4074-A81D-108387797761}" name="Column4736"/>
    <tableColumn id="4737" xr3:uid="{02159995-FCB2-42EB-AA69-8C4950643083}" name="Column4737"/>
    <tableColumn id="4738" xr3:uid="{49B98762-C219-4DFF-8F32-24D09F5CD351}" name="Column4738"/>
    <tableColumn id="4739" xr3:uid="{DF1471A3-0CB0-42A3-98AB-3BCF75EBCC70}" name="Column4739"/>
    <tableColumn id="4740" xr3:uid="{8B270752-08FA-49A9-B821-2FA59776FE2E}" name="Column4740"/>
    <tableColumn id="4741" xr3:uid="{33DB9669-AACD-42FB-A5C0-966AD8105FD8}" name="Column4741"/>
    <tableColumn id="4742" xr3:uid="{7559567B-FB4E-4437-AA9E-A1B96FD0D182}" name="Column4742"/>
    <tableColumn id="4743" xr3:uid="{43985517-1F00-4948-81B6-3D5F7AA76737}" name="Column4743"/>
    <tableColumn id="4744" xr3:uid="{D06FB4EF-B4D6-407E-B23C-9E102975A749}" name="Column4744"/>
    <tableColumn id="4745" xr3:uid="{235B709D-859B-466E-8F0F-EA257459762F}" name="Column4745"/>
    <tableColumn id="4746" xr3:uid="{B49410EF-0D93-40FC-99DE-B31C76D3F9CD}" name="Column4746"/>
    <tableColumn id="4747" xr3:uid="{6FC6DD80-AD25-43A1-AADC-DE693FAFFE5C}" name="Column4747"/>
    <tableColumn id="4748" xr3:uid="{9A0CF7D8-58AA-435E-AB46-1ED29A958092}" name="Column4748"/>
    <tableColumn id="4749" xr3:uid="{E641AE6D-528A-407F-BC3B-FB71A8899821}" name="Column4749"/>
    <tableColumn id="4750" xr3:uid="{54A07574-5575-45A6-B920-CD5884782161}" name="Column4750"/>
    <tableColumn id="4751" xr3:uid="{6234D854-0478-46AB-8583-BBCB33A63693}" name="Column4751"/>
    <tableColumn id="4752" xr3:uid="{5A73AA33-9911-4B51-911B-B53368EC9E7F}" name="Column4752"/>
    <tableColumn id="4753" xr3:uid="{69C9A30A-E23F-478B-906A-226509F58665}" name="Column4753"/>
    <tableColumn id="4754" xr3:uid="{9D04BFE2-7E41-40D1-9250-E8FF924E3FCA}" name="Column4754"/>
    <tableColumn id="4755" xr3:uid="{923295EC-290A-4364-9B0C-9FF851CD28B9}" name="Column4755"/>
    <tableColumn id="4756" xr3:uid="{DFB175E9-9B45-4D55-A1BE-8D19C06251AD}" name="Column4756"/>
    <tableColumn id="4757" xr3:uid="{667FBEFE-CF4F-4C3F-A80F-EDA92B723F79}" name="Column4757"/>
    <tableColumn id="4758" xr3:uid="{C77DC19E-AD7F-473D-AE02-68592EBB6688}" name="Column4758"/>
    <tableColumn id="4759" xr3:uid="{96683085-569B-46B5-929B-4F1FB643014F}" name="Column4759"/>
    <tableColumn id="4760" xr3:uid="{5F4FBF38-08DE-436B-B2C1-1224D07CDB5B}" name="Column4760"/>
    <tableColumn id="4761" xr3:uid="{7980CBA9-478E-4C4A-B07E-A7D8E05333F6}" name="Column4761"/>
    <tableColumn id="4762" xr3:uid="{D2893034-678C-4185-A236-FDBA3009391F}" name="Column4762"/>
    <tableColumn id="4763" xr3:uid="{D097185E-6EDF-450A-8761-5EAAA3FF72A7}" name="Column4763"/>
    <tableColumn id="4764" xr3:uid="{D3D123A2-11B4-484D-93E8-304298A34124}" name="Column4764"/>
    <tableColumn id="4765" xr3:uid="{5D229D8C-A73F-486B-86B5-AB6CBAAC1F95}" name="Column4765"/>
    <tableColumn id="4766" xr3:uid="{17DAF81D-2415-41E2-9BCC-F153D64EDD09}" name="Column4766"/>
    <tableColumn id="4767" xr3:uid="{2E81415D-5F96-47EA-B8B1-E3AD053D8115}" name="Column4767"/>
    <tableColumn id="4768" xr3:uid="{1B2093E8-9C97-438C-A159-47146041AB8F}" name="Column4768"/>
    <tableColumn id="4769" xr3:uid="{C4F33ECC-89BA-4D19-A7F2-133248A8340F}" name="Column4769"/>
    <tableColumn id="4770" xr3:uid="{66050CB1-3EA0-4EFC-88E0-CCD3365513F0}" name="Column4770"/>
    <tableColumn id="4771" xr3:uid="{F9AD3936-EA45-4813-9A18-5A1265F2570D}" name="Column4771"/>
    <tableColumn id="4772" xr3:uid="{DE63B9CC-BC97-4F1B-9E97-FF0E619015B5}" name="Column4772"/>
    <tableColumn id="4773" xr3:uid="{688188E0-FF82-40D8-8486-6F75C0684A16}" name="Column4773"/>
    <tableColumn id="4774" xr3:uid="{954D3B72-9996-41E6-BFF7-AA1B0AB33371}" name="Column4774"/>
    <tableColumn id="4775" xr3:uid="{C88FC9A8-5A3E-43C0-8104-06A5C1ACCAFF}" name="Column4775"/>
    <tableColumn id="4776" xr3:uid="{7450AE55-1226-42BA-9949-7D8CB0476D59}" name="Column4776"/>
    <tableColumn id="4777" xr3:uid="{8A8E20DA-5465-410B-9010-6C4FFDEE71C9}" name="Column4777"/>
    <tableColumn id="4778" xr3:uid="{8E56C8B3-596E-42D4-983D-22ADD5441D46}" name="Column4778"/>
    <tableColumn id="4779" xr3:uid="{0CFEF82F-B780-4406-B713-1111B85BE51F}" name="Column4779"/>
    <tableColumn id="4780" xr3:uid="{24411275-77CF-496E-8832-5E0AE9E1ECD8}" name="Column4780"/>
    <tableColumn id="4781" xr3:uid="{8CC25BAE-9034-4AE7-BC13-643F972BF002}" name="Column4781"/>
    <tableColumn id="4782" xr3:uid="{8CBDF3C4-DD5C-4F71-B2DC-DEB61F4F42F6}" name="Column4782"/>
    <tableColumn id="4783" xr3:uid="{FD826262-C6CC-4FBB-90BC-9001EBF90EEB}" name="Column4783"/>
    <tableColumn id="4784" xr3:uid="{ACA7584A-1D36-467A-90F5-92EBA05EF86C}" name="Column4784"/>
    <tableColumn id="4785" xr3:uid="{FE4BF495-F059-4E8F-B685-CC309D2C9E5A}" name="Column4785"/>
    <tableColumn id="4786" xr3:uid="{2DA46818-8D8C-4238-9349-6489D1591445}" name="Column4786"/>
    <tableColumn id="4787" xr3:uid="{413F06A3-7A02-4993-A059-1E112E77174B}" name="Column4787"/>
    <tableColumn id="4788" xr3:uid="{8FB4D934-D0B7-4F61-B873-D212EF906FDC}" name="Column4788"/>
    <tableColumn id="4789" xr3:uid="{8CEFA564-1C34-4692-95D6-C319F352F89B}" name="Column4789"/>
    <tableColumn id="4790" xr3:uid="{46838639-B7EA-4FC4-A73B-26B8628CFA17}" name="Column4790"/>
    <tableColumn id="4791" xr3:uid="{789B3638-A8BB-4450-8476-5359F59EBDF8}" name="Column4791"/>
    <tableColumn id="4792" xr3:uid="{95EF5BFD-5484-422B-966D-8543830A9C85}" name="Column4792"/>
    <tableColumn id="4793" xr3:uid="{F1598460-DB31-4A5E-98A4-966171A59B54}" name="Column4793"/>
    <tableColumn id="4794" xr3:uid="{797B133C-7C55-4FE1-8B76-CA90CFE1D5CB}" name="Column4794"/>
    <tableColumn id="4795" xr3:uid="{D3CE6E23-2D89-45EC-AEB9-B7E4A8A05AFF}" name="Column4795"/>
    <tableColumn id="4796" xr3:uid="{FA409E25-C1B7-4227-BF3F-944D457D6217}" name="Column4796"/>
    <tableColumn id="4797" xr3:uid="{AD02888F-0B03-4CBF-AB6F-243E2B226892}" name="Column4797"/>
    <tableColumn id="4798" xr3:uid="{B72F3013-B368-4A0A-ADEA-F68C94F6E84F}" name="Column4798"/>
    <tableColumn id="4799" xr3:uid="{8F5A5CD4-23D4-4E8A-903F-AB51C734561A}" name="Column4799"/>
    <tableColumn id="4800" xr3:uid="{5DAC2F57-D9D2-42D6-A5B3-7F57185A8D0B}" name="Column4800"/>
    <tableColumn id="4801" xr3:uid="{B1CC1FFF-43E6-4F39-BD96-64926C14DF75}" name="Column4801"/>
    <tableColumn id="4802" xr3:uid="{DEF3C63C-7E73-464E-A1BD-F106F0062387}" name="Column4802"/>
    <tableColumn id="4803" xr3:uid="{F8C74BB7-2BAE-4409-B504-A064D1D9A5F7}" name="Column4803"/>
    <tableColumn id="4804" xr3:uid="{9E864A60-3674-40BE-95A9-5FB129538F34}" name="Column4804"/>
    <tableColumn id="4805" xr3:uid="{8BA379A9-B9CB-4D59-9034-C7DE8BB6D29C}" name="Column4805"/>
    <tableColumn id="4806" xr3:uid="{B66F8A67-C89A-4393-AC42-D92E04AFE046}" name="Column4806"/>
    <tableColumn id="4807" xr3:uid="{E2AC19CE-1FFD-45FD-AE50-5066645CB684}" name="Column4807"/>
    <tableColumn id="4808" xr3:uid="{79519800-2FFD-4C18-903F-7DBB99F995BF}" name="Column4808"/>
    <tableColumn id="4809" xr3:uid="{F7BE8129-EFBD-4919-9350-5F5FA4759B2B}" name="Column4809"/>
    <tableColumn id="4810" xr3:uid="{B77CABB0-4339-4414-AE92-5A378592CAF7}" name="Column4810"/>
    <tableColumn id="4811" xr3:uid="{E176D34E-FE66-4F0B-9606-3DCBB7A08101}" name="Column4811"/>
    <tableColumn id="4812" xr3:uid="{69B9AB17-4369-4850-80C2-D53484B4C97E}" name="Column4812"/>
    <tableColumn id="4813" xr3:uid="{8A87543F-E4F7-47F0-B7E0-90EBF7E00AFF}" name="Column4813"/>
    <tableColumn id="4814" xr3:uid="{DD7734F1-8897-4EE1-BA76-3D1CD4EBB5E5}" name="Column4814"/>
    <tableColumn id="4815" xr3:uid="{5867969F-0975-4BD8-83C3-2E538F8AC6FF}" name="Column4815"/>
    <tableColumn id="4816" xr3:uid="{089DCA9B-8420-4042-A7C5-3A60F150DBF5}" name="Column4816"/>
    <tableColumn id="4817" xr3:uid="{D90B1163-2C6B-40F7-AAF6-8778DB44C0C1}" name="Column4817"/>
    <tableColumn id="4818" xr3:uid="{0C6E45B1-A883-42B3-9A47-7F2E9F39675A}" name="Column4818"/>
    <tableColumn id="4819" xr3:uid="{AB9BEAC0-4F1C-4E20-8099-EDB42B6EF0D9}" name="Column4819"/>
    <tableColumn id="4820" xr3:uid="{80F881FC-F405-4642-A399-2D606D4D99CD}" name="Column4820"/>
    <tableColumn id="4821" xr3:uid="{561F1751-5BAB-418A-811E-16E0AD899E39}" name="Column4821"/>
    <tableColumn id="4822" xr3:uid="{41EEB5DD-81D9-4045-8727-DF1811615B24}" name="Column4822"/>
    <tableColumn id="4823" xr3:uid="{BED87795-301A-48AD-BEAA-E0EEAA9D2238}" name="Column4823"/>
    <tableColumn id="4824" xr3:uid="{BA025F26-9519-40EE-8B12-45459500D597}" name="Column4824"/>
    <tableColumn id="4825" xr3:uid="{2C52A784-0AD0-464B-AB42-CC04CA2C694A}" name="Column4825"/>
    <tableColumn id="4826" xr3:uid="{4A0714DF-EAD2-4304-9D37-2D22DA3EDAA9}" name="Column4826"/>
    <tableColumn id="4827" xr3:uid="{1D0B17CD-7A69-43CB-93F4-289068821D00}" name="Column4827"/>
    <tableColumn id="4828" xr3:uid="{ECE6B2E8-6F06-47DE-ACB4-9BE3E5AA3662}" name="Column4828"/>
    <tableColumn id="4829" xr3:uid="{8AE462CE-DE09-44C5-B34C-7C26702DC68D}" name="Column4829"/>
    <tableColumn id="4830" xr3:uid="{B7816680-CBC1-450C-BE1F-4128BE55311B}" name="Column4830"/>
    <tableColumn id="4831" xr3:uid="{15304A4B-1042-4C57-A043-7E7BAE33EAC0}" name="Column4831"/>
    <tableColumn id="4832" xr3:uid="{0E66DF14-94FA-4AF9-8523-EC520D3ACE17}" name="Column4832"/>
    <tableColumn id="4833" xr3:uid="{052BAF39-2E56-4B14-9A3D-DABBD4FFCFCB}" name="Column4833"/>
    <tableColumn id="4834" xr3:uid="{8E2233C8-C214-4242-9F23-73A5059D198D}" name="Column4834"/>
    <tableColumn id="4835" xr3:uid="{4B5614D4-0E27-4ACD-B5B2-461303832A69}" name="Column4835"/>
    <tableColumn id="4836" xr3:uid="{9557F393-8A5F-47AA-A446-F7FD8852D731}" name="Column4836"/>
    <tableColumn id="4837" xr3:uid="{1E40DDF1-0090-45F0-8024-DFE65C032909}" name="Column4837"/>
    <tableColumn id="4838" xr3:uid="{EA8F2764-8DF3-4D24-9C77-F5B0AAB5FDBA}" name="Column4838"/>
    <tableColumn id="4839" xr3:uid="{8A8461BC-282E-4FF5-8E4E-366D9E89C87C}" name="Column4839"/>
    <tableColumn id="4840" xr3:uid="{0F26024D-6CB6-49D2-968D-DC2DAD8BE0CD}" name="Column4840"/>
    <tableColumn id="4841" xr3:uid="{17ED8514-A4E7-42BE-B9DC-4765C76A88B8}" name="Column4841"/>
    <tableColumn id="4842" xr3:uid="{6998AB23-109B-441C-998F-518BC9C4E05B}" name="Column4842"/>
    <tableColumn id="4843" xr3:uid="{9E8BBDE0-7134-4485-BCE6-862B4ECD69BC}" name="Column4843"/>
    <tableColumn id="4844" xr3:uid="{CECF89BA-0C6A-4F05-B1B9-37154FFD0388}" name="Column4844"/>
    <tableColumn id="4845" xr3:uid="{8CD31A1D-64FE-4344-B3C6-6D01C2716690}" name="Column4845"/>
    <tableColumn id="4846" xr3:uid="{95B6DD69-E9B5-4702-B9E3-688B05750897}" name="Column4846"/>
    <tableColumn id="4847" xr3:uid="{0A627B3E-A107-4E78-97E8-FA09E10C01E3}" name="Column4847"/>
    <tableColumn id="4848" xr3:uid="{796E6AE9-93C3-4880-A9B2-10347E8E6F88}" name="Column4848"/>
    <tableColumn id="4849" xr3:uid="{41F5F3EB-2897-45E6-B6A5-E87872531049}" name="Column4849"/>
    <tableColumn id="4850" xr3:uid="{76FB92F9-3C3B-44DA-B767-F7C23291B43D}" name="Column4850"/>
    <tableColumn id="4851" xr3:uid="{51AE2DD8-1A88-443B-8804-484F9B7F22B7}" name="Column4851"/>
    <tableColumn id="4852" xr3:uid="{5EAAD442-26CC-45E4-9DB2-749177D42A02}" name="Column4852"/>
    <tableColumn id="4853" xr3:uid="{75CF020D-5C26-4435-AAF8-D17D75E9E164}" name="Column4853"/>
    <tableColumn id="4854" xr3:uid="{7237679E-F8C8-40B4-89C1-0BA4D3A2747B}" name="Column4854"/>
    <tableColumn id="4855" xr3:uid="{96A0D285-A1EF-4682-9D2C-018EBD5C96FD}" name="Column4855"/>
    <tableColumn id="4856" xr3:uid="{45396B28-19E6-40C5-B349-35FBB51D8033}" name="Column4856"/>
    <tableColumn id="4857" xr3:uid="{AE8747A3-53E7-497D-A8CA-569A8ED59955}" name="Column4857"/>
    <tableColumn id="4858" xr3:uid="{7E2798C5-5CD5-4CEB-87CC-A7DAC0F58351}" name="Column4858"/>
    <tableColumn id="4859" xr3:uid="{C77BD523-C8AE-421F-83CE-82FB793FE38E}" name="Column4859"/>
    <tableColumn id="4860" xr3:uid="{C9B72F25-73AC-4A49-9E21-4825CD102F55}" name="Column4860"/>
    <tableColumn id="4861" xr3:uid="{887DD6F7-2AED-4672-93F4-6FF296EC99E8}" name="Column4861"/>
    <tableColumn id="4862" xr3:uid="{37DA5188-CE4B-44DD-987A-56BCB9FC4588}" name="Column4862"/>
    <tableColumn id="4863" xr3:uid="{DC57A880-D509-41E5-82F2-F258B114F156}" name="Column4863"/>
    <tableColumn id="4864" xr3:uid="{30507E59-FC83-4372-AA6B-545AEB605407}" name="Column4864"/>
    <tableColumn id="4865" xr3:uid="{2683ED8F-1414-4E59-9A40-0FFA942E11B0}" name="Column4865"/>
    <tableColumn id="4866" xr3:uid="{BD4D61B0-BF21-49F8-82CD-7C249F5A5C18}" name="Column4866"/>
    <tableColumn id="4867" xr3:uid="{54A94C95-1C39-4419-9AD1-27FB4C5B2757}" name="Column4867"/>
    <tableColumn id="4868" xr3:uid="{1B12EEB8-4A00-47F5-95CC-3A108E5F69C2}" name="Column4868"/>
    <tableColumn id="4869" xr3:uid="{CA353E94-B779-48B4-A719-2BA36E860D0D}" name="Column4869"/>
    <tableColumn id="4870" xr3:uid="{CF824174-D95F-4CD7-B09E-DE6923E953E8}" name="Column4870"/>
    <tableColumn id="4871" xr3:uid="{937BE212-0D97-4619-B2EA-A4CCA38A0635}" name="Column4871"/>
    <tableColumn id="4872" xr3:uid="{1F906133-2C16-4484-BD7A-B18E35840F6D}" name="Column4872"/>
    <tableColumn id="4873" xr3:uid="{C55B498E-77F6-4361-B651-39DFA4F78CF8}" name="Column4873"/>
    <tableColumn id="4874" xr3:uid="{EABB0A4F-ED09-4562-8335-53EC6B2A51A3}" name="Column4874"/>
    <tableColumn id="4875" xr3:uid="{998F318E-D9F8-4B09-9C6E-7FF83CBFC39B}" name="Column4875"/>
    <tableColumn id="4876" xr3:uid="{1938D68B-0FC6-4FC6-AAF7-D8588DD2659E}" name="Column4876"/>
    <tableColumn id="4877" xr3:uid="{C2C41BE7-E6F9-4D4D-A76C-986BF9F23530}" name="Column4877"/>
    <tableColumn id="4878" xr3:uid="{74EC1957-2339-4EF6-9380-2347A4832750}" name="Column4878"/>
    <tableColumn id="4879" xr3:uid="{70A0B5EA-F4CD-46B5-9FF0-93A1AB1C995A}" name="Column4879"/>
    <tableColumn id="4880" xr3:uid="{B8A68F6A-858D-4946-952D-D5FF4A11CA69}" name="Column4880"/>
    <tableColumn id="4881" xr3:uid="{99E0FAE9-86DC-40DF-9047-A641BA19DD08}" name="Column4881"/>
    <tableColumn id="4882" xr3:uid="{152CD30E-1B59-4EA3-A1A5-F4FA69402CF6}" name="Column4882"/>
    <tableColumn id="4883" xr3:uid="{598E7DFC-642C-4390-9FED-FF13D87EF8E0}" name="Column4883"/>
    <tableColumn id="4884" xr3:uid="{7EAD1D48-F6F2-44C6-B111-6D79A1D61D44}" name="Column4884"/>
    <tableColumn id="4885" xr3:uid="{F8C30D29-A8E9-487C-B3E6-AC48EC0359E7}" name="Column4885"/>
    <tableColumn id="4886" xr3:uid="{ECD29F75-C4E7-4EF8-AFAB-D0AF3116A127}" name="Column4886"/>
    <tableColumn id="4887" xr3:uid="{6F1D1D13-86CE-45F3-91A8-EFFE627074BD}" name="Column4887"/>
    <tableColumn id="4888" xr3:uid="{AEC41023-18F4-4D35-B4B1-CB04A88BED5B}" name="Column4888"/>
    <tableColumn id="4889" xr3:uid="{191335F3-32DC-4E45-9B76-FD925393A4B3}" name="Column4889"/>
    <tableColumn id="4890" xr3:uid="{294F8AED-DE5F-4B19-A2A0-6EAA66FE9B77}" name="Column4890"/>
    <tableColumn id="4891" xr3:uid="{EE458BEF-701E-4184-95D5-61D96F30B610}" name="Column4891"/>
    <tableColumn id="4892" xr3:uid="{1F7A5F39-6BF0-4084-8E9D-98D330154A00}" name="Column4892"/>
    <tableColumn id="4893" xr3:uid="{D6134F80-4119-41AB-A017-B23F383CA657}" name="Column4893"/>
    <tableColumn id="4894" xr3:uid="{BC59C11C-BA37-41F9-87C1-A63BD08218DB}" name="Column4894"/>
    <tableColumn id="4895" xr3:uid="{E681552E-1690-406B-9263-4BBDA98C478D}" name="Column4895"/>
    <tableColumn id="4896" xr3:uid="{50550621-7659-42A9-AD5E-047A8104CBA8}" name="Column4896"/>
    <tableColumn id="4897" xr3:uid="{15F52400-E8D8-42D6-A129-6C656C734687}" name="Column4897"/>
    <tableColumn id="4898" xr3:uid="{C6CA7A34-A7AD-482D-A2DE-7D23D6A303F5}" name="Column4898"/>
    <tableColumn id="4899" xr3:uid="{144D5E5C-F816-41F9-A78C-C1E5F1CBD345}" name="Column4899"/>
    <tableColumn id="4900" xr3:uid="{B607DED2-E790-45AE-9AA4-2C8D497AEF4D}" name="Column4900"/>
    <tableColumn id="4901" xr3:uid="{0D75D47B-1454-402C-B716-0756A5785D4F}" name="Column4901"/>
    <tableColumn id="4902" xr3:uid="{8E15FAAA-4441-45C3-A2D9-F7DDC667C257}" name="Column4902"/>
    <tableColumn id="4903" xr3:uid="{5BA13AEA-6DBD-45EB-B87F-A9BA112958AF}" name="Column4903"/>
    <tableColumn id="4904" xr3:uid="{B1DD2295-1DD4-4681-8632-F826B08ADE01}" name="Column4904"/>
    <tableColumn id="4905" xr3:uid="{E8BF12F7-2DC0-4E40-99AB-D45A1E093311}" name="Column4905"/>
    <tableColumn id="4906" xr3:uid="{EBE2D50C-2D87-4B8B-823F-4A7C2D9CF396}" name="Column4906"/>
    <tableColumn id="4907" xr3:uid="{214312C4-024C-4AC4-850E-F7189E6F3665}" name="Column4907"/>
    <tableColumn id="4908" xr3:uid="{70E19536-66FA-442B-AC30-D3C133187CAC}" name="Column4908"/>
    <tableColumn id="4909" xr3:uid="{633DDC1B-1A12-464C-A3D9-7A6714CD3AB8}" name="Column4909"/>
    <tableColumn id="4910" xr3:uid="{55604913-9F2D-4215-A547-B1982F67147D}" name="Column4910"/>
    <tableColumn id="4911" xr3:uid="{26542A7E-037D-408B-93D7-99125EC8FC7C}" name="Column4911"/>
    <tableColumn id="4912" xr3:uid="{9FE49140-A5C7-4065-B65B-62AE360E4758}" name="Column4912"/>
    <tableColumn id="4913" xr3:uid="{D9D956FB-4AE4-4C42-A0F3-8416CCF3189F}" name="Column4913"/>
    <tableColumn id="4914" xr3:uid="{1F093CD2-012A-454A-A9E1-862A8A7A36A3}" name="Column4914"/>
    <tableColumn id="4915" xr3:uid="{221E2290-E2FF-4652-99BA-06E93E962141}" name="Column4915"/>
    <tableColumn id="4916" xr3:uid="{9B76506E-6FB2-41EE-BA66-C592F062E080}" name="Column4916"/>
    <tableColumn id="4917" xr3:uid="{E5B1D046-B167-47D9-8DAB-6FD395EA4C3E}" name="Column4917"/>
    <tableColumn id="4918" xr3:uid="{3116D25B-819D-45E4-8855-152E8DEE6A07}" name="Column4918"/>
    <tableColumn id="4919" xr3:uid="{3AE8ADE7-711F-4524-B460-4707840E014E}" name="Column4919"/>
    <tableColumn id="4920" xr3:uid="{CEAB2C1B-8E1F-460E-9393-6CB1804CA3ED}" name="Column4920"/>
    <tableColumn id="4921" xr3:uid="{4B29FFA9-CC43-47C5-9E17-CC1A51DCE665}" name="Column4921"/>
    <tableColumn id="4922" xr3:uid="{F7FEEA6B-16A6-4943-8B01-52D88B461D64}" name="Column4922"/>
    <tableColumn id="4923" xr3:uid="{3E75A590-6AE8-4C56-BAB8-D1A8BDED9101}" name="Column4923"/>
    <tableColumn id="4924" xr3:uid="{F6A74EC3-D149-42BE-8EFA-ED8314E2CE67}" name="Column4924"/>
    <tableColumn id="4925" xr3:uid="{7DDA111D-33B4-4584-B1D1-215027DBD71E}" name="Column4925"/>
    <tableColumn id="4926" xr3:uid="{D13449C2-5988-47B9-A970-1C684880AB30}" name="Column4926"/>
    <tableColumn id="4927" xr3:uid="{FE06C4E5-274A-4889-BC00-D5C538B02777}" name="Column4927"/>
    <tableColumn id="4928" xr3:uid="{5BFE1F91-859A-477E-A3EA-BC305F91C64D}" name="Column4928"/>
    <tableColumn id="4929" xr3:uid="{235F65E4-FAAD-418A-8A9B-55E14055946D}" name="Column4929"/>
    <tableColumn id="4930" xr3:uid="{B9C19504-AB8B-4288-BA02-5092D6558DF8}" name="Column4930"/>
    <tableColumn id="4931" xr3:uid="{C2A51186-4B5A-437E-90CC-810F5A725A1A}" name="Column4931"/>
    <tableColumn id="4932" xr3:uid="{2E9E0E3F-48C5-4871-8326-8C24E63F176E}" name="Column4932"/>
    <tableColumn id="4933" xr3:uid="{84D5263F-17F8-42E4-A17D-F2595EA21E0A}" name="Column4933"/>
    <tableColumn id="4934" xr3:uid="{5E09913C-9F39-47F2-BEBE-866F0ABC556D}" name="Column4934"/>
    <tableColumn id="4935" xr3:uid="{29E67BF0-F40C-4868-891A-15939A147199}" name="Column4935"/>
    <tableColumn id="4936" xr3:uid="{6341434A-4334-444C-9211-80E9E9ACAA4E}" name="Column4936"/>
    <tableColumn id="4937" xr3:uid="{1F9FDB9A-67DD-46A4-AABC-E0A33D4C7E87}" name="Column4937"/>
    <tableColumn id="4938" xr3:uid="{1A81E205-4E78-4A54-837D-DAAD00ECED54}" name="Column4938"/>
    <tableColumn id="4939" xr3:uid="{59A4D0FD-3F43-404B-A9A2-33D9409962D6}" name="Column4939"/>
    <tableColumn id="4940" xr3:uid="{83762188-BF72-491E-A9CF-541824CF4C0A}" name="Column4940"/>
    <tableColumn id="4941" xr3:uid="{DEB545CA-4857-4424-9BB2-004DC14C9524}" name="Column4941"/>
    <tableColumn id="4942" xr3:uid="{4CD50B7E-892D-4B1A-948F-D3F57827BE9E}" name="Column4942"/>
    <tableColumn id="4943" xr3:uid="{37FD8F76-AB9E-45C8-B8C9-9C15DB0C14AE}" name="Column4943"/>
    <tableColumn id="4944" xr3:uid="{327B804A-500A-4548-B0CB-8C51998540B5}" name="Column4944"/>
    <tableColumn id="4945" xr3:uid="{76B5B447-6F3C-4DDA-B3E8-F32D22C3C02D}" name="Column4945"/>
    <tableColumn id="4946" xr3:uid="{8F8BD5FA-A65A-445B-83F5-1044D9108FB8}" name="Column4946"/>
    <tableColumn id="4947" xr3:uid="{3F0BAF23-A546-44CD-B1EC-64F5B1D59871}" name="Column4947"/>
    <tableColumn id="4948" xr3:uid="{108AA715-91BD-4F7F-93D7-3E2978857143}" name="Column4948"/>
    <tableColumn id="4949" xr3:uid="{DC6315DB-FEB2-400D-9A53-EF960BF8E2E3}" name="Column4949"/>
    <tableColumn id="4950" xr3:uid="{8F45198F-DFE2-4E42-8666-8B815AEE1AA0}" name="Column4950"/>
    <tableColumn id="4951" xr3:uid="{A9FD2E57-971E-4B0B-B8A7-632913A14AC8}" name="Column4951"/>
    <tableColumn id="4952" xr3:uid="{2D56B321-149F-47A3-921B-E98F4374C3A8}" name="Column4952"/>
    <tableColumn id="4953" xr3:uid="{0598D3DA-A4AD-40AB-AEB5-F53B2F74FBDC}" name="Column4953"/>
    <tableColumn id="4954" xr3:uid="{E0630A84-5BC7-4AED-9BF9-9C87136E6873}" name="Column4954"/>
    <tableColumn id="4955" xr3:uid="{DC2350D8-A09A-4D04-BDC8-380B0CD7C3F3}" name="Column4955"/>
    <tableColumn id="4956" xr3:uid="{C0FAFE21-B35B-4176-BEE7-ECFF40A948FE}" name="Column4956"/>
    <tableColumn id="4957" xr3:uid="{4B16ACA1-5D5C-48A3-9270-A2C63D45635A}" name="Column4957"/>
    <tableColumn id="4958" xr3:uid="{7086FA4B-1B67-49DB-B6F6-99A87D4FDEEA}" name="Column4958"/>
    <tableColumn id="4959" xr3:uid="{8AFD7854-8451-4392-A612-233BD7F7F75C}" name="Column4959"/>
    <tableColumn id="4960" xr3:uid="{4CEBEC43-8D18-45F8-9C07-505356C27692}" name="Column4960"/>
    <tableColumn id="4961" xr3:uid="{345F8868-28DA-430A-BCFC-B86FB3A75E6E}" name="Column4961"/>
    <tableColumn id="4962" xr3:uid="{0EDE468C-66AB-4FB9-B779-F4558DB5A6D1}" name="Column4962"/>
    <tableColumn id="4963" xr3:uid="{41155C1F-4382-4248-984D-61E293701D42}" name="Column4963"/>
    <tableColumn id="4964" xr3:uid="{BCF27079-C3C5-41A6-949A-0EEE91752081}" name="Column4964"/>
    <tableColumn id="4965" xr3:uid="{F1A96CE2-3B88-400C-BC90-F8487D19E30B}" name="Column4965"/>
    <tableColumn id="4966" xr3:uid="{0C22243C-0804-4B12-BB85-607203952761}" name="Column4966"/>
    <tableColumn id="4967" xr3:uid="{CA41580D-4DA6-4665-958F-5205ED76BC2A}" name="Column4967"/>
    <tableColumn id="4968" xr3:uid="{E68C91BF-87B1-4306-9DEE-481518F24B2C}" name="Column4968"/>
    <tableColumn id="4969" xr3:uid="{3D97725C-6D68-496C-8C1C-D3994102BD0B}" name="Column4969"/>
    <tableColumn id="4970" xr3:uid="{1B69C746-25EA-4578-BBF9-97F1A33DBA9B}" name="Column4970"/>
    <tableColumn id="4971" xr3:uid="{999B9C58-B9B9-4A97-ACF8-C0F725239690}" name="Column4971"/>
    <tableColumn id="4972" xr3:uid="{6D9342B8-53D5-45C2-BB79-C3863A328ECC}" name="Column4972"/>
    <tableColumn id="4973" xr3:uid="{D08BE525-E41F-44BD-BBA2-9F19857F5695}" name="Column4973"/>
    <tableColumn id="4974" xr3:uid="{E314C426-110F-4C83-B519-34F3BDC83019}" name="Column4974"/>
    <tableColumn id="4975" xr3:uid="{118D56AC-F2CC-4D50-8E77-6704DDE4A494}" name="Column4975"/>
    <tableColumn id="4976" xr3:uid="{2DF7161F-47C3-4836-AC7F-CDCA469A70E1}" name="Column4976"/>
    <tableColumn id="4977" xr3:uid="{5EDBA72C-4AA0-43D0-8E93-08D03A9EE039}" name="Column4977"/>
    <tableColumn id="4978" xr3:uid="{F20E1650-382A-4420-A22C-B6E90DA1C827}" name="Column4978"/>
    <tableColumn id="4979" xr3:uid="{A5D3B323-AC0D-409A-A262-7BA6538717F1}" name="Column4979"/>
    <tableColumn id="4980" xr3:uid="{8C00BA5F-1535-415E-97F5-18593A0F31ED}" name="Column4980"/>
    <tableColumn id="4981" xr3:uid="{1573A1A1-576F-448D-9939-58EB894C5064}" name="Column4981"/>
    <tableColumn id="4982" xr3:uid="{06EB2918-FCC1-4889-A724-3155A24E9CCF}" name="Column4982"/>
    <tableColumn id="4983" xr3:uid="{757F4A5A-B3E8-4253-A6C6-EC5957066337}" name="Column4983"/>
    <tableColumn id="4984" xr3:uid="{992E1197-0A33-488F-8B78-283074C17258}" name="Column4984"/>
    <tableColumn id="4985" xr3:uid="{54695D3D-6F78-441C-BCE9-DE99AAC9B928}" name="Column4985"/>
    <tableColumn id="4986" xr3:uid="{A8016BBC-6F88-4B2C-B83C-E440586427BF}" name="Column4986"/>
    <tableColumn id="4987" xr3:uid="{2277CCF8-B001-4A46-B8AF-8F9F65D6BE61}" name="Column4987"/>
    <tableColumn id="4988" xr3:uid="{9DCD00E1-87BD-4A49-ACE3-03C3CC177DFD}" name="Column4988"/>
    <tableColumn id="4989" xr3:uid="{71B18101-6011-4BA8-9E52-AF3CDD10B73A}" name="Column4989"/>
    <tableColumn id="4990" xr3:uid="{E8B9BEB2-CD9D-42D1-BDEE-F44476327EA6}" name="Column4990"/>
    <tableColumn id="4991" xr3:uid="{A49B2DC6-7BAD-472E-B575-1E59A989540C}" name="Column4991"/>
    <tableColumn id="4992" xr3:uid="{74E6D2D0-7AF9-4F87-9111-8F5D92C5EC0C}" name="Column4992"/>
    <tableColumn id="4993" xr3:uid="{29D14AEC-02CA-46B7-9081-7C169252D3E2}" name="Column4993"/>
    <tableColumn id="4994" xr3:uid="{06FF4713-2A34-4E3F-971E-F24D7AC72CF9}" name="Column4994"/>
    <tableColumn id="4995" xr3:uid="{DB21D992-C923-4052-BFFC-4E7FDD23F090}" name="Column4995"/>
    <tableColumn id="4996" xr3:uid="{81E2431D-960E-41AA-8594-96BB8F208900}" name="Column4996"/>
    <tableColumn id="4997" xr3:uid="{C30631DF-2120-40EF-8FC8-75ABAD2FE906}" name="Column4997"/>
    <tableColumn id="4998" xr3:uid="{403E2B47-4928-4607-BC02-768FD1F762C0}" name="Column4998"/>
    <tableColumn id="4999" xr3:uid="{93016E79-D6C1-44E0-BB4E-AF7283FAB0F9}" name="Column4999"/>
    <tableColumn id="5000" xr3:uid="{D3B5F4A5-600C-4503-A9FC-10F39BEAE04B}" name="Column5000"/>
    <tableColumn id="5001" xr3:uid="{E96A0EFA-43B9-4FFD-9E0B-188210BD9BC6}" name="Column5001"/>
    <tableColumn id="5002" xr3:uid="{17BB5688-0D82-41B2-8406-03B04C02BCB2}" name="Column5002"/>
    <tableColumn id="5003" xr3:uid="{BD7163C0-1336-4B4B-A387-D44B7BFBB877}" name="Column5003"/>
    <tableColumn id="5004" xr3:uid="{E52AD1BC-93C7-48E6-86E3-2440FF758FAB}" name="Column5004"/>
    <tableColumn id="5005" xr3:uid="{C55C6F78-1BE2-41C7-ADD0-6D83AE8804D3}" name="Column5005"/>
    <tableColumn id="5006" xr3:uid="{4111E169-4709-42A4-8037-DC7E581BF251}" name="Column5006"/>
    <tableColumn id="5007" xr3:uid="{9D91908A-75E0-48CA-A1A5-5DC67A8D5189}" name="Column5007"/>
    <tableColumn id="5008" xr3:uid="{BD9C0A3E-CDC7-4D1F-BA03-6AF840E8B9D8}" name="Column5008"/>
    <tableColumn id="5009" xr3:uid="{92FB74BE-634F-4C5C-BF1C-415A11CF888B}" name="Column5009"/>
    <tableColumn id="5010" xr3:uid="{71A35D83-E45D-4078-8367-BE9413A1099A}" name="Column5010"/>
    <tableColumn id="5011" xr3:uid="{1C2E14BF-CE99-4232-8347-7D928E6C5392}" name="Column5011"/>
    <tableColumn id="5012" xr3:uid="{A3B052A8-531A-4BF9-9FAD-ADDDA65FB848}" name="Column5012"/>
    <tableColumn id="5013" xr3:uid="{0294C6EE-CB12-492A-B570-0AEC22BB7838}" name="Column5013"/>
    <tableColumn id="5014" xr3:uid="{256419DB-F5BE-4488-B4C7-8148B8FC1148}" name="Column5014"/>
    <tableColumn id="5015" xr3:uid="{E1350446-0D0C-4785-9B41-B3801FC46B24}" name="Column5015"/>
    <tableColumn id="5016" xr3:uid="{A856B539-D640-4546-AE7E-293BDCAFEF1C}" name="Column5016"/>
    <tableColumn id="5017" xr3:uid="{2C476BD5-85F5-49FF-A834-44A7D6096290}" name="Column5017"/>
    <tableColumn id="5018" xr3:uid="{A236BD4D-9779-496F-A863-C6F145C9DCE6}" name="Column5018"/>
    <tableColumn id="5019" xr3:uid="{F9C90ED7-02B8-4EF9-A66A-63A0BBDF2132}" name="Column5019"/>
    <tableColumn id="5020" xr3:uid="{5BD77041-C2D8-4038-94B7-D241739B0335}" name="Column5020"/>
    <tableColumn id="5021" xr3:uid="{BD6291E0-996D-4FE7-ADA4-2A85DA36C846}" name="Column5021"/>
    <tableColumn id="5022" xr3:uid="{3B9007A3-0B25-4B03-8212-B61F787B9629}" name="Column5022"/>
    <tableColumn id="5023" xr3:uid="{B16926FC-1A61-4BB8-94D6-488C526CF06A}" name="Column5023"/>
    <tableColumn id="5024" xr3:uid="{7FDED453-10E1-4831-ABFE-74FD56276868}" name="Column5024"/>
    <tableColumn id="5025" xr3:uid="{718918F6-1A1E-4C9F-B2BD-56326790F052}" name="Column5025"/>
    <tableColumn id="5026" xr3:uid="{B2413DB3-99CC-480E-8FE3-01FD4593309E}" name="Column5026"/>
    <tableColumn id="5027" xr3:uid="{04875967-3512-45C8-B8BB-9FE1AD01EAB0}" name="Column5027"/>
    <tableColumn id="5028" xr3:uid="{6E44CBFA-18FB-4DEC-8068-5752D864C294}" name="Column5028"/>
    <tableColumn id="5029" xr3:uid="{76DF4926-4DC2-4EA1-9F12-167F17F833E5}" name="Column5029"/>
    <tableColumn id="5030" xr3:uid="{B8A9EAB0-58A8-4569-8FA5-AD8E3D723279}" name="Column5030"/>
    <tableColumn id="5031" xr3:uid="{54D81A67-A9C7-4B59-9837-543D3F2CEBF2}" name="Column5031"/>
    <tableColumn id="5032" xr3:uid="{1B60CD2D-4775-4532-AD2E-ABE23E67628C}" name="Column5032"/>
    <tableColumn id="5033" xr3:uid="{3826C626-FAF7-4365-B969-1D11AB056843}" name="Column5033"/>
    <tableColumn id="5034" xr3:uid="{8956FA3C-9743-4E1E-BC42-FB9BD53F59DC}" name="Column5034"/>
    <tableColumn id="5035" xr3:uid="{5A933A0F-948D-43A6-B11A-2134B625221B}" name="Column5035"/>
    <tableColumn id="5036" xr3:uid="{DEC7AB19-8D98-49BD-A15D-B786F62B8B9E}" name="Column5036"/>
    <tableColumn id="5037" xr3:uid="{167F3AE1-4624-4CD8-B5D4-4C29D1B3C9FE}" name="Column5037"/>
    <tableColumn id="5038" xr3:uid="{2E14E293-52B1-41DF-9068-1D30D98359F0}" name="Column5038"/>
    <tableColumn id="5039" xr3:uid="{A0521001-19F3-4A70-A66A-4D31F64422D9}" name="Column5039"/>
    <tableColumn id="5040" xr3:uid="{FF0665A3-9F67-4A3C-A3BB-E3C5DD7A6823}" name="Column5040"/>
    <tableColumn id="5041" xr3:uid="{7A521DF9-4538-4BC5-875C-25CF30341F94}" name="Column5041"/>
    <tableColumn id="5042" xr3:uid="{BA000ECA-933D-4F76-8AEF-A712795F9570}" name="Column5042"/>
    <tableColumn id="5043" xr3:uid="{31AE239B-9CF4-459B-B090-F5586FAAA7C8}" name="Column5043"/>
    <tableColumn id="5044" xr3:uid="{437D47FC-DB13-4B0C-90BB-15327CFFF295}" name="Column5044"/>
    <tableColumn id="5045" xr3:uid="{925204E8-8A94-477F-9083-5F7F9018C33E}" name="Column5045"/>
    <tableColumn id="5046" xr3:uid="{FB186DAA-B5FE-4C34-B5F4-14E839EA31B2}" name="Column5046"/>
    <tableColumn id="5047" xr3:uid="{204DC498-A76D-475E-BBE7-4413402426E9}" name="Column5047"/>
    <tableColumn id="5048" xr3:uid="{8750235B-8533-4F82-9187-CB0A51814D4F}" name="Column5048"/>
    <tableColumn id="5049" xr3:uid="{F049F6C0-E063-44D5-B5DA-8ABAC5350AFF}" name="Column5049"/>
    <tableColumn id="5050" xr3:uid="{2DDACE9C-2380-4F27-AEC9-7C65B48E92D2}" name="Column5050"/>
    <tableColumn id="5051" xr3:uid="{A2C93D48-5B46-462F-BFF3-091CFE199B50}" name="Column5051"/>
    <tableColumn id="5052" xr3:uid="{37B98BC9-EFBE-4371-A45A-7A937C97C3E6}" name="Column5052"/>
    <tableColumn id="5053" xr3:uid="{B6A503B2-E6F1-49E4-BB6C-A3248B968BB1}" name="Column5053"/>
    <tableColumn id="5054" xr3:uid="{A8649B0B-CE38-44CF-914D-B0785CBB67E2}" name="Column5054"/>
    <tableColumn id="5055" xr3:uid="{8F1DCFD1-39E5-4497-9542-4D8E3A12723B}" name="Column5055"/>
    <tableColumn id="5056" xr3:uid="{AE425A32-14A2-4212-BA57-DF5A1F0D49DE}" name="Column5056"/>
    <tableColumn id="5057" xr3:uid="{041B873C-66A6-4BFB-9C24-EAC5D62C87B3}" name="Column5057"/>
    <tableColumn id="5058" xr3:uid="{6086667B-996F-4AF1-B855-52A77CB30F92}" name="Column5058"/>
    <tableColumn id="5059" xr3:uid="{828B623D-9CCA-4DD0-BE4B-D6ABABC647F1}" name="Column5059"/>
    <tableColumn id="5060" xr3:uid="{846F6B74-F886-47B6-B744-041343D21FED}" name="Column5060"/>
    <tableColumn id="5061" xr3:uid="{E23762A7-54BC-40F5-8C32-428D7AC2A047}" name="Column5061"/>
    <tableColumn id="5062" xr3:uid="{4EC588F0-AC61-4743-B51A-09894BFDA416}" name="Column5062"/>
    <tableColumn id="5063" xr3:uid="{7603548F-9499-4850-805C-0CA6D032D41C}" name="Column5063"/>
    <tableColumn id="5064" xr3:uid="{A53A24CF-46A2-4FDC-B16E-5350032E8688}" name="Column5064"/>
    <tableColumn id="5065" xr3:uid="{FE1D073C-E632-46F0-AB70-368846DF08D4}" name="Column5065"/>
    <tableColumn id="5066" xr3:uid="{74D8AD96-8C64-491D-AAED-8C612ED796F7}" name="Column5066"/>
    <tableColumn id="5067" xr3:uid="{E7500B0A-4E7C-4CB3-9E62-BEDF5C8C1614}" name="Column5067"/>
    <tableColumn id="5068" xr3:uid="{8E468531-19C5-4E59-807F-3C066E8BC0A6}" name="Column5068"/>
    <tableColumn id="5069" xr3:uid="{8C88F60C-22B9-4C52-ABA0-3424C38B63EB}" name="Column5069"/>
    <tableColumn id="5070" xr3:uid="{A92A8A4A-2C7D-4365-9FD6-8298289FD0B1}" name="Column5070"/>
    <tableColumn id="5071" xr3:uid="{0925E55A-A296-417F-82CE-98BA986C6506}" name="Column5071"/>
    <tableColumn id="5072" xr3:uid="{D815EEF5-74E9-4C82-8E9A-6214877DA0BA}" name="Column5072"/>
    <tableColumn id="5073" xr3:uid="{985C4966-7D84-4150-BF12-51E35E68817A}" name="Column5073"/>
    <tableColumn id="5074" xr3:uid="{A8B3F851-0C1E-4894-8EE6-33710D295997}" name="Column5074"/>
    <tableColumn id="5075" xr3:uid="{2CF1F274-0931-44B3-B401-A24E97707A8E}" name="Column5075"/>
    <tableColumn id="5076" xr3:uid="{74FDE131-80A0-4CBF-8CA9-2F63CA0B9E9E}" name="Column5076"/>
    <tableColumn id="5077" xr3:uid="{509AD93F-2C8C-4388-BEF6-B24B945AA600}" name="Column5077"/>
    <tableColumn id="5078" xr3:uid="{2E1350BA-B4DC-46D4-BF5C-46C012F11377}" name="Column5078"/>
    <tableColumn id="5079" xr3:uid="{8D0BD977-EECC-4D28-A7A0-8354D25FCFEC}" name="Column5079"/>
    <tableColumn id="5080" xr3:uid="{4B19D395-4F01-4DBF-854D-9B7F96CE514C}" name="Column5080"/>
    <tableColumn id="5081" xr3:uid="{0937E5C0-85F0-41F2-947A-EF9A3BC0A9C5}" name="Column5081"/>
    <tableColumn id="5082" xr3:uid="{3718B181-4094-4E24-8E70-1F72ACFE8E57}" name="Column5082"/>
    <tableColumn id="5083" xr3:uid="{BEBBD5DA-7EC5-456A-882D-139A104E5FAD}" name="Column5083"/>
    <tableColumn id="5084" xr3:uid="{5BC0DB21-4A53-4C28-93AD-D8DF78FC485D}" name="Column5084"/>
    <tableColumn id="5085" xr3:uid="{788932BC-EC01-4F91-90A0-7281D3B30BBD}" name="Column5085"/>
    <tableColumn id="5086" xr3:uid="{4BE09DA0-7DEF-42F2-B0A6-9E0BFB8650BD}" name="Column5086"/>
    <tableColumn id="5087" xr3:uid="{472A056D-09E1-42A4-8A6E-6BF056507E8A}" name="Column5087"/>
    <tableColumn id="5088" xr3:uid="{988B7C56-C428-42BC-86BE-A9C68FF3D3BD}" name="Column5088"/>
    <tableColumn id="5089" xr3:uid="{F15205FA-BBC6-4889-BACC-59A219D13230}" name="Column5089"/>
    <tableColumn id="5090" xr3:uid="{4E28D612-E045-4E7B-9C88-6BFA20970FC1}" name="Column5090"/>
    <tableColumn id="5091" xr3:uid="{FF0A115E-6B98-43F5-B836-F047A0CF2191}" name="Column5091"/>
    <tableColumn id="5092" xr3:uid="{A444A687-B3CC-4FF5-B489-A91310FE0189}" name="Column5092"/>
    <tableColumn id="5093" xr3:uid="{C939A42B-F4C2-448E-A68C-B21E36B2565C}" name="Column5093"/>
    <tableColumn id="5094" xr3:uid="{477EF308-677F-4146-ADA7-22507B512C71}" name="Column5094"/>
    <tableColumn id="5095" xr3:uid="{BBC4F425-9A84-4754-BB27-092EB89B23A1}" name="Column5095"/>
    <tableColumn id="5096" xr3:uid="{C0FC5DA4-1671-444C-B52A-D9A59AEEFFBE}" name="Column5096"/>
    <tableColumn id="5097" xr3:uid="{54AA304E-F38A-4C2C-B259-96C1F488D33B}" name="Column5097"/>
    <tableColumn id="5098" xr3:uid="{1F02350C-DE9B-4023-8A71-CD3DED79F509}" name="Column5098"/>
    <tableColumn id="5099" xr3:uid="{32B00EF3-1942-46C6-BF52-D09FCEBD32F5}" name="Column5099"/>
    <tableColumn id="5100" xr3:uid="{E7B4C01E-FEA5-4018-9ADE-F02CC0ECBF08}" name="Column5100"/>
    <tableColumn id="5101" xr3:uid="{EA1289D1-8432-4621-973F-0A46E63D3533}" name="Column5101"/>
    <tableColumn id="5102" xr3:uid="{8D695829-1AC0-4A84-94E9-798F1162DD54}" name="Column5102"/>
    <tableColumn id="5103" xr3:uid="{4BC33CEB-3DBB-4F3F-A799-7F9C864E32B4}" name="Column5103"/>
    <tableColumn id="5104" xr3:uid="{0C70188E-EB5A-42DB-B9CD-3F2B6B9E078A}" name="Column5104"/>
    <tableColumn id="5105" xr3:uid="{DA9DE549-9532-44A0-AE11-C243C0CE066C}" name="Column5105"/>
    <tableColumn id="5106" xr3:uid="{CC064245-4B1C-424B-B9B7-5AA048AD1A92}" name="Column5106"/>
    <tableColumn id="5107" xr3:uid="{4F83FCB1-2C86-462D-9E61-1BC9C9AB9CEA}" name="Column5107"/>
    <tableColumn id="5108" xr3:uid="{78375536-D7E4-40D0-953C-DDBF1540093C}" name="Column5108"/>
    <tableColumn id="5109" xr3:uid="{3D96CB40-C105-4E50-ACC3-8EBF4DF03F74}" name="Column5109"/>
    <tableColumn id="5110" xr3:uid="{9A5E50C0-7F0A-4C2D-951C-967BF93C9CE9}" name="Column5110"/>
    <tableColumn id="5111" xr3:uid="{4E3A12B4-2843-44F0-81FC-460B47046F88}" name="Column5111"/>
    <tableColumn id="5112" xr3:uid="{5117B4D2-E66C-4E65-822C-621701D1ABB6}" name="Column5112"/>
    <tableColumn id="5113" xr3:uid="{26F1CC9C-D5CB-4E42-8373-DE80DEE6A3A7}" name="Column5113"/>
    <tableColumn id="5114" xr3:uid="{9E18648F-D916-4E2F-95DB-151A73D38F28}" name="Column5114"/>
    <tableColumn id="5115" xr3:uid="{1F71B674-4424-487C-9F3E-74605295BDE6}" name="Column5115"/>
    <tableColumn id="5116" xr3:uid="{4E5C54D8-D9B1-4CA9-98EE-9414BDD389F5}" name="Column5116"/>
    <tableColumn id="5117" xr3:uid="{2BE1D3F6-ECB4-4BA1-8632-46BEDD275F9B}" name="Column5117"/>
    <tableColumn id="5118" xr3:uid="{E9174E8A-3AAB-46C0-8E4E-8718611DAD32}" name="Column5118"/>
    <tableColumn id="5119" xr3:uid="{622B89E2-46F1-4D78-BD97-7568BE399AA8}" name="Column5119"/>
    <tableColumn id="5120" xr3:uid="{8203A64A-B132-4D2C-BDE0-233B3D88ED7C}" name="Column5120"/>
    <tableColumn id="5121" xr3:uid="{2C8AA51D-2EFC-4EE3-9624-19BD82B2C650}" name="Column5121"/>
    <tableColumn id="5122" xr3:uid="{E2807164-CFA8-49BA-BCC9-A4FFC42627DB}" name="Column5122"/>
    <tableColumn id="5123" xr3:uid="{95CF46A3-909A-4D53-A9E9-CC0337026EE5}" name="Column5123"/>
    <tableColumn id="5124" xr3:uid="{2F09B090-0AE8-444B-A456-9B70DC64646F}" name="Column5124"/>
    <tableColumn id="5125" xr3:uid="{DD4770FD-F5F5-409A-B2E9-4C3649E34453}" name="Column5125"/>
    <tableColumn id="5126" xr3:uid="{74F4F49F-9E68-4341-BE80-0D6B1DF0CEFA}" name="Column5126"/>
    <tableColumn id="5127" xr3:uid="{2E9EE7D4-633A-4CE3-8F57-40DF85403374}" name="Column5127"/>
    <tableColumn id="5128" xr3:uid="{3A97C27E-4ACF-497D-A3D7-1EA01418C4D7}" name="Column5128"/>
    <tableColumn id="5129" xr3:uid="{246CC501-ED79-466D-BCB0-D00808BDB0D9}" name="Column5129"/>
    <tableColumn id="5130" xr3:uid="{1B11A94B-EFBE-487B-9C60-DC4F6506575F}" name="Column5130"/>
    <tableColumn id="5131" xr3:uid="{7C660CC4-E2D0-41C9-83B9-44341E8E6071}" name="Column5131"/>
    <tableColumn id="5132" xr3:uid="{01A17B7C-9AA5-46D3-88CE-B094DB92893D}" name="Column5132"/>
    <tableColumn id="5133" xr3:uid="{DF5D5EFD-BFD0-4CED-8C90-5DA1798CA247}" name="Column5133"/>
    <tableColumn id="5134" xr3:uid="{950C18CB-7958-44BE-AF47-D47BCF4A9D66}" name="Column5134"/>
    <tableColumn id="5135" xr3:uid="{198D22F3-1957-430E-960E-A9E1D7DB368D}" name="Column5135"/>
    <tableColumn id="5136" xr3:uid="{3F86EED1-80F7-4A9E-BB6F-392F67F4CC98}" name="Column5136"/>
    <tableColumn id="5137" xr3:uid="{5A29CABF-116B-4162-A73C-E6EC4161E7C0}" name="Column5137"/>
    <tableColumn id="5138" xr3:uid="{042ED330-AB37-4374-B196-FBBE07DBC696}" name="Column5138"/>
    <tableColumn id="5139" xr3:uid="{7C7A0F75-31D0-464C-A085-48E2B214955E}" name="Column5139"/>
    <tableColumn id="5140" xr3:uid="{E72B7249-FD84-4117-A5CA-1C19175BCAD0}" name="Column5140"/>
    <tableColumn id="5141" xr3:uid="{A4A47E83-65EB-4960-8641-79E173FE3328}" name="Column5141"/>
    <tableColumn id="5142" xr3:uid="{61F1E400-A1A5-45DC-B59D-9BDAA217A980}" name="Column5142"/>
    <tableColumn id="5143" xr3:uid="{995DB2E9-CF4F-462E-A1D0-E5E01D2F5CDE}" name="Column5143"/>
    <tableColumn id="5144" xr3:uid="{41B84C9D-B6AD-42EC-84EE-84D899A2C610}" name="Column5144"/>
    <tableColumn id="5145" xr3:uid="{F874884A-6C85-4091-A224-2786FF57AEFB}" name="Column5145"/>
    <tableColumn id="5146" xr3:uid="{CFDCD76C-FE4E-4816-B7D6-BFF60F741F56}" name="Column5146"/>
    <tableColumn id="5147" xr3:uid="{F529D96F-BA1B-4B3F-A551-5E9432F72BFC}" name="Column5147"/>
    <tableColumn id="5148" xr3:uid="{901C3AC3-0667-4220-9E5E-3E9A4540461F}" name="Column5148"/>
    <tableColumn id="5149" xr3:uid="{53E9876D-7ED3-4321-BE78-405BFA45A917}" name="Column5149"/>
    <tableColumn id="5150" xr3:uid="{015B7AFE-0C37-43D1-B5D1-868646A06CE9}" name="Column5150"/>
    <tableColumn id="5151" xr3:uid="{215EC0AD-9341-4051-B611-28FDF68F3831}" name="Column5151"/>
    <tableColumn id="5152" xr3:uid="{175B8FC7-4FBF-40E4-81B1-01E5335172AC}" name="Column5152"/>
    <tableColumn id="5153" xr3:uid="{552E8546-2049-4EE6-B63C-170855CC0020}" name="Column5153"/>
    <tableColumn id="5154" xr3:uid="{C3D22DCF-1498-4E16-87C2-57149BBDFD15}" name="Column5154"/>
    <tableColumn id="5155" xr3:uid="{971DD761-050B-4922-93F1-4942E276298C}" name="Column5155"/>
    <tableColumn id="5156" xr3:uid="{E57863F4-2BDA-4504-80F4-2BC3FEE70BA6}" name="Column5156"/>
    <tableColumn id="5157" xr3:uid="{883D0617-FD2A-44DA-85A6-2DEB30AB6D85}" name="Column5157"/>
    <tableColumn id="5158" xr3:uid="{491192F7-3E58-4189-86A9-536AC4CA544E}" name="Column5158"/>
    <tableColumn id="5159" xr3:uid="{551127D3-5FAD-426A-8EF8-5D2FD13F56B9}" name="Column5159"/>
    <tableColumn id="5160" xr3:uid="{AB1A093E-12EA-4DA7-81A1-03E92F26A257}" name="Column5160"/>
    <tableColumn id="5161" xr3:uid="{821EB8EF-D26E-481A-B5A6-67E45CCB0550}" name="Column5161"/>
    <tableColumn id="5162" xr3:uid="{0B50BCC8-9FF7-4E0E-A8CB-16D6861335CD}" name="Column5162"/>
    <tableColumn id="5163" xr3:uid="{EA1B01B9-02D1-4889-BBDF-F3469B8813C5}" name="Column5163"/>
    <tableColumn id="5164" xr3:uid="{164958B5-0451-4609-8D0B-7B960B4FBED4}" name="Column5164"/>
    <tableColumn id="5165" xr3:uid="{F507C771-5C16-4E42-81C6-E330EDA3C3FF}" name="Column5165"/>
    <tableColumn id="5166" xr3:uid="{AAF6A45E-45D7-4F21-8826-09A32150B91B}" name="Column5166"/>
    <tableColumn id="5167" xr3:uid="{5EB9A47D-13FF-4568-9C1B-DB31232C7D8C}" name="Column5167"/>
    <tableColumn id="5168" xr3:uid="{81834F37-4A98-4E44-A034-66B7F23C19EB}" name="Column5168"/>
    <tableColumn id="5169" xr3:uid="{F5D212EB-4015-41EF-8062-715D4AA9E3F2}" name="Column5169"/>
    <tableColumn id="5170" xr3:uid="{14ACD3AC-0200-4FCB-BCF6-34646859BBF2}" name="Column5170"/>
    <tableColumn id="5171" xr3:uid="{EAEDAB90-F929-4678-8098-07E66B306B6C}" name="Column5171"/>
    <tableColumn id="5172" xr3:uid="{3B8F7D90-ED79-4A69-8637-408AD3AA0780}" name="Column5172"/>
    <tableColumn id="5173" xr3:uid="{DB971F51-B060-407A-9944-0F1263C699D9}" name="Column5173"/>
    <tableColumn id="5174" xr3:uid="{5D1F147A-F568-4012-979A-E7C0D08E3B58}" name="Column5174"/>
    <tableColumn id="5175" xr3:uid="{AAC53AF5-0752-43F9-9B94-93B0BB8C7570}" name="Column5175"/>
    <tableColumn id="5176" xr3:uid="{988576FD-EB79-4E17-8B6C-5C55806C7156}" name="Column5176"/>
    <tableColumn id="5177" xr3:uid="{AB1A14AE-8A2C-4F1E-BFBD-9746E427C067}" name="Column5177"/>
    <tableColumn id="5178" xr3:uid="{86CEF85C-8634-4A51-AC52-A24DC7501B8B}" name="Column5178"/>
    <tableColumn id="5179" xr3:uid="{9E802650-112C-4570-9FF9-F2027BC7A920}" name="Column5179"/>
    <tableColumn id="5180" xr3:uid="{30E3F7EF-4286-49E0-9920-FDF02439A8FE}" name="Column5180"/>
    <tableColumn id="5181" xr3:uid="{10B005D6-2536-47BC-9BA0-66A5A4476E67}" name="Column5181"/>
    <tableColumn id="5182" xr3:uid="{B4C46FC8-4E84-4184-9DD8-80AAEC1763DD}" name="Column5182"/>
    <tableColumn id="5183" xr3:uid="{A059B0E1-6B11-46A3-8004-5AC4B1C0A43E}" name="Column5183"/>
    <tableColumn id="5184" xr3:uid="{C3B25051-49B9-4704-B05F-960393F1617A}" name="Column5184"/>
    <tableColumn id="5185" xr3:uid="{818BBE46-0388-451B-B391-24BB06379328}" name="Column5185"/>
    <tableColumn id="5186" xr3:uid="{8F8978F0-AD23-408C-A78D-B32203EA2FE9}" name="Column5186"/>
    <tableColumn id="5187" xr3:uid="{CE7DB8C9-609E-485E-89DF-4ADA2A8449E1}" name="Column5187"/>
    <tableColumn id="5188" xr3:uid="{55C3BD74-AFCB-42B5-820F-CB2F71D30414}" name="Column5188"/>
    <tableColumn id="5189" xr3:uid="{C2FB1E12-1876-49B4-96EB-10F03944A7A4}" name="Column5189"/>
    <tableColumn id="5190" xr3:uid="{380BB5F8-BA2A-4F3C-B450-1256F350CFA3}" name="Column5190"/>
    <tableColumn id="5191" xr3:uid="{2500DE33-E6BA-4B29-8D1B-8D45D099A05B}" name="Column5191"/>
    <tableColumn id="5192" xr3:uid="{6311049D-3FFD-43D3-BA3A-449730DFDFF0}" name="Column5192"/>
    <tableColumn id="5193" xr3:uid="{AB2986EF-B29A-427E-BE45-E495CF811B82}" name="Column5193"/>
    <tableColumn id="5194" xr3:uid="{5DC516E6-F938-4073-8BC9-B9484442683D}" name="Column5194"/>
    <tableColumn id="5195" xr3:uid="{EFD98AA1-53D5-4563-8181-79144C35485D}" name="Column5195"/>
    <tableColumn id="5196" xr3:uid="{ECE39B39-730F-446E-A195-FD6C02D886A2}" name="Column5196"/>
    <tableColumn id="5197" xr3:uid="{73C3BEC3-8A1D-4039-BE54-45F7018ED275}" name="Column5197"/>
    <tableColumn id="5198" xr3:uid="{7A5353A0-1486-4652-824B-C5B51D5F0CB1}" name="Column5198"/>
    <tableColumn id="5199" xr3:uid="{B149E96B-809B-4A82-91AC-01F68FCF7EE4}" name="Column5199"/>
    <tableColumn id="5200" xr3:uid="{CFCFE695-6286-4637-8FD3-A948F0E9A76F}" name="Column5200"/>
    <tableColumn id="5201" xr3:uid="{97594E3A-49F8-4493-B844-B17D3ECC5BBC}" name="Column5201"/>
    <tableColumn id="5202" xr3:uid="{D26DCDAA-9B49-49DB-B461-EB05994F2CC1}" name="Column5202"/>
    <tableColumn id="5203" xr3:uid="{E85D915E-4691-4077-917D-2093A46CBD72}" name="Column5203"/>
    <tableColumn id="5204" xr3:uid="{9BB3CBCC-9578-40F3-826A-6B82F1B913EA}" name="Column5204"/>
    <tableColumn id="5205" xr3:uid="{E8CF5788-4553-4F20-8F46-E83E26067F05}" name="Column5205"/>
    <tableColumn id="5206" xr3:uid="{CA946A8E-4FE8-46C3-91FE-FB49B6AC9503}" name="Column5206"/>
    <tableColumn id="5207" xr3:uid="{74A04C49-F0C6-4F86-9F3E-030D7B8D9B13}" name="Column5207"/>
    <tableColumn id="5208" xr3:uid="{7BAB9618-0863-439E-9E20-5A705F3B73EA}" name="Column5208"/>
    <tableColumn id="5209" xr3:uid="{A30B4245-91D8-4A90-9ECE-D34AE3BF8661}" name="Column5209"/>
    <tableColumn id="5210" xr3:uid="{979B474E-A97C-450E-8AB0-32B3D0F56EF2}" name="Column5210"/>
    <tableColumn id="5211" xr3:uid="{F01135F9-E900-4CF0-BADF-F05AF44845F4}" name="Column5211"/>
    <tableColumn id="5212" xr3:uid="{2B847667-0088-40F0-B404-AB4FA68F43EB}" name="Column5212"/>
    <tableColumn id="5213" xr3:uid="{3904270D-EE38-48F9-AE49-69964C6011E1}" name="Column5213"/>
    <tableColumn id="5214" xr3:uid="{A4A63D93-D7EC-47AE-87D3-8EF3613C526E}" name="Column5214"/>
    <tableColumn id="5215" xr3:uid="{A1356A06-DEDC-4147-AEF8-F6B63AFA873C}" name="Column5215"/>
    <tableColumn id="5216" xr3:uid="{6AE6D7FF-079D-41D9-8463-7C478AACECA0}" name="Column5216"/>
    <tableColumn id="5217" xr3:uid="{DE654288-F37C-4603-A6F1-DE37E538469A}" name="Column5217"/>
    <tableColumn id="5218" xr3:uid="{863FA362-70E5-49A7-9533-C52EC4DF49ED}" name="Column5218"/>
    <tableColumn id="5219" xr3:uid="{DA3A92A3-403E-454B-A144-E401AEFD80EE}" name="Column5219"/>
    <tableColumn id="5220" xr3:uid="{80635BDA-9561-4207-9A95-B8EA907745AD}" name="Column5220"/>
    <tableColumn id="5221" xr3:uid="{539D9EEA-2006-4D9B-AB47-6F6CDE5AEBA8}" name="Column5221"/>
    <tableColumn id="5222" xr3:uid="{9F13A127-A340-43EE-9DEC-C83B401D352A}" name="Column5222"/>
    <tableColumn id="5223" xr3:uid="{E82E1E01-06B1-4B3E-AD96-60FD0F2E8010}" name="Column5223"/>
    <tableColumn id="5224" xr3:uid="{A842E2D3-6517-47FE-94E4-0CEADB20426D}" name="Column5224"/>
    <tableColumn id="5225" xr3:uid="{4517896C-CE58-4F17-A446-0AF0566BA86E}" name="Column5225"/>
    <tableColumn id="5226" xr3:uid="{A4C12A31-91E1-4B28-ACAE-00B5ADE4110D}" name="Column5226"/>
    <tableColumn id="5227" xr3:uid="{F629EBEE-5546-426C-92C7-C890EB953329}" name="Column5227"/>
    <tableColumn id="5228" xr3:uid="{A1850B46-BBEC-4348-96F0-50577D08C863}" name="Column5228"/>
    <tableColumn id="5229" xr3:uid="{1C4B5780-0698-4944-8817-EDCEB670BA23}" name="Column5229"/>
    <tableColumn id="5230" xr3:uid="{3F44D507-53F8-4313-ABA5-83675D9BC1F9}" name="Column5230"/>
    <tableColumn id="5231" xr3:uid="{329C226B-1D17-4157-AA4F-E2445F745516}" name="Column5231"/>
    <tableColumn id="5232" xr3:uid="{7FF21969-F9C4-452D-AAD6-BFBA29878A15}" name="Column5232"/>
    <tableColumn id="5233" xr3:uid="{62F7E183-6832-440F-A756-53DCCDCDC52D}" name="Column5233"/>
    <tableColumn id="5234" xr3:uid="{4B978AC8-79FB-42C4-A6A5-C780506A65A3}" name="Column5234"/>
    <tableColumn id="5235" xr3:uid="{6EA650EB-1691-4549-A8D4-52CAEFE713D0}" name="Column5235"/>
    <tableColumn id="5236" xr3:uid="{114CB434-11AB-4122-9823-2C0EAB062F0D}" name="Column5236"/>
    <tableColumn id="5237" xr3:uid="{008354B9-AA78-43AF-A4A2-512F3A21B7FA}" name="Column5237"/>
    <tableColumn id="5238" xr3:uid="{D42212EB-CEC7-4166-8CDE-B8A517362233}" name="Column5238"/>
    <tableColumn id="5239" xr3:uid="{4783EE74-31FE-4C85-9585-C9085C098DF9}" name="Column5239"/>
    <tableColumn id="5240" xr3:uid="{3E669A12-D6DB-48FA-BDDE-5A7B10214650}" name="Column5240"/>
    <tableColumn id="5241" xr3:uid="{C128B02F-E976-48EB-9077-851D500A8F5A}" name="Column5241"/>
    <tableColumn id="5242" xr3:uid="{7EC1EAAD-4C63-4FB1-BB76-D2FA5F5EDFF9}" name="Column5242"/>
    <tableColumn id="5243" xr3:uid="{B46C7A48-55B9-4DCA-9C0B-8835A09B87BA}" name="Column5243"/>
    <tableColumn id="5244" xr3:uid="{31937C49-D64C-4937-B3D7-A7ABB9F3CBCD}" name="Column5244"/>
    <tableColumn id="5245" xr3:uid="{CD14637E-CA91-4CC6-8792-6438ED68087A}" name="Column5245"/>
    <tableColumn id="5246" xr3:uid="{A66AE7C4-6CE9-49F0-B768-238A68B46226}" name="Column5246"/>
    <tableColumn id="5247" xr3:uid="{F38DC7FE-CF8D-47B2-9088-995A0E180778}" name="Column5247"/>
    <tableColumn id="5248" xr3:uid="{805304D1-50E9-44F0-97A2-379B5FD76C25}" name="Column5248"/>
    <tableColumn id="5249" xr3:uid="{F15E8400-58BF-4444-AE92-19864B66FFFF}" name="Column5249"/>
    <tableColumn id="5250" xr3:uid="{D1189B7A-6AEE-4CD6-8F5A-BEF5D2D1F5B3}" name="Column5250"/>
    <tableColumn id="5251" xr3:uid="{82DBA713-C0CD-493C-8EA9-719C2A8C000F}" name="Column5251"/>
    <tableColumn id="5252" xr3:uid="{E8120755-806B-4603-AA7E-7D84C027AA1E}" name="Column5252"/>
    <tableColumn id="5253" xr3:uid="{9EE5DE8D-6285-4B73-954E-A19B8B5C6E96}" name="Column5253"/>
    <tableColumn id="5254" xr3:uid="{9843A3AB-BA6E-4B89-BBF3-48B533812221}" name="Column5254"/>
    <tableColumn id="5255" xr3:uid="{1331A812-0103-46B6-8805-541E44DF29BD}" name="Column5255"/>
    <tableColumn id="5256" xr3:uid="{53E8AA59-6959-43A4-A947-6799C6455781}" name="Column5256"/>
    <tableColumn id="5257" xr3:uid="{99E6FD1E-7084-4DDB-9AB5-BC050E2EA85E}" name="Column5257"/>
    <tableColumn id="5258" xr3:uid="{756F2673-8E31-4511-92E3-98F9823B6684}" name="Column5258"/>
    <tableColumn id="5259" xr3:uid="{E5C7BEC8-B716-4E2F-982B-3D68113CAFC6}" name="Column5259"/>
    <tableColumn id="5260" xr3:uid="{74B47A21-7C14-4CB3-B4D4-649AD3B52AE4}" name="Column5260"/>
    <tableColumn id="5261" xr3:uid="{04C1B917-389F-4C5D-8BEA-DBAFC470F13F}" name="Column5261"/>
    <tableColumn id="5262" xr3:uid="{10042B68-3CA4-4911-8265-ECAD068C2B37}" name="Column5262"/>
    <tableColumn id="5263" xr3:uid="{845F77A0-AA10-408D-8B31-A41C2C7A2145}" name="Column5263"/>
    <tableColumn id="5264" xr3:uid="{6B0BC0BB-D517-4BEC-AA71-837D7C21ABB5}" name="Column5264"/>
    <tableColumn id="5265" xr3:uid="{CBDB8F93-58F3-48AD-9657-41225C4DB241}" name="Column5265"/>
    <tableColumn id="5266" xr3:uid="{CD5585D5-8D25-4079-AA17-2C78D6A5BF46}" name="Column5266"/>
    <tableColumn id="5267" xr3:uid="{F2F085CF-062F-42D9-9C92-F63F96BD55FF}" name="Column5267"/>
    <tableColumn id="5268" xr3:uid="{B55A4C07-67FE-4639-B419-2163ED36909F}" name="Column5268"/>
    <tableColumn id="5269" xr3:uid="{79E7C38D-1432-4393-B8EB-9C63EBE7B63E}" name="Column5269"/>
    <tableColumn id="5270" xr3:uid="{8EDBB97A-5856-492D-959C-402AB2FFB3F4}" name="Column5270"/>
    <tableColumn id="5271" xr3:uid="{7BD67901-6ED7-4B33-A8CF-FE9CE469744D}" name="Column5271"/>
    <tableColumn id="5272" xr3:uid="{1CA6CED4-41A3-4408-962A-22A78D12CB9C}" name="Column5272"/>
    <tableColumn id="5273" xr3:uid="{007DB75C-8032-4C28-8919-736BB2790798}" name="Column5273"/>
    <tableColumn id="5274" xr3:uid="{4A63C939-3CA7-4FB5-85BF-77433CE6F5DE}" name="Column5274"/>
    <tableColumn id="5275" xr3:uid="{018477DF-4DEC-47B1-8768-548289CDFE4F}" name="Column5275"/>
    <tableColumn id="5276" xr3:uid="{210EB1B4-5F92-43C1-B14B-213EE274EB37}" name="Column5276"/>
    <tableColumn id="5277" xr3:uid="{9B70AC6D-9DED-4596-8AD6-9DF5DC93F3CA}" name="Column5277"/>
    <tableColumn id="5278" xr3:uid="{F34640B1-8D68-4376-A8EC-C9F9EE2586B9}" name="Column5278"/>
    <tableColumn id="5279" xr3:uid="{14A0AD43-CAA0-4601-A1B5-47434DFDD1BC}" name="Column5279"/>
    <tableColumn id="5280" xr3:uid="{A6151416-71BC-4D39-B24F-AA1750FE0229}" name="Column5280"/>
    <tableColumn id="5281" xr3:uid="{DEB26FE2-40F8-4687-BB62-6DA33DFD4A4C}" name="Column5281"/>
    <tableColumn id="5282" xr3:uid="{9946FEB9-E6D7-4601-BF21-E7B987000937}" name="Column5282"/>
    <tableColumn id="5283" xr3:uid="{38E94C09-4FEA-4D2F-8142-A2DE5FDAAAEA}" name="Column5283"/>
    <tableColumn id="5284" xr3:uid="{7F244BCA-7A02-4ED0-9E45-4C516F199F8F}" name="Column5284"/>
    <tableColumn id="5285" xr3:uid="{6B629A1F-295E-4C83-8EA1-98C9E698467C}" name="Column5285"/>
    <tableColumn id="5286" xr3:uid="{77D444AD-D0E9-4BC7-8D8A-E9BB1DCA8889}" name="Column5286"/>
    <tableColumn id="5287" xr3:uid="{DB0EEDC9-15D1-415E-832E-C1012BA9D72C}" name="Column5287"/>
    <tableColumn id="5288" xr3:uid="{E8DD7004-56FA-4DF1-B837-440229A576B8}" name="Column5288"/>
    <tableColumn id="5289" xr3:uid="{73854193-4633-4540-8548-F591D754C2BD}" name="Column5289"/>
    <tableColumn id="5290" xr3:uid="{D7BEF005-9B76-42EE-B02B-EA7FB491E8AD}" name="Column5290"/>
    <tableColumn id="5291" xr3:uid="{B21A52E9-4D3E-4DB6-B3AE-2A5BEEEE5503}" name="Column5291"/>
    <tableColumn id="5292" xr3:uid="{9AA3B014-B55A-4465-8C87-4002DD35919A}" name="Column5292"/>
    <tableColumn id="5293" xr3:uid="{EF971E59-B622-42B7-BC80-0A0A0998B7B2}" name="Column5293"/>
    <tableColumn id="5294" xr3:uid="{E92F3F36-4876-49AD-ADC4-FB573396A2E0}" name="Column5294"/>
    <tableColumn id="5295" xr3:uid="{89622496-4407-48CF-A1EE-DF8B4E62D613}" name="Column5295"/>
    <tableColumn id="5296" xr3:uid="{8207C404-5438-460A-A908-48F88B4B38C2}" name="Column5296"/>
    <tableColumn id="5297" xr3:uid="{723C49F8-0A3C-4DBE-970A-6092D11762C2}" name="Column5297"/>
    <tableColumn id="5298" xr3:uid="{FEAEF2FF-24EB-42D6-8A28-E6528EA265A6}" name="Column5298"/>
    <tableColumn id="5299" xr3:uid="{33D341A1-5B16-4A29-8A79-B950E28571F0}" name="Column5299"/>
    <tableColumn id="5300" xr3:uid="{624C63B8-6E2F-4790-B0B6-9DC6C2C14B3D}" name="Column5300"/>
    <tableColumn id="5301" xr3:uid="{79334B81-F0FE-4055-8A51-A26D5C100A29}" name="Column5301"/>
    <tableColumn id="5302" xr3:uid="{35A80D10-A572-40C6-A892-DA943B43251E}" name="Column5302"/>
    <tableColumn id="5303" xr3:uid="{B13381DE-0840-4245-ADF1-5D48BE24AFC5}" name="Column5303"/>
    <tableColumn id="5304" xr3:uid="{B563CB52-6B0D-4FA7-898E-6B97B7F3B752}" name="Column5304"/>
    <tableColumn id="5305" xr3:uid="{89CE7ADA-F03B-4CD4-B4F0-3BAAEE933BDE}" name="Column5305"/>
    <tableColumn id="5306" xr3:uid="{A8D9D937-427F-4687-A6F1-2CAF32FBDF3F}" name="Column5306"/>
    <tableColumn id="5307" xr3:uid="{0DABF355-142E-4313-9CED-6C7A6E8AE86D}" name="Column5307"/>
    <tableColumn id="5308" xr3:uid="{F9746C63-BE9D-4F41-8C58-7B52D9FE65A4}" name="Column5308"/>
    <tableColumn id="5309" xr3:uid="{BD0E4A92-2962-4A32-B6A8-C195642032D3}" name="Column5309"/>
    <tableColumn id="5310" xr3:uid="{51AA2F83-5731-4BC0-91D4-7EDB9007B33E}" name="Column5310"/>
    <tableColumn id="5311" xr3:uid="{5C421FC0-6B02-4560-AFB6-F3DB5E2E2984}" name="Column5311"/>
    <tableColumn id="5312" xr3:uid="{21B02305-DEEC-4947-B40D-1D94A108A533}" name="Column5312"/>
    <tableColumn id="5313" xr3:uid="{F0CC2D5D-64D9-458B-9BAE-0A7171EC417E}" name="Column5313"/>
    <tableColumn id="5314" xr3:uid="{5B349A1F-A4BC-4B82-AB69-9D192F727CA2}" name="Column5314"/>
    <tableColumn id="5315" xr3:uid="{0A609D92-C089-42BD-9E86-F3D238310EA0}" name="Column5315"/>
    <tableColumn id="5316" xr3:uid="{A9E3B9F2-50E5-48F0-84B6-1B1FD822A1B3}" name="Column5316"/>
    <tableColumn id="5317" xr3:uid="{F06D4594-392C-4417-B873-3D8907E25F0B}" name="Column5317"/>
    <tableColumn id="5318" xr3:uid="{97458E4C-B2F9-43FF-975E-98F34DDA9F6A}" name="Column5318"/>
    <tableColumn id="5319" xr3:uid="{D5FFED73-1E95-4C5C-9896-055A2D4692AC}" name="Column5319"/>
    <tableColumn id="5320" xr3:uid="{201CBBFB-4604-4EFC-BF7A-0ABF4319E51D}" name="Column5320"/>
    <tableColumn id="5321" xr3:uid="{54D15638-EADF-4CBD-BBE4-27BC33DA6372}" name="Column5321"/>
    <tableColumn id="5322" xr3:uid="{B3C24D80-8BA4-4084-9F06-25CA1EE727B2}" name="Column5322"/>
    <tableColumn id="5323" xr3:uid="{85B939FF-5A2A-4371-B068-79CBDADE2557}" name="Column5323"/>
    <tableColumn id="5324" xr3:uid="{F37F560B-5157-4FDF-9E3A-740AD3D59BA0}" name="Column5324"/>
    <tableColumn id="5325" xr3:uid="{23CD578A-5490-4591-BDE6-F82C04BCDA5C}" name="Column5325"/>
    <tableColumn id="5326" xr3:uid="{528430AE-AB50-4876-901A-1A046D24B375}" name="Column5326"/>
    <tableColumn id="5327" xr3:uid="{E5C4DE1F-99B3-4C9A-94DC-7CE6AB2B7C09}" name="Column5327"/>
    <tableColumn id="5328" xr3:uid="{0B5CCC70-E491-4BED-8BE6-EF32E8B7DA4B}" name="Column5328"/>
    <tableColumn id="5329" xr3:uid="{1C7EE591-F461-4A05-AC0C-085805EA655B}" name="Column5329"/>
    <tableColumn id="5330" xr3:uid="{D0E167B6-3F80-4E05-9188-9EB580A15BC3}" name="Column5330"/>
    <tableColumn id="5331" xr3:uid="{E3B52E15-63B5-48C1-A87E-AB9A6DFA86F9}" name="Column5331"/>
    <tableColumn id="5332" xr3:uid="{1E26A81F-10D3-479C-9969-82E225A10692}" name="Column5332"/>
    <tableColumn id="5333" xr3:uid="{CDC2E59E-58BC-4AC2-879F-389830935104}" name="Column5333"/>
    <tableColumn id="5334" xr3:uid="{CFAA792D-10A3-417C-BA46-9D13FF8DCF10}" name="Column5334"/>
    <tableColumn id="5335" xr3:uid="{5C0CF946-6465-4243-B23C-FB655123536D}" name="Column5335"/>
    <tableColumn id="5336" xr3:uid="{D017E072-2FAF-478E-8681-EE550B04B743}" name="Column5336"/>
    <tableColumn id="5337" xr3:uid="{36C43690-F0C3-4030-A313-B86FA92BF374}" name="Column5337"/>
    <tableColumn id="5338" xr3:uid="{41265A82-4368-4097-A602-FB609C7E4CCB}" name="Column5338"/>
    <tableColumn id="5339" xr3:uid="{92BF3CC3-15E0-4941-B8F3-161416D3A50A}" name="Column5339"/>
    <tableColumn id="5340" xr3:uid="{481FBEDE-7B6C-4865-998A-F21C7E2095B9}" name="Column5340"/>
    <tableColumn id="5341" xr3:uid="{8473EBDA-F143-463C-8C67-29EA612DDCB6}" name="Column5341"/>
    <tableColumn id="5342" xr3:uid="{C4DCCF0C-7480-4166-92E8-DBC2D245824B}" name="Column5342"/>
    <tableColumn id="5343" xr3:uid="{439E5642-F00A-49A9-8D84-108A428D84E3}" name="Column5343"/>
    <tableColumn id="5344" xr3:uid="{2D200507-126B-4115-B313-193964B4BC14}" name="Column5344"/>
    <tableColumn id="5345" xr3:uid="{338AC8CC-A1BE-47B9-8671-DA164D6453F7}" name="Column5345"/>
    <tableColumn id="5346" xr3:uid="{C75B8874-9B39-41AE-91A8-4316444042E7}" name="Column5346"/>
    <tableColumn id="5347" xr3:uid="{C34DBEE1-30C5-4752-8FC9-1C320B4F9FB1}" name="Column5347"/>
    <tableColumn id="5348" xr3:uid="{52A6185B-770A-4A31-A153-6DB491AAD95A}" name="Column5348"/>
    <tableColumn id="5349" xr3:uid="{62A34893-D60F-4DAD-8295-F283D7D64784}" name="Column5349"/>
    <tableColumn id="5350" xr3:uid="{05D4026A-7A69-4024-B83A-6FCDFF5775BE}" name="Column5350"/>
    <tableColumn id="5351" xr3:uid="{09DD7EB5-7158-42D2-B34A-1F2323B66334}" name="Column5351"/>
    <tableColumn id="5352" xr3:uid="{8F6166E6-CB95-47D0-8C14-81A2DABB9CDE}" name="Column5352"/>
    <tableColumn id="5353" xr3:uid="{1E0C76DD-28D8-42E4-842E-491C7ABC132F}" name="Column5353"/>
    <tableColumn id="5354" xr3:uid="{2AEB2DCD-A6A8-4533-AC6A-E31E8255F964}" name="Column5354"/>
    <tableColumn id="5355" xr3:uid="{EB94C9F3-25DD-4323-9361-96CB37D9332A}" name="Column5355"/>
    <tableColumn id="5356" xr3:uid="{4B725C4C-0858-4558-8622-3463E840579D}" name="Column5356"/>
    <tableColumn id="5357" xr3:uid="{4E019062-41DB-4060-B73F-FD9257B4CDD2}" name="Column5357"/>
    <tableColumn id="5358" xr3:uid="{6E742928-91E7-49C9-AD07-86A5A4E3EA57}" name="Column5358"/>
    <tableColumn id="5359" xr3:uid="{F093B0B9-3F2C-482B-BDBB-C170D99ED227}" name="Column5359"/>
    <tableColumn id="5360" xr3:uid="{6F903D16-0526-43FE-99B7-69A1A67B46AF}" name="Column5360"/>
    <tableColumn id="5361" xr3:uid="{D61B56E5-2999-4118-B50F-92A9C77B762A}" name="Column5361"/>
    <tableColumn id="5362" xr3:uid="{8918314C-B6F0-4E72-A8ED-57EDCF78755D}" name="Column5362"/>
    <tableColumn id="5363" xr3:uid="{7D94F04F-8223-4C54-89C7-0002D83F1B17}" name="Column5363"/>
    <tableColumn id="5364" xr3:uid="{7EA52052-B7F3-4E6D-BE58-DF584AA02C84}" name="Column5364"/>
    <tableColumn id="5365" xr3:uid="{1DB68237-248B-4D18-A147-C7E86FACB2AB}" name="Column5365"/>
    <tableColumn id="5366" xr3:uid="{95DE0031-C32E-4C3B-898B-9DF46113A32A}" name="Column5366"/>
    <tableColumn id="5367" xr3:uid="{092D16C8-013F-4E46-814A-BEA9D1C07E5E}" name="Column5367"/>
    <tableColumn id="5368" xr3:uid="{4DA8C199-7F38-4E07-95FF-AA6EC99AF8A0}" name="Column5368"/>
    <tableColumn id="5369" xr3:uid="{79D1C515-2B83-43E1-90B7-955199BF2739}" name="Column5369"/>
    <tableColumn id="5370" xr3:uid="{F96B20FF-F5C3-4990-9A9A-B0075042C410}" name="Column5370"/>
    <tableColumn id="5371" xr3:uid="{982DEA4A-7A6E-404E-86B6-CF7E9070017B}" name="Column5371"/>
    <tableColumn id="5372" xr3:uid="{4D4B0417-09AC-4A52-89DC-EA5266BE2246}" name="Column5372"/>
    <tableColumn id="5373" xr3:uid="{8598A0D6-59C3-4055-BF7C-030F4FAFA168}" name="Column5373"/>
    <tableColumn id="5374" xr3:uid="{47241F26-1A62-4978-B877-BD623777C017}" name="Column5374"/>
    <tableColumn id="5375" xr3:uid="{00716F4F-EDCC-4CC0-9F43-4526F056C61A}" name="Column5375"/>
    <tableColumn id="5376" xr3:uid="{DFF9D515-93F8-401B-A72F-C3D02D14F52F}" name="Column5376"/>
    <tableColumn id="5377" xr3:uid="{93B9F429-C313-4D4D-B9BB-B7269231C348}" name="Column5377"/>
    <tableColumn id="5378" xr3:uid="{34DE9FC9-F8B5-4D2A-A576-D2B3A78E84B7}" name="Column5378"/>
    <tableColumn id="5379" xr3:uid="{52CE6288-A7B5-4145-B3AB-C2743B9BD7AC}" name="Column5379"/>
    <tableColumn id="5380" xr3:uid="{B3A98B12-4BB3-47FF-9182-BA04CAD49AEB}" name="Column5380"/>
    <tableColumn id="5381" xr3:uid="{8B6A427D-B88D-46AE-834B-83B41F4E0919}" name="Column5381"/>
    <tableColumn id="5382" xr3:uid="{E197E894-4456-4936-8377-24959387FDB0}" name="Column5382"/>
    <tableColumn id="5383" xr3:uid="{9A42BC5B-52B2-4087-B122-57F542217081}" name="Column5383"/>
    <tableColumn id="5384" xr3:uid="{DD22916E-CFF6-42AC-86BA-20A25CFCEAF8}" name="Column5384"/>
    <tableColumn id="5385" xr3:uid="{30B4558B-9291-4D9A-B555-DA3B41B9A8B1}" name="Column5385"/>
    <tableColumn id="5386" xr3:uid="{67706699-DBDA-4F52-9E29-BDDD652FF9F4}" name="Column5386"/>
    <tableColumn id="5387" xr3:uid="{2340CCBD-77F0-4ED5-B8CA-F97EFBEFF41F}" name="Column5387"/>
    <tableColumn id="5388" xr3:uid="{A9E44C44-60ED-4271-ABE4-2381E705B4D5}" name="Column5388"/>
    <tableColumn id="5389" xr3:uid="{C323C331-90E3-41DD-9904-FCBB7BB21565}" name="Column5389"/>
    <tableColumn id="5390" xr3:uid="{022FACBF-8750-4D39-929A-F5C94B37576E}" name="Column5390"/>
    <tableColumn id="5391" xr3:uid="{732E6A2F-0241-452A-A8CC-C7F4F512D816}" name="Column5391"/>
    <tableColumn id="5392" xr3:uid="{C0D3F8C1-68FA-454A-BD9B-D329DAE8A47E}" name="Column5392"/>
    <tableColumn id="5393" xr3:uid="{4D875771-35CF-4B6C-9F4D-F90BF4609C2A}" name="Column5393"/>
    <tableColumn id="5394" xr3:uid="{53C02E07-F9E9-4623-A53A-0A5A70D71959}" name="Column5394"/>
    <tableColumn id="5395" xr3:uid="{6576973D-E81B-444B-B606-127F2F929A98}" name="Column5395"/>
    <tableColumn id="5396" xr3:uid="{7D7DCE12-56A7-4759-A88D-7AD5BF55C66A}" name="Column5396"/>
    <tableColumn id="5397" xr3:uid="{1CDFEEB1-C480-4530-A896-4FE5C8498412}" name="Column5397"/>
    <tableColumn id="5398" xr3:uid="{170D325E-1630-492D-B35D-5068C0B44BB7}" name="Column5398"/>
    <tableColumn id="5399" xr3:uid="{7CF1C61C-D4AB-4567-A3CE-8EFF965224C1}" name="Column5399"/>
    <tableColumn id="5400" xr3:uid="{F8576163-0583-4366-8D3B-754D997A3558}" name="Column5400"/>
    <tableColumn id="5401" xr3:uid="{C026EE5E-E886-49BD-9DAF-D7083CBD5282}" name="Column5401"/>
    <tableColumn id="5402" xr3:uid="{5DCACCFC-4874-4FA7-92C8-DF3B68F979F9}" name="Column5402"/>
    <tableColumn id="5403" xr3:uid="{B111FDDC-0926-489B-8764-AE36F0B53C7F}" name="Column5403"/>
    <tableColumn id="5404" xr3:uid="{BBFC5A98-ADAE-468F-9DB3-F839CC86BF14}" name="Column5404"/>
    <tableColumn id="5405" xr3:uid="{F75508A4-5365-4DF9-ABDA-CCF8C454AE58}" name="Column5405"/>
    <tableColumn id="5406" xr3:uid="{F1F796E6-7193-4B82-9547-377AA300AE69}" name="Column5406"/>
    <tableColumn id="5407" xr3:uid="{2ADD665E-3DD5-4770-B0A0-27BA23B6E412}" name="Column5407"/>
    <tableColumn id="5408" xr3:uid="{F702791A-CA4C-4E75-AFA1-09153C272163}" name="Column5408"/>
    <tableColumn id="5409" xr3:uid="{B1E7A82C-A9C1-4A36-A18E-CF8D74D8A763}" name="Column5409"/>
    <tableColumn id="5410" xr3:uid="{801F5EE2-CB31-44B8-9A05-E42C9FE88E30}" name="Column5410"/>
    <tableColumn id="5411" xr3:uid="{89A75216-C206-4DF7-92CD-FBEA13CC06F1}" name="Column5411"/>
    <tableColumn id="5412" xr3:uid="{10790A31-DD7A-4275-98FE-235175EAEF1D}" name="Column5412"/>
    <tableColumn id="5413" xr3:uid="{69EF9B73-DEDE-4BF2-ACC3-A34C9DCC3DB9}" name="Column5413"/>
    <tableColumn id="5414" xr3:uid="{CE9DB371-A10D-4DB3-BA9D-C76EF5F85D1B}" name="Column5414"/>
    <tableColumn id="5415" xr3:uid="{806DE40B-06D1-4FDC-86E6-3E4A4466A498}" name="Column5415"/>
    <tableColumn id="5416" xr3:uid="{BF786AED-32D2-45ED-95E0-DB25E0B1497D}" name="Column5416"/>
    <tableColumn id="5417" xr3:uid="{F90137D9-A7A0-43AC-A8BD-7A4B10F88166}" name="Column5417"/>
    <tableColumn id="5418" xr3:uid="{B66D9BA8-33DC-459C-80A6-B700663AA810}" name="Column5418"/>
    <tableColumn id="5419" xr3:uid="{536F27CA-FFA3-4348-9071-30A3D21F46FB}" name="Column5419"/>
    <tableColumn id="5420" xr3:uid="{C1112BB0-AA36-4EBB-9EDF-A1E4F1B6A95F}" name="Column5420"/>
    <tableColumn id="5421" xr3:uid="{18EF8BAB-7F37-49E9-9CC6-623F5AE57892}" name="Column5421"/>
    <tableColumn id="5422" xr3:uid="{E1482B57-528A-4AEF-A307-E488D68FA584}" name="Column5422"/>
    <tableColumn id="5423" xr3:uid="{C00C5D18-1543-4669-A2BE-037AAD071D64}" name="Column5423"/>
    <tableColumn id="5424" xr3:uid="{F2449CA9-5A52-4D11-A5D2-1EF727D1BCCD}" name="Column5424"/>
    <tableColumn id="5425" xr3:uid="{4F399DCA-66ED-41C7-B400-813DF9AD04D1}" name="Column5425"/>
    <tableColumn id="5426" xr3:uid="{2E41A4A5-5734-4FF2-B330-663C6CB401CA}" name="Column5426"/>
    <tableColumn id="5427" xr3:uid="{58B751AE-DC93-4090-A089-8301FB8688F7}" name="Column5427"/>
    <tableColumn id="5428" xr3:uid="{A90347F2-BDBA-4FD3-A0EE-49FFA6E058D3}" name="Column5428"/>
    <tableColumn id="5429" xr3:uid="{C1BF685F-9AEA-4013-9C60-C0C0182FCF8E}" name="Column5429"/>
    <tableColumn id="5430" xr3:uid="{B20A945E-E8ED-4E36-8CBD-6813B1809D8B}" name="Column5430"/>
    <tableColumn id="5431" xr3:uid="{5A1612EB-9BBA-4861-8D3A-35359C7BFC95}" name="Column5431"/>
    <tableColumn id="5432" xr3:uid="{EFAB08DB-E42F-4C66-8133-5143A837338C}" name="Column5432"/>
    <tableColumn id="5433" xr3:uid="{6E723A44-D1A5-4119-AFD2-379B909E76AA}" name="Column5433"/>
    <tableColumn id="5434" xr3:uid="{64113E87-8A41-448F-8807-F3E589C1A1C1}" name="Column5434"/>
    <tableColumn id="5435" xr3:uid="{466477BA-B777-40EB-B195-A4D285D83BA0}" name="Column5435"/>
    <tableColumn id="5436" xr3:uid="{483B93C6-88AE-492F-A8D2-4987556B0CCA}" name="Column5436"/>
    <tableColumn id="5437" xr3:uid="{D43FFF1B-A355-449E-8615-3857C80BF50C}" name="Column5437"/>
    <tableColumn id="5438" xr3:uid="{8DFCCB4E-10E5-4D8A-A709-44495A86A66C}" name="Column5438"/>
    <tableColumn id="5439" xr3:uid="{8BF72FA1-C011-4DFC-A2F5-B654B2ACD0CD}" name="Column5439"/>
    <tableColumn id="5440" xr3:uid="{0927D71B-9979-4C21-82FF-74EC6506D3D6}" name="Column5440"/>
    <tableColumn id="5441" xr3:uid="{A2773D6E-50E3-41F4-ACBF-0B064A6DA487}" name="Column5441"/>
    <tableColumn id="5442" xr3:uid="{5AA30724-0A53-46BB-A6CF-5C616256CBEF}" name="Column5442"/>
    <tableColumn id="5443" xr3:uid="{49F41972-3148-4B0E-BB96-6918582C603B}" name="Column5443"/>
    <tableColumn id="5444" xr3:uid="{B08E381B-7AFB-44DC-A049-2F0BB58E2ECF}" name="Column5444"/>
    <tableColumn id="5445" xr3:uid="{AC7D05F5-FCB1-41DE-9F89-58DBB0830D9B}" name="Column5445"/>
    <tableColumn id="5446" xr3:uid="{172D4FCF-4B25-4ED3-A77A-B30ECD48480C}" name="Column5446"/>
    <tableColumn id="5447" xr3:uid="{78D68E63-B691-4E21-BB43-2E9D237C4DF5}" name="Column5447"/>
    <tableColumn id="5448" xr3:uid="{F7622C52-35DD-47E8-B131-BAFA1C645517}" name="Column5448"/>
    <tableColumn id="5449" xr3:uid="{2C56E7E8-961D-4772-A07E-4446CDE3DDBD}" name="Column5449"/>
    <tableColumn id="5450" xr3:uid="{DEA78D45-9777-45B9-8D1A-29150CA7D8F8}" name="Column5450"/>
    <tableColumn id="5451" xr3:uid="{3C92180D-01B1-419E-8F3F-02045DC25EE6}" name="Column5451"/>
    <tableColumn id="5452" xr3:uid="{69127884-8234-485B-ADD6-5C9DB6DAF2EB}" name="Column5452"/>
    <tableColumn id="5453" xr3:uid="{E836F7C1-29A3-4B89-B8A4-DE50CB087AA3}" name="Column5453"/>
    <tableColumn id="5454" xr3:uid="{A1CFE365-C800-49C4-9C88-2AD7B337389F}" name="Column5454"/>
    <tableColumn id="5455" xr3:uid="{07FB2D42-12F1-475B-B8AC-0A67E1B7CD04}" name="Column5455"/>
    <tableColumn id="5456" xr3:uid="{36F3009A-19E1-485A-9B25-D860CFB9BE64}" name="Column5456"/>
    <tableColumn id="5457" xr3:uid="{60166B5F-DCA3-4640-9710-08B909218599}" name="Column5457"/>
    <tableColumn id="5458" xr3:uid="{64944D9B-3C7F-4EB7-A89D-99AD592B19F8}" name="Column5458"/>
    <tableColumn id="5459" xr3:uid="{1BC7B07E-4681-40AB-BA6F-2C6F0E9E6FF8}" name="Column5459"/>
    <tableColumn id="5460" xr3:uid="{11615882-B0EC-48C5-A83E-E3F1CE48A7E2}" name="Column5460"/>
    <tableColumn id="5461" xr3:uid="{0F0FC029-4CA7-4731-80CA-7371507C5C6B}" name="Column5461"/>
    <tableColumn id="5462" xr3:uid="{7F539315-B1E5-45F0-87C4-B747E21D937C}" name="Column5462"/>
    <tableColumn id="5463" xr3:uid="{F5061DEF-EFB0-4F25-8634-E5DAE93EB883}" name="Column5463"/>
    <tableColumn id="5464" xr3:uid="{79A862D7-B8FC-4B7E-A3D7-7ADE0D81F794}" name="Column5464"/>
    <tableColumn id="5465" xr3:uid="{BD38281D-42E1-40CA-B672-0A6CE164F796}" name="Column5465"/>
    <tableColumn id="5466" xr3:uid="{EB1CD1A6-9B67-42C2-B21B-D77926CAAE80}" name="Column5466"/>
    <tableColumn id="5467" xr3:uid="{6485046F-31E8-40A8-AD39-B101DD67C9C1}" name="Column5467"/>
    <tableColumn id="5468" xr3:uid="{B0FD6A1F-37D4-4CB8-B1F0-5CD96BD52A96}" name="Column5468"/>
    <tableColumn id="5469" xr3:uid="{29B24D14-04E6-41A7-82E1-4A12190C5539}" name="Column5469"/>
    <tableColumn id="5470" xr3:uid="{9B615AEB-4DD2-45E6-B6FE-6F1CBAA8A678}" name="Column5470"/>
    <tableColumn id="5471" xr3:uid="{B3432064-B926-459B-8816-BD019385321E}" name="Column5471"/>
    <tableColumn id="5472" xr3:uid="{62862987-0B03-4AE0-A30E-85076D4C0D97}" name="Column5472"/>
    <tableColumn id="5473" xr3:uid="{619484AA-72E3-485A-81E7-E3385DAD23A5}" name="Column5473"/>
    <tableColumn id="5474" xr3:uid="{47F98DF6-7E28-4E95-BC5C-48EC695D6DB9}" name="Column5474"/>
    <tableColumn id="5475" xr3:uid="{BB0A2E24-460C-4224-BC75-3FFB00B7AD14}" name="Column5475"/>
    <tableColumn id="5476" xr3:uid="{03DED523-04BC-473E-8827-45FA5B564E53}" name="Column5476"/>
    <tableColumn id="5477" xr3:uid="{C423F453-7A1D-492F-B366-126DFA7370FA}" name="Column5477"/>
    <tableColumn id="5478" xr3:uid="{7FFC0978-3A2B-4F67-9F0A-760CE9CB8F82}" name="Column5478"/>
    <tableColumn id="5479" xr3:uid="{1BEE4C44-A98F-4922-93D0-2BEB71564C10}" name="Column5479"/>
    <tableColumn id="5480" xr3:uid="{46B175E5-EB26-49BA-A468-42F948C373E8}" name="Column5480"/>
    <tableColumn id="5481" xr3:uid="{5210C0AB-360A-4BEA-9CB2-8F3D64A5C7DE}" name="Column5481"/>
    <tableColumn id="5482" xr3:uid="{BAED0193-8A79-4A36-A88C-ADB719048A02}" name="Column5482"/>
    <tableColumn id="5483" xr3:uid="{32AA2646-22C9-44A1-96FD-2D7D8A379BAB}" name="Column5483"/>
    <tableColumn id="5484" xr3:uid="{43B80D50-0505-4D58-9478-B21780246F31}" name="Column5484"/>
    <tableColumn id="5485" xr3:uid="{B2F56E36-DD70-430D-98F6-A3D75E4384D4}" name="Column5485"/>
    <tableColumn id="5486" xr3:uid="{3767885F-D460-4073-A2B6-AD4A1FE84896}" name="Column5486"/>
    <tableColumn id="5487" xr3:uid="{05F1121C-4BAE-4541-A454-801B651FD85E}" name="Column5487"/>
    <tableColumn id="5488" xr3:uid="{EA59166F-2A92-4219-8E48-BFE4672921D9}" name="Column5488"/>
    <tableColumn id="5489" xr3:uid="{8AD75827-608A-442C-9FEE-DFE721253FD1}" name="Column5489"/>
    <tableColumn id="5490" xr3:uid="{D98DF4D4-D37F-43BF-8D62-2AD8241F469E}" name="Column5490"/>
    <tableColumn id="5491" xr3:uid="{AEBB3B47-1E1F-4E85-BC6D-7F66F1D72797}" name="Column5491"/>
    <tableColumn id="5492" xr3:uid="{888E3EF1-32E0-4F04-9812-C405500C780A}" name="Column5492"/>
    <tableColumn id="5493" xr3:uid="{DDF17D9C-1992-4FBF-BB63-8E92D6718482}" name="Column5493"/>
    <tableColumn id="5494" xr3:uid="{A9BE71D8-F3E8-4662-895F-D4D86024C261}" name="Column5494"/>
    <tableColumn id="5495" xr3:uid="{EDD96E07-0560-4EA1-9289-8A517C2F216B}" name="Column5495"/>
    <tableColumn id="5496" xr3:uid="{307C6673-0487-4D77-BEFC-5EEDE614F6E6}" name="Column5496"/>
    <tableColumn id="5497" xr3:uid="{967DC62C-B17D-4B53-A634-E3267B873185}" name="Column5497"/>
    <tableColumn id="5498" xr3:uid="{BFA96717-2707-4BC1-BC0D-6C90C833DF52}" name="Column5498"/>
    <tableColumn id="5499" xr3:uid="{04B3A7ED-8F9D-45DF-B295-14604E663B23}" name="Column5499"/>
    <tableColumn id="5500" xr3:uid="{A4F30818-592D-4618-B16F-6716EAC15594}" name="Column5500"/>
    <tableColumn id="5501" xr3:uid="{262FB983-51FC-48BF-8C46-EEF7ECFBD3BF}" name="Column5501"/>
    <tableColumn id="5502" xr3:uid="{E199E40D-CF95-4E7F-B0E1-E3E4138C6E1E}" name="Column5502"/>
    <tableColumn id="5503" xr3:uid="{D9E3002A-B906-4AD7-A960-DC34CF902314}" name="Column5503"/>
    <tableColumn id="5504" xr3:uid="{6BD87AF8-C12E-4517-9351-7F8CF6E7728E}" name="Column5504"/>
    <tableColumn id="5505" xr3:uid="{F23AF089-9056-456A-8A5D-FC6429C55F32}" name="Column5505"/>
    <tableColumn id="5506" xr3:uid="{6E8327D5-6EDB-4553-AF4B-6C7AFD6CCF18}" name="Column5506"/>
    <tableColumn id="5507" xr3:uid="{A545494A-824D-45FB-98B9-45E77BDE9C58}" name="Column5507"/>
    <tableColumn id="5508" xr3:uid="{A3A50FD7-D3EB-4514-9D73-A00834FFBE0B}" name="Column5508"/>
    <tableColumn id="5509" xr3:uid="{F1037047-311A-44B5-ADCF-AB97650FE67E}" name="Column5509"/>
    <tableColumn id="5510" xr3:uid="{39F0A211-3D57-4D10-AA06-B5356DD44564}" name="Column5510"/>
    <tableColumn id="5511" xr3:uid="{6AB9B91E-906B-4291-B036-9B895C7DD288}" name="Column5511"/>
    <tableColumn id="5512" xr3:uid="{F06FB420-DB60-424F-891C-E976483E3028}" name="Column5512"/>
    <tableColumn id="5513" xr3:uid="{69A236E0-923F-4B7D-A242-902FACB5A86D}" name="Column5513"/>
    <tableColumn id="5514" xr3:uid="{4D3C81A8-3C67-4587-8800-40D65D558A02}" name="Column5514"/>
    <tableColumn id="5515" xr3:uid="{5BE64399-6188-45B6-A8CE-962FA9703228}" name="Column5515"/>
    <tableColumn id="5516" xr3:uid="{18170E20-AE32-4CAB-8EC2-2A4CFEAF7756}" name="Column5516"/>
    <tableColumn id="5517" xr3:uid="{12DDC96B-11B9-4C4B-B913-72470AD695B5}" name="Column5517"/>
    <tableColumn id="5518" xr3:uid="{93BE0BAF-02C3-40B2-8CA3-2057F38BB269}" name="Column5518"/>
    <tableColumn id="5519" xr3:uid="{998BCF2F-AFB4-43EF-8B09-19C38C6D6743}" name="Column5519"/>
    <tableColumn id="5520" xr3:uid="{D3C352CA-1359-4AFB-A868-1C58BF7ED1D6}" name="Column5520"/>
    <tableColumn id="5521" xr3:uid="{CBD65FAA-4497-4C14-831D-E4FA2D0EDF35}" name="Column5521"/>
    <tableColumn id="5522" xr3:uid="{F189951F-989E-4C9C-B02F-8102B9FAE205}" name="Column5522"/>
    <tableColumn id="5523" xr3:uid="{A20C33FA-DA35-44C6-99B0-C6D1004B29E2}" name="Column5523"/>
    <tableColumn id="5524" xr3:uid="{4821184E-27B2-4FB5-877F-38971AD1C56D}" name="Column5524"/>
    <tableColumn id="5525" xr3:uid="{9DE6EA92-3242-4A51-88FA-E2F4B00E5DDE}" name="Column5525"/>
    <tableColumn id="5526" xr3:uid="{D9F6B527-E226-4A0B-A523-5AA13815A212}" name="Column5526"/>
    <tableColumn id="5527" xr3:uid="{FF8C27EE-5034-44DA-91E3-C8EE1956F5BE}" name="Column5527"/>
    <tableColumn id="5528" xr3:uid="{B254533D-7B36-4617-9CB3-FA734085661E}" name="Column5528"/>
    <tableColumn id="5529" xr3:uid="{005AE580-1BE9-4E68-8A8A-1D509B9BB1F5}" name="Column5529"/>
    <tableColumn id="5530" xr3:uid="{8B3D6E31-ED67-466C-9E6C-22720E690607}" name="Column5530"/>
    <tableColumn id="5531" xr3:uid="{2A9C3615-3966-4520-BE8E-56F9A3EA6F0B}" name="Column5531"/>
    <tableColumn id="5532" xr3:uid="{F8EE03AD-C6DC-4198-906F-113B5BE20661}" name="Column5532"/>
    <tableColumn id="5533" xr3:uid="{B7CE8FA5-B34D-451D-8690-3781EA469AC2}" name="Column5533"/>
    <tableColumn id="5534" xr3:uid="{680C87B8-AEA4-45CA-A629-826D4F1A5C12}" name="Column5534"/>
    <tableColumn id="5535" xr3:uid="{E1524033-3ABD-474D-98B9-A14B4101782F}" name="Column5535"/>
    <tableColumn id="5536" xr3:uid="{B39A184A-0BE3-44BB-B316-64FB4015DB65}" name="Column5536"/>
    <tableColumn id="5537" xr3:uid="{09089709-30B6-408E-8D02-09EEC0D27EB3}" name="Column5537"/>
    <tableColumn id="5538" xr3:uid="{7BBA081D-AFE9-42A1-A5EA-64063AB28473}" name="Column5538"/>
    <tableColumn id="5539" xr3:uid="{1D08F8D4-0321-46A9-8710-6F9DFD3CEBD4}" name="Column5539"/>
    <tableColumn id="5540" xr3:uid="{8E6E670C-2828-4EFB-B0F9-35926B8954B0}" name="Column5540"/>
    <tableColumn id="5541" xr3:uid="{7927AAA3-C79D-4A91-A9A5-D28B91CF13E2}" name="Column5541"/>
    <tableColumn id="5542" xr3:uid="{BA9F458E-45B9-4F61-B8EC-5BFC399F2F3E}" name="Column5542"/>
    <tableColumn id="5543" xr3:uid="{D5AC6D23-9BFE-4D81-8FE8-D95B2D7ABEC1}" name="Column5543"/>
    <tableColumn id="5544" xr3:uid="{5DEE2EE5-2CC0-4446-A867-204E386D5921}" name="Column5544"/>
    <tableColumn id="5545" xr3:uid="{1EF5AF5F-990C-4559-8791-C49CC9EA78F2}" name="Column5545"/>
    <tableColumn id="5546" xr3:uid="{D85203DC-865A-45F1-8653-A79387AF3147}" name="Column5546"/>
    <tableColumn id="5547" xr3:uid="{C7A2A4FC-8E5B-42F7-B56C-5CFC5BD58300}" name="Column5547"/>
    <tableColumn id="5548" xr3:uid="{3669408F-7B4B-4BBE-9B54-4390286EB37D}" name="Column5548"/>
    <tableColumn id="5549" xr3:uid="{094D865E-4F62-46AC-A0B4-8A1CCC1280F1}" name="Column5549"/>
    <tableColumn id="5550" xr3:uid="{CC9E7093-2145-4B81-A79C-3B34EE50E5D0}" name="Column5550"/>
    <tableColumn id="5551" xr3:uid="{6345C704-9D79-4C63-A04E-D0161E074A9F}" name="Column5551"/>
    <tableColumn id="5552" xr3:uid="{8AA6D87B-DCE8-4B05-BEA1-02D28027EFA7}" name="Column5552"/>
    <tableColumn id="5553" xr3:uid="{D63D2096-2BE2-40FB-A951-0FE21B801AE1}" name="Column5553"/>
    <tableColumn id="5554" xr3:uid="{C0D7116B-F5FB-477F-AC42-25866850447D}" name="Column5554"/>
    <tableColumn id="5555" xr3:uid="{FDF0E190-F3AF-4B29-A5A3-34E3650E2737}" name="Column5555"/>
    <tableColumn id="5556" xr3:uid="{19CB757E-AF6A-4D3C-98C0-64EBE54950CD}" name="Column5556"/>
    <tableColumn id="5557" xr3:uid="{2C378682-FB8A-4096-86AA-944863ADF764}" name="Column5557"/>
    <tableColumn id="5558" xr3:uid="{ED9131BE-BEC5-44CF-93E7-FDC5387EE779}" name="Column5558"/>
    <tableColumn id="5559" xr3:uid="{8D389C40-35D1-483C-830B-2FEC21DF256F}" name="Column5559"/>
    <tableColumn id="5560" xr3:uid="{2003D300-4FC3-4C66-B54F-7907A8FC2046}" name="Column5560"/>
    <tableColumn id="5561" xr3:uid="{03FF1C5E-6478-4C6A-A0BE-C09332999650}" name="Column5561"/>
    <tableColumn id="5562" xr3:uid="{915B435B-4A88-49B4-90C9-EA4ABA6F1751}" name="Column5562"/>
    <tableColumn id="5563" xr3:uid="{07DC211E-250A-4546-A0BA-34AF836478F7}" name="Column5563"/>
    <tableColumn id="5564" xr3:uid="{547DF6AB-BE1D-43E4-B18B-98020086051D}" name="Column5564"/>
    <tableColumn id="5565" xr3:uid="{277C204F-F9AF-4E5A-A4F2-4CA2545B907A}" name="Column5565"/>
    <tableColumn id="5566" xr3:uid="{95295CCB-7EFD-4E2F-B0B7-060A6043D869}" name="Column5566"/>
    <tableColumn id="5567" xr3:uid="{A093F448-CFDF-4C22-A4DA-E9426EDB0E3E}" name="Column5567"/>
    <tableColumn id="5568" xr3:uid="{EC7964A9-023A-43F6-B55A-8A4AC51C3F6A}" name="Column5568"/>
    <tableColumn id="5569" xr3:uid="{B4F3BEA7-DD75-4F09-A2B1-CDB8F6CFE34F}" name="Column5569"/>
    <tableColumn id="5570" xr3:uid="{3CCD9236-A247-4385-9C66-C15A068EF567}" name="Column5570"/>
    <tableColumn id="5571" xr3:uid="{4F58C9A4-EDC6-4AFC-8C91-045262903E45}" name="Column5571"/>
    <tableColumn id="5572" xr3:uid="{151FF230-CE59-4F5E-8DAE-CD30A8A826F2}" name="Column5572"/>
    <tableColumn id="5573" xr3:uid="{8CEBD2F1-C7DF-4EF7-8210-DBD12B44F4F6}" name="Column5573"/>
    <tableColumn id="5574" xr3:uid="{1CD515A4-FAE6-4804-BC87-E6371BF2B438}" name="Column5574"/>
    <tableColumn id="5575" xr3:uid="{714D943E-CC3D-461B-AD54-F96887DB7745}" name="Column5575"/>
    <tableColumn id="5576" xr3:uid="{28A754FE-C83E-450D-BEFE-EBF60B15CE2B}" name="Column5576"/>
    <tableColumn id="5577" xr3:uid="{F811776A-309D-4805-A8E1-5DF4EA6FFCF7}" name="Column5577"/>
    <tableColumn id="5578" xr3:uid="{5CD41A33-3813-4838-BB0B-604E170EA6A5}" name="Column5578"/>
    <tableColumn id="5579" xr3:uid="{96573D01-74FC-4F57-BA9E-47416B4CF20E}" name="Column5579"/>
    <tableColumn id="5580" xr3:uid="{42AD37A7-AC72-445D-93AD-3B23B21AE538}" name="Column5580"/>
    <tableColumn id="5581" xr3:uid="{7B178507-31DB-4A69-ADB2-D42706BC9959}" name="Column5581"/>
    <tableColumn id="5582" xr3:uid="{3006B597-2208-4814-8CFA-D62770A34A36}" name="Column5582"/>
    <tableColumn id="5583" xr3:uid="{1103BAD2-B80F-41DC-8D72-5BCF36616DBC}" name="Column5583"/>
    <tableColumn id="5584" xr3:uid="{8372FB80-3162-4EB7-B24A-201AA9A137F4}" name="Column5584"/>
    <tableColumn id="5585" xr3:uid="{D236A285-B968-4CBB-AC58-FBA298214EFF}" name="Column5585"/>
    <tableColumn id="5586" xr3:uid="{C59F17F4-6B5E-46BF-97AF-9460CF1470BF}" name="Column5586"/>
    <tableColumn id="5587" xr3:uid="{EF79BAF4-1591-4EA6-861F-D75438BB205F}" name="Column5587"/>
    <tableColumn id="5588" xr3:uid="{976B3484-3ABB-4F80-86C9-040E0A5AFD29}" name="Column5588"/>
    <tableColumn id="5589" xr3:uid="{3D66B5CD-626A-4545-9DB9-74A975B846AE}" name="Column5589"/>
    <tableColumn id="5590" xr3:uid="{4048F89D-D665-40B3-9ED6-FC310DD065AF}" name="Column5590"/>
    <tableColumn id="5591" xr3:uid="{18726ACA-4E9F-4CE3-8F64-3FA006439687}" name="Column5591"/>
    <tableColumn id="5592" xr3:uid="{AF9D9B89-1B99-4259-9EEF-00E81C9703B9}" name="Column5592"/>
    <tableColumn id="5593" xr3:uid="{B9368676-7D40-4486-B2D6-5A4FEF9FFFB0}" name="Column5593"/>
    <tableColumn id="5594" xr3:uid="{7341014E-4729-4D2B-8F2D-B30BC4DE5CB0}" name="Column5594"/>
    <tableColumn id="5595" xr3:uid="{687936B7-5963-4592-8251-474587B0D688}" name="Column5595"/>
    <tableColumn id="5596" xr3:uid="{F553D7F4-4873-45BD-9465-875EFEE604DE}" name="Column5596"/>
    <tableColumn id="5597" xr3:uid="{D47B634E-AED1-4CCC-ACD0-5E9F21D27142}" name="Column5597"/>
    <tableColumn id="5598" xr3:uid="{27B4133E-ADB5-4EFE-AB0D-ABC20F5EF538}" name="Column5598"/>
    <tableColumn id="5599" xr3:uid="{D3690AC9-EBF2-4FFE-A0A8-5D9FABEC6BE2}" name="Column5599"/>
    <tableColumn id="5600" xr3:uid="{D54F6750-4E8F-48D2-8CFC-A933712E9011}" name="Column5600"/>
    <tableColumn id="5601" xr3:uid="{D2A25037-2340-45F9-8C71-AE8880772ECE}" name="Column5601"/>
    <tableColumn id="5602" xr3:uid="{30904739-7A29-4F04-9E33-E2C1A5C50EC5}" name="Column5602"/>
    <tableColumn id="5603" xr3:uid="{E4E93011-EF20-431B-8945-F1A39D82D3BA}" name="Column5603"/>
    <tableColumn id="5604" xr3:uid="{2DA8B84C-8F5D-4E9B-9303-44243A089CD3}" name="Column5604"/>
    <tableColumn id="5605" xr3:uid="{49EA50C7-A58B-4F6A-8B38-B2926A080EA5}" name="Column5605"/>
    <tableColumn id="5606" xr3:uid="{EEA28310-CAEF-4BF2-AC2C-AA46FDCEA4E4}" name="Column5606"/>
    <tableColumn id="5607" xr3:uid="{3240F4FF-B2A5-4BD1-8EEA-F4CCF2DA6E4B}" name="Column5607"/>
    <tableColumn id="5608" xr3:uid="{22F74121-5C03-4DD6-902A-3A356109BE4F}" name="Column5608"/>
    <tableColumn id="5609" xr3:uid="{16D896D0-492C-4F14-A147-4891D7D82D12}" name="Column5609"/>
    <tableColumn id="5610" xr3:uid="{BB755B48-802B-49A6-B695-316597465A7A}" name="Column5610"/>
    <tableColumn id="5611" xr3:uid="{7D156960-0287-41E8-8FA1-D748D3EC8462}" name="Column5611"/>
    <tableColumn id="5612" xr3:uid="{AB5DE19F-8C1A-4174-9622-E14D3C6921F5}" name="Column5612"/>
    <tableColumn id="5613" xr3:uid="{0292E490-E492-4E6C-81EC-A28D31CFB4DA}" name="Column5613"/>
    <tableColumn id="5614" xr3:uid="{6819D265-A89C-41E8-BEFD-428C9C695C88}" name="Column5614"/>
    <tableColumn id="5615" xr3:uid="{9D0241E5-2FA7-4187-A514-E902BC971CD8}" name="Column5615"/>
    <tableColumn id="5616" xr3:uid="{8AE49C52-91CF-48BE-A603-93B02C97D105}" name="Column5616"/>
    <tableColumn id="5617" xr3:uid="{A22CE9E5-BB5C-4AAB-AF44-72372475541B}" name="Column5617"/>
    <tableColumn id="5618" xr3:uid="{CCD270AF-5D74-42B8-9824-B54FDC06CD26}" name="Column5618"/>
    <tableColumn id="5619" xr3:uid="{EE689EF9-6F73-4409-9D79-3B96FF545ED6}" name="Column5619"/>
    <tableColumn id="5620" xr3:uid="{E9E8FC76-ADD4-4203-A065-16942559BB33}" name="Column5620"/>
    <tableColumn id="5621" xr3:uid="{8E735C5B-FB9F-4E85-8461-BD73D80D71FE}" name="Column5621"/>
    <tableColumn id="5622" xr3:uid="{E137E8D7-865F-43BB-95A7-D5A1E8895309}" name="Column5622"/>
    <tableColumn id="5623" xr3:uid="{74679358-7F2A-4993-84D6-8812CC32A2D3}" name="Column5623"/>
    <tableColumn id="5624" xr3:uid="{3C26A805-3518-414A-9CE6-9193C7C8663E}" name="Column5624"/>
    <tableColumn id="5625" xr3:uid="{0EB4409B-AAF1-491C-A697-064F2BD7B1D1}" name="Column5625"/>
    <tableColumn id="5626" xr3:uid="{64DC7CEC-4B2B-431A-9B60-5BA0CB01AC78}" name="Column5626"/>
    <tableColumn id="5627" xr3:uid="{CB7BB536-C221-4BCF-8817-194EBB003413}" name="Column5627"/>
    <tableColumn id="5628" xr3:uid="{57887A75-ED8E-42EF-A5B7-751D006E4DB9}" name="Column5628"/>
    <tableColumn id="5629" xr3:uid="{72A6BB4B-D614-4741-8F65-8867CD69F5AA}" name="Column5629"/>
    <tableColumn id="5630" xr3:uid="{653875E0-1AD8-4FBF-8C13-56F486A67FCE}" name="Column5630"/>
    <tableColumn id="5631" xr3:uid="{FA7C5FAC-AAD7-4963-9A42-6FF81AEFA8D3}" name="Column5631"/>
    <tableColumn id="5632" xr3:uid="{C2808F8A-6C4C-4845-9E2B-A1AB573842D0}" name="Column5632"/>
    <tableColumn id="5633" xr3:uid="{28243C76-5973-491F-A481-ADB6D06C6078}" name="Column5633"/>
    <tableColumn id="5634" xr3:uid="{ACB09B86-858D-4C4A-A71D-524D22230842}" name="Column5634"/>
    <tableColumn id="5635" xr3:uid="{43463046-CC35-4EB7-ABFF-C92415D8BDD2}" name="Column5635"/>
    <tableColumn id="5636" xr3:uid="{C64F52EF-EBE3-4AFD-998C-D31659625A86}" name="Column5636"/>
    <tableColumn id="5637" xr3:uid="{5AAE3012-319A-4F51-80CF-8BA273C2A9AE}" name="Column5637"/>
    <tableColumn id="5638" xr3:uid="{CD56D5B8-B9E6-4DE5-8485-4D79349DDFAD}" name="Column5638"/>
    <tableColumn id="5639" xr3:uid="{A03670A2-BE73-42CF-A576-D1DF5EEA7DE4}" name="Column5639"/>
    <tableColumn id="5640" xr3:uid="{6D0B1F53-7671-485C-8FA2-6B6C07CD8522}" name="Column5640"/>
    <tableColumn id="5641" xr3:uid="{8A40E814-3F61-4038-AE8F-A86C7D5F87B3}" name="Column5641"/>
    <tableColumn id="5642" xr3:uid="{768BFFFE-9A5F-48D1-B037-8DC9138E4D0C}" name="Column5642"/>
    <tableColumn id="5643" xr3:uid="{C72656F1-8DE0-4A81-9E02-02349B77D243}" name="Column5643"/>
    <tableColumn id="5644" xr3:uid="{9EEE9B4B-835A-426A-BB2C-4ACC3DDB64C7}" name="Column5644"/>
    <tableColumn id="5645" xr3:uid="{E1321B7A-6FE4-4ED1-818C-9E250F6E1A4D}" name="Column5645"/>
    <tableColumn id="5646" xr3:uid="{B974387A-AC87-4CB3-8316-A83C95F58FB2}" name="Column5646"/>
    <tableColumn id="5647" xr3:uid="{F70A2C30-A455-4D7A-8BC3-981345769BE7}" name="Column5647"/>
    <tableColumn id="5648" xr3:uid="{674162E0-0256-4EE1-90DB-6825FEF25486}" name="Column5648"/>
    <tableColumn id="5649" xr3:uid="{4B1F82B4-0EAB-4224-A3A7-8B1DB26EBD22}" name="Column5649"/>
    <tableColumn id="5650" xr3:uid="{0508595C-C025-426C-BFB8-C2B2EECC3687}" name="Column5650"/>
    <tableColumn id="5651" xr3:uid="{52ED7395-A371-41CA-A35D-5037A0F1B873}" name="Column5651"/>
    <tableColumn id="5652" xr3:uid="{6BE2374F-61AD-4C01-9FD4-3C14DFB5567E}" name="Column5652"/>
    <tableColumn id="5653" xr3:uid="{0E802B92-02C3-4D04-A78F-1065FB52E289}" name="Column5653"/>
    <tableColumn id="5654" xr3:uid="{024B0ABD-2953-4229-95CA-9B6A191254D4}" name="Column5654"/>
    <tableColumn id="5655" xr3:uid="{F2707281-6C99-4A41-9D22-F658E6C0FE1A}" name="Column5655"/>
    <tableColumn id="5656" xr3:uid="{C2605A27-479B-4294-B773-F59CE7674EEB}" name="Column5656"/>
    <tableColumn id="5657" xr3:uid="{AD43FA2E-F92F-4260-A469-0C253CEFBACC}" name="Column5657"/>
    <tableColumn id="5658" xr3:uid="{0ED2F2C7-5978-442B-9F3E-8013049E08F5}" name="Column5658"/>
    <tableColumn id="5659" xr3:uid="{A680C834-A962-4805-817A-6981D9FECE5F}" name="Column5659"/>
    <tableColumn id="5660" xr3:uid="{4AC4FA7B-CDA8-46D9-B4FD-A53193022620}" name="Column5660"/>
    <tableColumn id="5661" xr3:uid="{E344BBF7-35B0-4906-A704-BF9115920379}" name="Column5661"/>
    <tableColumn id="5662" xr3:uid="{51FC043E-FF77-48EC-B424-5C89FA131B00}" name="Column5662"/>
    <tableColumn id="5663" xr3:uid="{D11E4D7D-29B5-4E3E-A46F-BA125E2961E5}" name="Column5663"/>
    <tableColumn id="5664" xr3:uid="{1FF7217F-D57B-4CCC-9A68-DD78EF40B5CF}" name="Column5664"/>
    <tableColumn id="5665" xr3:uid="{81727A23-78E5-41D1-8076-C4EA0683B135}" name="Column5665"/>
    <tableColumn id="5666" xr3:uid="{FC135F98-B234-467E-95CB-714FEA5C481D}" name="Column5666"/>
    <tableColumn id="5667" xr3:uid="{7E45F0EC-0A37-4656-A4CF-EF968C775BB1}" name="Column5667"/>
    <tableColumn id="5668" xr3:uid="{4E8369AD-EE18-4A40-8955-D3211834927C}" name="Column5668"/>
    <tableColumn id="5669" xr3:uid="{1B78E6A2-8C23-40B0-BCE3-F205C4AD4F89}" name="Column5669"/>
    <tableColumn id="5670" xr3:uid="{D3C223C5-885F-4F24-AD30-DC7163BC3B33}" name="Column5670"/>
    <tableColumn id="5671" xr3:uid="{C02C780E-EBC6-48E9-92BB-D118BA2CDB06}" name="Column5671"/>
    <tableColumn id="5672" xr3:uid="{7E60E5BA-C4E0-4F8D-9884-C61BF5403415}" name="Column5672"/>
    <tableColumn id="5673" xr3:uid="{A664F341-D893-4958-97CA-38934C19FDAE}" name="Column5673"/>
    <tableColumn id="5674" xr3:uid="{A3A50DDD-3189-44EC-B0C2-9E18E0BDBF62}" name="Column5674"/>
    <tableColumn id="5675" xr3:uid="{40A6D0B3-B71B-4140-BD52-0FA65BC94F80}" name="Column5675"/>
    <tableColumn id="5676" xr3:uid="{D53C89FE-E682-46B9-A099-AA3CE2A2C069}" name="Column5676"/>
    <tableColumn id="5677" xr3:uid="{7727936E-56F1-4B27-BD90-B30A953C2BDD}" name="Column5677"/>
    <tableColumn id="5678" xr3:uid="{37FBEBB1-3C36-4B4C-916E-FFEF0FB80387}" name="Column5678"/>
    <tableColumn id="5679" xr3:uid="{A892FBAB-1004-4DC5-93F8-1C406154357A}" name="Column5679"/>
    <tableColumn id="5680" xr3:uid="{5E3B34BF-4248-44A8-B5CF-91F81D3CAFDF}" name="Column5680"/>
    <tableColumn id="5681" xr3:uid="{198C1545-EE9C-4BC0-82DE-826027B2CD46}" name="Column5681"/>
    <tableColumn id="5682" xr3:uid="{3762E1C7-26EA-4D53-B4DE-0CC88B46A0C9}" name="Column5682"/>
    <tableColumn id="5683" xr3:uid="{D4F90B4F-BF2E-4F62-8722-51916ABF0A50}" name="Column5683"/>
    <tableColumn id="5684" xr3:uid="{23E63E89-8073-4361-A179-C0DAB6E013CA}" name="Column5684"/>
    <tableColumn id="5685" xr3:uid="{3F4FA9D6-0E20-4B6B-A0BE-576122CB3F27}" name="Column5685"/>
    <tableColumn id="5686" xr3:uid="{764862F6-3DC6-4A81-9BC3-BE460A537C81}" name="Column5686"/>
    <tableColumn id="5687" xr3:uid="{18301607-AABD-4879-BE2D-9B39446D4A18}" name="Column5687"/>
    <tableColumn id="5688" xr3:uid="{D43A4D21-7A77-43D8-BABA-C1FA920A9158}" name="Column5688"/>
    <tableColumn id="5689" xr3:uid="{1BF91873-3582-4DBE-BE8E-17C8AA41D277}" name="Column5689"/>
    <tableColumn id="5690" xr3:uid="{BEB03BE5-5CE1-42A9-8983-88C59F8F9905}" name="Column5690"/>
    <tableColumn id="5691" xr3:uid="{257BC9E2-9E7E-420B-83B3-6F35F5FF98E2}" name="Column5691"/>
    <tableColumn id="5692" xr3:uid="{162E79F7-FC59-41D3-92F7-B6EFE0DBC5BA}" name="Column5692"/>
    <tableColumn id="5693" xr3:uid="{9C497625-5C94-4E99-BC77-D665D0CD6CC2}" name="Column5693"/>
    <tableColumn id="5694" xr3:uid="{5B5F5F7F-4FD8-4148-BE75-8DAEC6BAE7EA}" name="Column5694"/>
    <tableColumn id="5695" xr3:uid="{A9C4418E-9AB7-43FF-BD03-139F48E01D95}" name="Column5695"/>
    <tableColumn id="5696" xr3:uid="{F3F4BEF5-4EEF-4D25-B65A-9ED3D06518E0}" name="Column5696"/>
    <tableColumn id="5697" xr3:uid="{86EB25F3-2BEF-4CBE-B88A-110FE351A28D}" name="Column5697"/>
    <tableColumn id="5698" xr3:uid="{66B7DC6A-2261-44E5-BD3C-613E3EC05077}" name="Column5698"/>
    <tableColumn id="5699" xr3:uid="{8D566C90-6F78-4A2A-BC18-AFDC4EA6DDD5}" name="Column5699"/>
    <tableColumn id="5700" xr3:uid="{1C884497-266E-44D1-BBAE-A5AF2E624DF0}" name="Column5700"/>
    <tableColumn id="5701" xr3:uid="{CC6E584B-2598-41D0-BBB4-E9EE896DF3B3}" name="Column5701"/>
    <tableColumn id="5702" xr3:uid="{764BA1C9-A73E-46B6-9539-A1E2F7370BF0}" name="Column5702"/>
    <tableColumn id="5703" xr3:uid="{B49E8509-CBA1-403A-9240-54F9B27ED2AC}" name="Column5703"/>
    <tableColumn id="5704" xr3:uid="{DB7197E2-3025-4906-BB50-3696EED1D726}" name="Column5704"/>
    <tableColumn id="5705" xr3:uid="{009C5EA1-E3D5-4736-BA0E-8A335EDEDF76}" name="Column5705"/>
    <tableColumn id="5706" xr3:uid="{0A0453F1-5DFF-45A3-9585-A9F7FF7BF07C}" name="Column5706"/>
    <tableColumn id="5707" xr3:uid="{2202D247-9AA7-453A-AF50-B4CFFD725CC8}" name="Column5707"/>
    <tableColumn id="5708" xr3:uid="{B33A33C7-D69A-4CBF-8573-25B1F8A48551}" name="Column5708"/>
    <tableColumn id="5709" xr3:uid="{66A6FD8D-7125-4F5E-A081-D56BC6575EE0}" name="Column5709"/>
    <tableColumn id="5710" xr3:uid="{FE24AC88-E3BD-43A4-8CA8-F12AB7E0115C}" name="Column5710"/>
    <tableColumn id="5711" xr3:uid="{FB2CB627-5D1F-4651-95D9-C788AEFDE24D}" name="Column5711"/>
    <tableColumn id="5712" xr3:uid="{5FE5E8A7-4FF8-4BDF-A198-BADACA44B486}" name="Column5712"/>
    <tableColumn id="5713" xr3:uid="{43D82BCC-449F-42D3-9069-DD94C5BFC650}" name="Column5713"/>
    <tableColumn id="5714" xr3:uid="{0BB7E6B8-24DF-4F0A-869C-3B1646C97739}" name="Column5714"/>
    <tableColumn id="5715" xr3:uid="{73BBCC41-A0E0-4638-82C8-572C5A75F124}" name="Column5715"/>
    <tableColumn id="5716" xr3:uid="{D2D15C3A-DC56-45EB-8C94-89502AA78F2D}" name="Column5716"/>
    <tableColumn id="5717" xr3:uid="{BABC188E-C377-4B05-A35F-15DFAC7F3D31}" name="Column5717"/>
    <tableColumn id="5718" xr3:uid="{3AD25A00-1459-4C9C-B17F-66EC794054A4}" name="Column5718"/>
    <tableColumn id="5719" xr3:uid="{18594B19-7588-43AC-A1EE-3459ABF385D0}" name="Column5719"/>
    <tableColumn id="5720" xr3:uid="{7BBED98A-0D84-48F2-9F3F-F77D44F30489}" name="Column5720"/>
    <tableColumn id="5721" xr3:uid="{A8FE48E3-84E5-4BE1-9E95-5BC58178306D}" name="Column5721"/>
    <tableColumn id="5722" xr3:uid="{DB36F462-2FE1-4F97-B671-628AD5889214}" name="Column5722"/>
    <tableColumn id="5723" xr3:uid="{C717FF91-80D5-4710-8270-C7E9403E0176}" name="Column5723"/>
    <tableColumn id="5724" xr3:uid="{E01EC618-0CE8-4BBA-B2F9-50BFD6FD86DF}" name="Column5724"/>
    <tableColumn id="5725" xr3:uid="{7B168EAE-C202-4594-86B3-9BD505C2C582}" name="Column5725"/>
    <tableColumn id="5726" xr3:uid="{F75AFA27-2A4F-4E04-BF71-C3FAECF6D287}" name="Column5726"/>
    <tableColumn id="5727" xr3:uid="{372E0971-6EB7-41B1-8E7D-7F9D3DC6F3B5}" name="Column5727"/>
    <tableColumn id="5728" xr3:uid="{29D9AAB3-3C9A-43A8-BD15-089ECF453CB9}" name="Column5728"/>
    <tableColumn id="5729" xr3:uid="{B50F67EB-9444-404A-BDD5-77593F92BF11}" name="Column5729"/>
    <tableColumn id="5730" xr3:uid="{8E118209-0DCC-4404-85A0-84D551A6E41E}" name="Column5730"/>
    <tableColumn id="5731" xr3:uid="{54F9074F-9278-4C46-99C8-E5E9E5B970EF}" name="Column5731"/>
    <tableColumn id="5732" xr3:uid="{A3869F2B-B400-46EB-B058-E6E54A56C319}" name="Column5732"/>
    <tableColumn id="5733" xr3:uid="{FB30D764-4EAE-4D6F-A6BC-C7E7609B4013}" name="Column5733"/>
    <tableColumn id="5734" xr3:uid="{D0FE9B7F-FD89-4C0A-9C5B-EB3EFA69B9B8}" name="Column5734"/>
    <tableColumn id="5735" xr3:uid="{6A8D2AF5-F687-4323-AB46-A9DF3A3C4143}" name="Column5735"/>
    <tableColumn id="5736" xr3:uid="{6C398690-4C82-4FA5-817D-DF6293BBA88C}" name="Column5736"/>
    <tableColumn id="5737" xr3:uid="{F6FBD0C3-FC71-4142-82C3-42C773E00C5C}" name="Column5737"/>
    <tableColumn id="5738" xr3:uid="{27124367-0E44-4D11-BF71-2981D3E54D87}" name="Column5738"/>
    <tableColumn id="5739" xr3:uid="{DF3DAB81-1283-4F90-84F4-EBF301FE6011}" name="Column5739"/>
    <tableColumn id="5740" xr3:uid="{4751FB55-77D1-4E09-BD4F-A2731027ABD6}" name="Column5740"/>
    <tableColumn id="5741" xr3:uid="{4F4D78BB-02BB-43F5-A2A7-8AF030258F0C}" name="Column5741"/>
    <tableColumn id="5742" xr3:uid="{8DB45A34-6C8D-4F47-AC70-68D0A7D90BDB}" name="Column5742"/>
    <tableColumn id="5743" xr3:uid="{DA559DCC-C359-4D9C-8F8D-BA63394D232B}" name="Column5743"/>
    <tableColumn id="5744" xr3:uid="{D433F7D2-C9F3-43AD-844B-DBBC8D9B7A72}" name="Column5744"/>
    <tableColumn id="5745" xr3:uid="{12FE7282-AF56-448A-BCE8-33AA0727C676}" name="Column5745"/>
    <tableColumn id="5746" xr3:uid="{450D43D6-5405-4962-ADC0-F8137529C221}" name="Column5746"/>
    <tableColumn id="5747" xr3:uid="{01CBC144-6973-472E-A1C1-124DAB156A4F}" name="Column5747"/>
    <tableColumn id="5748" xr3:uid="{E95719AF-7357-45D4-A46B-1F46BCD8EA9A}" name="Column5748"/>
    <tableColumn id="5749" xr3:uid="{94F464B9-C9F1-4589-B62E-B7AC0339D8A4}" name="Column5749"/>
    <tableColumn id="5750" xr3:uid="{412364BC-2C9D-45AC-A835-0BE0B0CD95AC}" name="Column5750"/>
    <tableColumn id="5751" xr3:uid="{ABB0BFE8-BFF2-4EFF-A0EC-5F6F2FF5F853}" name="Column5751"/>
    <tableColumn id="5752" xr3:uid="{510E78FE-FC79-4228-82F2-7B312F707E22}" name="Column5752"/>
    <tableColumn id="5753" xr3:uid="{91D9D743-5A28-44A0-9ED0-32C52A0128F4}" name="Column5753"/>
    <tableColumn id="5754" xr3:uid="{DC72AFDC-CEE3-4AFE-BA8B-E5B42266754E}" name="Column5754"/>
    <tableColumn id="5755" xr3:uid="{34FF734F-9697-40B6-A7F8-A25BA994A306}" name="Column5755"/>
    <tableColumn id="5756" xr3:uid="{B4903C4B-06AF-4AE5-B5DA-0B2512D4DA2D}" name="Column5756"/>
    <tableColumn id="5757" xr3:uid="{95D99EE8-E341-4701-AF7F-1D9BEB21DE2F}" name="Column5757"/>
    <tableColumn id="5758" xr3:uid="{AB7C68CF-0FBD-4083-B15B-03C08616C0B0}" name="Column5758"/>
    <tableColumn id="5759" xr3:uid="{351A39DD-492C-4A3B-B6DC-44402FAE6403}" name="Column5759"/>
    <tableColumn id="5760" xr3:uid="{2189A036-30C8-47B9-BBDE-72F319B21FCE}" name="Column5760"/>
    <tableColumn id="5761" xr3:uid="{6365D47E-C246-4D28-8E5F-08185EFD67F4}" name="Column5761"/>
    <tableColumn id="5762" xr3:uid="{75511182-8B1A-40D9-88CB-8757EDE69A2F}" name="Column5762"/>
    <tableColumn id="5763" xr3:uid="{05E2CBCF-52C0-4B8D-A23C-C4C1D54BE7FC}" name="Column5763"/>
    <tableColumn id="5764" xr3:uid="{A8D03FE4-3841-4718-92BD-F99EF57875C1}" name="Column5764"/>
    <tableColumn id="5765" xr3:uid="{1DAA510B-C707-4504-BB4C-5E3684BBD710}" name="Column5765"/>
    <tableColumn id="5766" xr3:uid="{2CBE143D-65CF-4C0C-8451-BFDDB827369E}" name="Column5766"/>
    <tableColumn id="5767" xr3:uid="{5B1DB33D-9A50-47C2-B472-84B6856DFB12}" name="Column5767"/>
    <tableColumn id="5768" xr3:uid="{32847A32-4B01-49C3-8E69-334EAB6EB15C}" name="Column5768"/>
    <tableColumn id="5769" xr3:uid="{3C9D8F57-8FBE-45DF-BBC8-80DCB696EF12}" name="Column5769"/>
    <tableColumn id="5770" xr3:uid="{1A1720C1-D1F0-49AF-B7BA-B365D8DA933C}" name="Column5770"/>
    <tableColumn id="5771" xr3:uid="{D9B93934-4E5E-408A-8982-4DB2A3678A74}" name="Column5771"/>
    <tableColumn id="5772" xr3:uid="{8545A7AB-0629-468E-AF6F-22B028F4B969}" name="Column5772"/>
    <tableColumn id="5773" xr3:uid="{4E73609A-6957-4BD0-817E-9A84CF294284}" name="Column5773"/>
    <tableColumn id="5774" xr3:uid="{2F364DFC-02A2-4102-A870-25D5AE4F1037}" name="Column5774"/>
    <tableColumn id="5775" xr3:uid="{3619C1C2-CAC1-457B-ACE8-DC554843A3C9}" name="Column5775"/>
    <tableColumn id="5776" xr3:uid="{749A9DC3-0D3C-4F77-9D56-D5AD16FC9794}" name="Column5776"/>
    <tableColumn id="5777" xr3:uid="{BFAB1B3F-318F-4540-8207-4FB499A46A5B}" name="Column5777"/>
    <tableColumn id="5778" xr3:uid="{1548CAE6-7126-4B11-B5EE-89232863904D}" name="Column5778"/>
    <tableColumn id="5779" xr3:uid="{B22B05F6-3203-446E-B305-B33172793211}" name="Column5779"/>
    <tableColumn id="5780" xr3:uid="{DD23183B-2DEC-43B8-AE5C-FAF7C2350D37}" name="Column5780"/>
    <tableColumn id="5781" xr3:uid="{E4E28A39-406D-41A3-B840-9F7CE65A3373}" name="Column5781"/>
    <tableColumn id="5782" xr3:uid="{D7AD00AF-E2AE-413E-A926-547315BCE909}" name="Column5782"/>
    <tableColumn id="5783" xr3:uid="{DE661F04-E96D-4764-B51A-23C546DE8AAF}" name="Column5783"/>
    <tableColumn id="5784" xr3:uid="{E4F429A3-8B64-4E4D-9FBC-C93400A2D739}" name="Column5784"/>
    <tableColumn id="5785" xr3:uid="{62410F1C-8055-459A-BA29-F8AFFC406DFE}" name="Column5785"/>
    <tableColumn id="5786" xr3:uid="{7FDED6E6-05BF-4416-A22B-6C53116C7C69}" name="Column5786"/>
    <tableColumn id="5787" xr3:uid="{994956AA-0F64-4CA5-931F-2932A845323A}" name="Column5787"/>
    <tableColumn id="5788" xr3:uid="{866CC830-6CF0-4987-8E72-6EED9B48EBEA}" name="Column5788"/>
    <tableColumn id="5789" xr3:uid="{F1D19D75-DD42-44DA-9BC1-0992C28578B2}" name="Column5789"/>
    <tableColumn id="5790" xr3:uid="{C16EC245-B338-4218-B353-8F2DFB3F3D17}" name="Column5790"/>
    <tableColumn id="5791" xr3:uid="{D3347846-F4F6-4DC2-AA5C-3D1A6DA39E6F}" name="Column5791"/>
    <tableColumn id="5792" xr3:uid="{AD5582FF-A682-489A-BA3B-A61B5EA3B072}" name="Column5792"/>
    <tableColumn id="5793" xr3:uid="{571DA9AA-EB90-4A13-A2DE-C08EA1C81ECA}" name="Column5793"/>
    <tableColumn id="5794" xr3:uid="{E575C9A9-464B-4BBC-ABB7-DB7F1D216D55}" name="Column5794"/>
    <tableColumn id="5795" xr3:uid="{01264866-3E91-4A4D-9065-035AEB4393DE}" name="Column5795"/>
    <tableColumn id="5796" xr3:uid="{CF0E05F9-9A7C-4360-A758-FF3A4C855328}" name="Column5796"/>
    <tableColumn id="5797" xr3:uid="{B3702D94-1D1D-4E20-86A6-21686A751A4F}" name="Column5797"/>
    <tableColumn id="5798" xr3:uid="{51F0D308-3232-4ECA-BA92-E47EAF0546FD}" name="Column5798"/>
    <tableColumn id="5799" xr3:uid="{8844EEE9-D5E7-4239-8C93-AE3C90F1A186}" name="Column5799"/>
    <tableColumn id="5800" xr3:uid="{6FF9B17E-2A5C-47A4-957B-D87AFBB8C509}" name="Column5800"/>
    <tableColumn id="5801" xr3:uid="{B487EAD7-65D8-4F12-A96D-44300D00B33F}" name="Column5801"/>
    <tableColumn id="5802" xr3:uid="{C9A40915-20AA-4327-BD67-1D30F440B86A}" name="Column5802"/>
    <tableColumn id="5803" xr3:uid="{63FA38FF-6462-4371-B7F7-D426D10CB8D9}" name="Column5803"/>
    <tableColumn id="5804" xr3:uid="{3B4B625D-6539-4BF9-A28B-033350FCF83C}" name="Column5804"/>
    <tableColumn id="5805" xr3:uid="{6ABE42C7-6F64-4DCF-98C9-7227629156E4}" name="Column5805"/>
    <tableColumn id="5806" xr3:uid="{642F530D-FAE8-4E0F-9762-0585F1C4FA66}" name="Column5806"/>
    <tableColumn id="5807" xr3:uid="{0933A308-D36E-49BB-B8EA-29FDF3D7198B}" name="Column5807"/>
    <tableColumn id="5808" xr3:uid="{730FDF68-BAD8-4049-860C-5600978CD639}" name="Column5808"/>
    <tableColumn id="5809" xr3:uid="{4BCA38B9-7FAB-46CF-BA74-361256E44E4B}" name="Column5809"/>
    <tableColumn id="5810" xr3:uid="{4CE25D3F-0CDB-4470-8C30-3F27F549622F}" name="Column5810"/>
    <tableColumn id="5811" xr3:uid="{A7CE96B8-2686-4D61-8747-FDDF628731F6}" name="Column5811"/>
    <tableColumn id="5812" xr3:uid="{1AB4C5BE-E342-41F7-9F3F-0017796DBBF4}" name="Column5812"/>
    <tableColumn id="5813" xr3:uid="{5E780C4A-F05E-4EB9-A090-894815944DC6}" name="Column5813"/>
    <tableColumn id="5814" xr3:uid="{35762FEE-C011-464E-9DEB-10B27D6F8531}" name="Column5814"/>
    <tableColumn id="5815" xr3:uid="{1FE3B2CE-D189-4F7D-8026-A4604D8C3F09}" name="Column5815"/>
    <tableColumn id="5816" xr3:uid="{22974A73-060F-444F-8C51-90781689682D}" name="Column5816"/>
    <tableColumn id="5817" xr3:uid="{FECD2B2A-D7D2-4A4E-9EFF-9CAE414E339E}" name="Column5817"/>
    <tableColumn id="5818" xr3:uid="{1632C2AE-91EA-4D7E-B930-F2F601E719A3}" name="Column5818"/>
    <tableColumn id="5819" xr3:uid="{2813984A-9619-422F-953E-44BDBCC18D86}" name="Column5819"/>
    <tableColumn id="5820" xr3:uid="{F48785A3-F6D1-48C5-B6C3-34BF86A156F5}" name="Column5820"/>
    <tableColumn id="5821" xr3:uid="{ADA61657-EB78-4D9C-9B6E-187C96FCA96E}" name="Column5821"/>
    <tableColumn id="5822" xr3:uid="{2B5BBF9B-23FA-4F11-9B93-C096A5AA8910}" name="Column5822"/>
    <tableColumn id="5823" xr3:uid="{27898410-132D-46E2-B92C-3EA6693F2C95}" name="Column5823"/>
    <tableColumn id="5824" xr3:uid="{89D6C461-DF6F-4AF0-ABB3-7844DD36AEAB}" name="Column5824"/>
    <tableColumn id="5825" xr3:uid="{6EAFC28D-78A0-4D18-871A-8CF14EF4FED9}" name="Column5825"/>
    <tableColumn id="5826" xr3:uid="{2A1BC1F4-A72C-49F8-94DE-16A9877F1E92}" name="Column5826"/>
    <tableColumn id="5827" xr3:uid="{17BBC825-6225-4ADA-BE79-AF2EAECA4F33}" name="Column5827"/>
    <tableColumn id="5828" xr3:uid="{A2B2D8CC-9BB4-484D-9220-47BE8239A9E7}" name="Column5828"/>
    <tableColumn id="5829" xr3:uid="{4930641E-CF53-4154-B816-5949139E16AC}" name="Column5829"/>
    <tableColumn id="5830" xr3:uid="{328C8CC7-3FDE-46B0-A7CB-BCD0F23D1CD4}" name="Column5830"/>
    <tableColumn id="5831" xr3:uid="{52F0008E-EFA4-4BA0-81CA-1B88E5CDAEDC}" name="Column5831"/>
    <tableColumn id="5832" xr3:uid="{7196F862-821D-445B-8F77-0732692D3579}" name="Column5832"/>
    <tableColumn id="5833" xr3:uid="{0A92CA14-E0DE-4999-83CF-B1F17A429E0B}" name="Column5833"/>
    <tableColumn id="5834" xr3:uid="{2E1A3D1A-AD1D-4CBD-9390-2C2F2DA1E895}" name="Column5834"/>
    <tableColumn id="5835" xr3:uid="{1FC79345-B6A6-4780-A34D-C61E6353D37F}" name="Column5835"/>
    <tableColumn id="5836" xr3:uid="{4D064031-48BE-4BFF-B848-963D4266D1A0}" name="Column5836"/>
    <tableColumn id="5837" xr3:uid="{2C3FEF6F-A2CC-4588-9F32-F30AE5C7D9DD}" name="Column5837"/>
    <tableColumn id="5838" xr3:uid="{681B695F-4188-42DE-A857-409A9296B151}" name="Column5838"/>
    <tableColumn id="5839" xr3:uid="{BF83DB88-0204-4634-8C74-CE282C8600E8}" name="Column5839"/>
    <tableColumn id="5840" xr3:uid="{B3C777D1-9D3C-4CD0-872A-1BCC5A44309E}" name="Column5840"/>
    <tableColumn id="5841" xr3:uid="{3DBDC46F-42B9-4A73-B819-D9D97E19FCA2}" name="Column5841"/>
    <tableColumn id="5842" xr3:uid="{852F26B5-82DB-4143-ACD6-EAFA2B1A3EF6}" name="Column5842"/>
    <tableColumn id="5843" xr3:uid="{CE9072ED-CD6C-4768-B398-225A515DD38E}" name="Column5843"/>
    <tableColumn id="5844" xr3:uid="{1D740777-F291-4288-9DF3-BED96CF705FD}" name="Column5844"/>
    <tableColumn id="5845" xr3:uid="{20ECF836-5224-4C29-B08E-D811A0CBC33E}" name="Column5845"/>
    <tableColumn id="5846" xr3:uid="{E5EDF7D0-DFC7-4644-A5FA-0A89D2F58D33}" name="Column5846"/>
    <tableColumn id="5847" xr3:uid="{0F5EAD7D-614E-4B93-8B30-A6DA972DC77B}" name="Column5847"/>
    <tableColumn id="5848" xr3:uid="{AD14C204-4912-4744-8A6F-15538997CCB0}" name="Column5848"/>
    <tableColumn id="5849" xr3:uid="{C9C977D5-9DE3-4DD0-BCC9-B66F4C27C39C}" name="Column5849"/>
    <tableColumn id="5850" xr3:uid="{3BEF2FE3-0DAA-4397-AF29-7818B62E8DA1}" name="Column5850"/>
    <tableColumn id="5851" xr3:uid="{D64AB944-DC46-49C5-8530-4ADF786D5196}" name="Column5851"/>
    <tableColumn id="5852" xr3:uid="{FC8C266B-21CD-42B6-846F-E2E7319D68AA}" name="Column5852"/>
    <tableColumn id="5853" xr3:uid="{2269DDA0-9B13-4C07-82C0-B7C468590F62}" name="Column5853"/>
    <tableColumn id="5854" xr3:uid="{D6A3E239-8617-4FB7-9123-E6573407AAEA}" name="Column5854"/>
    <tableColumn id="5855" xr3:uid="{D67E75C0-9CF9-4A3C-888B-E041534F6467}" name="Column5855"/>
    <tableColumn id="5856" xr3:uid="{8949CC28-7625-45A8-993F-6A4C48DDC94A}" name="Column5856"/>
    <tableColumn id="5857" xr3:uid="{35B91D00-3B9C-46F0-B3F5-C575958B709F}" name="Column5857"/>
    <tableColumn id="5858" xr3:uid="{B4816572-C73B-405D-8174-831251A9EB3E}" name="Column5858"/>
    <tableColumn id="5859" xr3:uid="{2BD98099-C599-4D70-94E0-2DC29701AB5B}" name="Column5859"/>
    <tableColumn id="5860" xr3:uid="{F94F02C3-8F1D-436E-A227-40BC85DE29A1}" name="Column5860"/>
    <tableColumn id="5861" xr3:uid="{86636C00-02D5-4F49-96F6-2F435229450B}" name="Column5861"/>
    <tableColumn id="5862" xr3:uid="{5873EC30-8C13-42D3-911D-31069B5FCAD7}" name="Column5862"/>
    <tableColumn id="5863" xr3:uid="{C55F68C0-7B2C-4D58-A67E-D1DFB36EA6BB}" name="Column5863"/>
    <tableColumn id="5864" xr3:uid="{81B150EE-C7C3-4B0D-B22F-603DE96BD2ED}" name="Column5864"/>
    <tableColumn id="5865" xr3:uid="{50464481-6CBA-4C3E-8465-3C2482188654}" name="Column5865"/>
    <tableColumn id="5866" xr3:uid="{71C2283E-3C4D-4FF8-BDB7-6422A31D2589}" name="Column5866"/>
    <tableColumn id="5867" xr3:uid="{7BCFC0D7-7A10-4517-9690-E461E3C1B6AB}" name="Column5867"/>
    <tableColumn id="5868" xr3:uid="{6356D9BD-C714-43FD-892A-0A41E021A9D9}" name="Column5868"/>
    <tableColumn id="5869" xr3:uid="{78B3FB13-8000-4F76-B7BF-C608947D5811}" name="Column5869"/>
    <tableColumn id="5870" xr3:uid="{D035D80A-69F9-446E-87A7-FD5958E570AE}" name="Column5870"/>
    <tableColumn id="5871" xr3:uid="{8FD4DADC-78FB-4A31-BB1E-15C832B9F5C8}" name="Column5871"/>
    <tableColumn id="5872" xr3:uid="{42749422-9CFA-4B70-9945-0B6B7036DBF7}" name="Column5872"/>
    <tableColumn id="5873" xr3:uid="{1B6E2275-99EA-46E5-B141-C8CA5B47CED2}" name="Column5873"/>
    <tableColumn id="5874" xr3:uid="{8EF3CBF0-B5E2-4BB5-B5B7-529E87197186}" name="Column5874"/>
    <tableColumn id="5875" xr3:uid="{FE73341E-AEDC-4ECD-8238-87885753BD34}" name="Column5875"/>
    <tableColumn id="5876" xr3:uid="{5D3400BD-8A90-41D9-B6C9-C457A2222F04}" name="Column5876"/>
    <tableColumn id="5877" xr3:uid="{F9376BB2-1EF6-4B79-99B4-870ECE32CEDD}" name="Column5877"/>
    <tableColumn id="5878" xr3:uid="{21539429-D4E4-4D1D-85A6-B169ECFB22BF}" name="Column5878"/>
    <tableColumn id="5879" xr3:uid="{3AE633E3-7674-4114-A536-A64844C17A94}" name="Column5879"/>
    <tableColumn id="5880" xr3:uid="{332C4403-25C8-4E86-96AB-CB3B8E0365B2}" name="Column5880"/>
    <tableColumn id="5881" xr3:uid="{E27F8955-F752-4B35-B70F-BDEEACB318E7}" name="Column5881"/>
    <tableColumn id="5882" xr3:uid="{E90A2F06-9295-4EEC-AB0E-71DB1ABF7ED7}" name="Column5882"/>
    <tableColumn id="5883" xr3:uid="{09FCAF84-4F99-4B5C-86EA-C8D7009E40C0}" name="Column5883"/>
    <tableColumn id="5884" xr3:uid="{B85F6471-F366-4A54-80E0-7AD6ED59050A}" name="Column5884"/>
    <tableColumn id="5885" xr3:uid="{89738917-CFCB-4B82-AAAF-79E35441784E}" name="Column5885"/>
    <tableColumn id="5886" xr3:uid="{5FE88087-4CC5-412C-8C13-31E4836C9925}" name="Column5886"/>
    <tableColumn id="5887" xr3:uid="{3CF4AFE2-9573-4057-AC57-8DB2ACBA2EC6}" name="Column5887"/>
    <tableColumn id="5888" xr3:uid="{693885BD-CEB2-4637-8157-C98D162D6452}" name="Column5888"/>
    <tableColumn id="5889" xr3:uid="{555CC549-C1F1-47D2-A22E-BA4586DBFD02}" name="Column5889"/>
    <tableColumn id="5890" xr3:uid="{0EF2AF59-633B-4D83-88BA-5F4A8437C8FB}" name="Column5890"/>
    <tableColumn id="5891" xr3:uid="{C5372F6B-E5D8-445C-9359-1B39A13135D0}" name="Column5891"/>
    <tableColumn id="5892" xr3:uid="{136F2469-B7DB-41AF-A2D6-51E064498FBE}" name="Column5892"/>
    <tableColumn id="5893" xr3:uid="{321B8ECC-93CA-4B73-A3D7-B3866E81CB44}" name="Column5893"/>
    <tableColumn id="5894" xr3:uid="{ED847E43-2295-4D28-849F-1BF231B6C1EC}" name="Column5894"/>
    <tableColumn id="5895" xr3:uid="{8A82D3D9-54D7-4FAF-96A9-79842ACCDAFC}" name="Column5895"/>
    <tableColumn id="5896" xr3:uid="{61DF7D0F-39BC-4BD1-B474-8D0D1C23DCBC}" name="Column5896"/>
    <tableColumn id="5897" xr3:uid="{5F2A465B-4735-4DF8-A312-EC883D35F993}" name="Column5897"/>
    <tableColumn id="5898" xr3:uid="{D9B295B2-DB21-40E6-B6EE-57B22F9EF861}" name="Column5898"/>
    <tableColumn id="5899" xr3:uid="{1A9B75A0-AD4E-44B6-B04F-622C7D58A6E4}" name="Column5899"/>
    <tableColumn id="5900" xr3:uid="{4D4BA037-3EA7-41B2-B2E4-FC03FC8A3F2C}" name="Column5900"/>
    <tableColumn id="5901" xr3:uid="{BAB634A3-5A24-4AD1-AC6E-8AD9D37900AC}" name="Column5901"/>
    <tableColumn id="5902" xr3:uid="{B54A292C-A1DA-471F-8BE7-0E6927E043BF}" name="Column5902"/>
    <tableColumn id="5903" xr3:uid="{E2DAC2E3-4894-4CDA-83BE-BF2A683948C3}" name="Column5903"/>
    <tableColumn id="5904" xr3:uid="{1CA90F11-3E52-4A16-B922-E898ED3DD40A}" name="Column5904"/>
    <tableColumn id="5905" xr3:uid="{3AF634BA-67D9-4B33-A929-A5EE17C65D30}" name="Column5905"/>
    <tableColumn id="5906" xr3:uid="{9D57ABE2-D275-4F9C-BA10-0C52AD83E6A0}" name="Column5906"/>
    <tableColumn id="5907" xr3:uid="{0C314B2A-A65A-4D2B-B401-51BA7AE03003}" name="Column5907"/>
    <tableColumn id="5908" xr3:uid="{95655AA5-4055-40A7-A846-E967AA4A0C30}" name="Column5908"/>
    <tableColumn id="5909" xr3:uid="{8C90535A-0B41-4464-93C6-E77CF83BE2F1}" name="Column5909"/>
    <tableColumn id="5910" xr3:uid="{8C0C7D43-9A22-4772-8D69-173303AD018D}" name="Column5910"/>
    <tableColumn id="5911" xr3:uid="{3BFF005E-D3F3-4FF1-9325-7AF02B8D3290}" name="Column5911"/>
    <tableColumn id="5912" xr3:uid="{350947C9-118B-4B6F-B34D-2D160A36CEAE}" name="Column5912"/>
    <tableColumn id="5913" xr3:uid="{848CBE75-9A3B-4FF9-8977-5BEDC16FB9AE}" name="Column5913"/>
    <tableColumn id="5914" xr3:uid="{857D8F26-CB34-407C-B1F2-A917DE853F0F}" name="Column5914"/>
    <tableColumn id="5915" xr3:uid="{0C8916EE-D9BC-4D6E-92BD-B90A2C94924A}" name="Column5915"/>
    <tableColumn id="5916" xr3:uid="{528E8018-3073-4460-B7F9-E9C29F27C381}" name="Column5916"/>
    <tableColumn id="5917" xr3:uid="{3A6B7497-49E4-42C5-A2F9-34C7164418BE}" name="Column5917"/>
    <tableColumn id="5918" xr3:uid="{452E1F65-170D-4751-9C03-5FDECC6E2087}" name="Column5918"/>
    <tableColumn id="5919" xr3:uid="{1E5E897F-84AA-4AD7-8175-DDCC35B09069}" name="Column5919"/>
    <tableColumn id="5920" xr3:uid="{6D49387A-93D6-425B-A39F-08FCA07A3602}" name="Column5920"/>
    <tableColumn id="5921" xr3:uid="{450A10A1-BBAE-4E9A-BE92-950F24F59896}" name="Column5921"/>
    <tableColumn id="5922" xr3:uid="{9D11D8A1-BE33-444E-90FB-031D7266BD13}" name="Column5922"/>
    <tableColumn id="5923" xr3:uid="{4353ECE9-554B-40F4-BB56-D1A5F870E99A}" name="Column5923"/>
    <tableColumn id="5924" xr3:uid="{71152CD5-853D-45E3-AABC-33AB8173685C}" name="Column5924"/>
    <tableColumn id="5925" xr3:uid="{6AF9D539-AD58-4A36-BA54-7E036A58F37C}" name="Column5925"/>
    <tableColumn id="5926" xr3:uid="{3325D3DD-AE15-490A-B588-E263C9BC7B51}" name="Column5926"/>
    <tableColumn id="5927" xr3:uid="{A9639750-67DF-4B2C-BE5B-938F07AE837B}" name="Column5927"/>
    <tableColumn id="5928" xr3:uid="{99025A19-72FE-480E-90CA-0883BAFF575F}" name="Column5928"/>
    <tableColumn id="5929" xr3:uid="{FE574B1D-A638-49DC-BD4C-28F486A37D37}" name="Column5929"/>
    <tableColumn id="5930" xr3:uid="{0CD6D7A9-C8FC-455C-AF5A-CF5A3AB3732B}" name="Column5930"/>
    <tableColumn id="5931" xr3:uid="{D30A1C49-3A13-47D3-934E-EA9E057C6BB3}" name="Column5931"/>
    <tableColumn id="5932" xr3:uid="{BFD0AEAB-C965-4D81-BEEE-EC5C62661309}" name="Column5932"/>
    <tableColumn id="5933" xr3:uid="{FAFACF7D-5A02-4585-95C1-C317D7AD039D}" name="Column5933"/>
    <tableColumn id="5934" xr3:uid="{B138D385-B162-4077-97EA-424483B1E8F6}" name="Column5934"/>
    <tableColumn id="5935" xr3:uid="{BB595D78-3056-4B9D-98D8-AC3AD587D75F}" name="Column5935"/>
    <tableColumn id="5936" xr3:uid="{B2E2E418-AA40-42F2-BDBA-583EBD9DC6BE}" name="Column5936"/>
    <tableColumn id="5937" xr3:uid="{28F1715E-1BB2-4BDE-A114-BE5D59B7848E}" name="Column5937"/>
    <tableColumn id="5938" xr3:uid="{37089681-3276-46FD-A521-F6F1743EAA93}" name="Column5938"/>
    <tableColumn id="5939" xr3:uid="{867B1529-BE38-45A5-9230-C6D4B851C48D}" name="Column5939"/>
    <tableColumn id="5940" xr3:uid="{1E285CA8-70D5-4C8E-8246-FD52539B1586}" name="Column5940"/>
    <tableColumn id="5941" xr3:uid="{0F5A178F-3BDD-4342-B084-E5E4C685D95B}" name="Column5941"/>
    <tableColumn id="5942" xr3:uid="{BEC9E599-1539-4D06-834A-4ED7147D14FF}" name="Column5942"/>
    <tableColumn id="5943" xr3:uid="{9BBA783D-FE88-4366-AD25-66E755E5684D}" name="Column5943"/>
    <tableColumn id="5944" xr3:uid="{CAA4AB09-E4B4-43F9-8ADA-A292FC38AB24}" name="Column5944"/>
    <tableColumn id="5945" xr3:uid="{F5CF9EBC-3EF1-42D8-BBE4-6AC2D23C5051}" name="Column5945"/>
    <tableColumn id="5946" xr3:uid="{FA1452AE-DEBF-4AFF-8CA7-26676F884BC9}" name="Column5946"/>
    <tableColumn id="5947" xr3:uid="{E13C68D9-ADD2-4D2B-8042-21B0CB07FF25}" name="Column5947"/>
    <tableColumn id="5948" xr3:uid="{350169BE-3061-4899-82F5-F7DFCF45FDFB}" name="Column5948"/>
    <tableColumn id="5949" xr3:uid="{8ABBC4D6-E74E-45E8-90F9-4CBCA23F555D}" name="Column5949"/>
    <tableColumn id="5950" xr3:uid="{9EF8BE15-0455-47C8-971D-A9B0A2F335F5}" name="Column5950"/>
    <tableColumn id="5951" xr3:uid="{8BBB78DC-F0C7-4717-A3E1-C771FEB4E434}" name="Column5951"/>
    <tableColumn id="5952" xr3:uid="{2FA67429-A1CD-404D-8E8C-532FD413A265}" name="Column5952"/>
    <tableColumn id="5953" xr3:uid="{F25092B3-372E-47AA-AA3E-441E7CE470BA}" name="Column5953"/>
    <tableColumn id="5954" xr3:uid="{DD14D283-2C6C-4915-8B21-AE50944A2E3E}" name="Column5954"/>
    <tableColumn id="5955" xr3:uid="{ACE4CA69-E1E5-4C85-9031-67B87CB2D9B6}" name="Column5955"/>
    <tableColumn id="5956" xr3:uid="{2C6AE005-1F13-46E0-8747-11CD6F764E3C}" name="Column5956"/>
    <tableColumn id="5957" xr3:uid="{D093166A-E4B0-45B7-B703-D5FD7EE964E7}" name="Column5957"/>
    <tableColumn id="5958" xr3:uid="{1A062F1A-E9AE-491A-9BF4-E61413CC92F8}" name="Column5958"/>
    <tableColumn id="5959" xr3:uid="{D0FF3C9B-932A-441C-AFAC-24B24F246A94}" name="Column5959"/>
    <tableColumn id="5960" xr3:uid="{8408C9ED-26DD-490F-9EAF-DD375B17C4E0}" name="Column5960"/>
    <tableColumn id="5961" xr3:uid="{BFB9A6AB-B30B-4347-81B1-87BCAE58F7B0}" name="Column5961"/>
    <tableColumn id="5962" xr3:uid="{90719E33-9C85-4A9E-9A89-9C46AEADEE3A}" name="Column5962"/>
    <tableColumn id="5963" xr3:uid="{7A045CDA-6C8D-4697-9F4C-A399FCABDEB5}" name="Column5963"/>
    <tableColumn id="5964" xr3:uid="{BBC58C24-E607-4B68-A5B9-FCE2645554E9}" name="Column5964"/>
    <tableColumn id="5965" xr3:uid="{6F32B274-5924-4C60-8273-6A53213CFC0C}" name="Column5965"/>
    <tableColumn id="5966" xr3:uid="{CDD0157F-96C9-4EE9-ADB4-2D696D67983C}" name="Column5966"/>
    <tableColumn id="5967" xr3:uid="{EAAA3D25-5517-4B88-801C-206DDB52FDB7}" name="Column5967"/>
    <tableColumn id="5968" xr3:uid="{0ABA9B0D-88B4-423C-855E-CF6C739DC8F5}" name="Column5968"/>
    <tableColumn id="5969" xr3:uid="{FD15DFB6-D9B0-4831-A19D-6A644EBA2172}" name="Column5969"/>
    <tableColumn id="5970" xr3:uid="{84A503E7-9621-4DD9-A99C-1DAD3D0868A9}" name="Column5970"/>
    <tableColumn id="5971" xr3:uid="{F3ADCFC9-0147-41EB-B4A7-2B5E75897324}" name="Column5971"/>
    <tableColumn id="5972" xr3:uid="{EA3BD723-BC92-48C5-9ACE-2874121A558A}" name="Column5972"/>
    <tableColumn id="5973" xr3:uid="{D70900AB-2AA1-4730-A1F2-7546712D2E24}" name="Column5973"/>
    <tableColumn id="5974" xr3:uid="{97860C7B-452F-41DE-839B-99E601B53BB5}" name="Column5974"/>
    <tableColumn id="5975" xr3:uid="{EF4B77BF-CB10-4F13-B4E2-63FF39DAB8FE}" name="Column5975"/>
    <tableColumn id="5976" xr3:uid="{987D172A-BE08-4CC2-86B5-8407650A3FD3}" name="Column5976"/>
    <tableColumn id="5977" xr3:uid="{2D535470-97BF-4571-9BBF-23B06C33D14A}" name="Column5977"/>
    <tableColumn id="5978" xr3:uid="{534C3ADD-86FB-4D3B-AF38-3F664999CA2A}" name="Column5978"/>
    <tableColumn id="5979" xr3:uid="{09E31EDC-DEC7-43A5-B0CF-819CCA2265E7}" name="Column5979"/>
    <tableColumn id="5980" xr3:uid="{FE1CD385-1466-441B-AFAF-C2779F4C4164}" name="Column5980"/>
    <tableColumn id="5981" xr3:uid="{9514BC4A-5931-42F7-83D3-317A73F253B6}" name="Column5981"/>
    <tableColumn id="5982" xr3:uid="{FF75C416-33E7-4EFA-B54E-5ADE485D131E}" name="Column5982"/>
    <tableColumn id="5983" xr3:uid="{8530B85B-FA5E-41D3-AEC6-59E22926D06A}" name="Column5983"/>
    <tableColumn id="5984" xr3:uid="{DD3730DD-D3E9-440C-ACE6-195098E2AF93}" name="Column5984"/>
    <tableColumn id="5985" xr3:uid="{EE6526C9-E532-47CD-AB1B-AC0CD62BCDB4}" name="Column5985"/>
    <tableColumn id="5986" xr3:uid="{8737E768-82A8-4B37-AED7-F902E204E6E8}" name="Column5986"/>
    <tableColumn id="5987" xr3:uid="{57D61BC7-884A-45F4-A45A-74F265E151B6}" name="Column5987"/>
    <tableColumn id="5988" xr3:uid="{5544199A-2A44-47FB-907F-3814E9EA47D5}" name="Column5988"/>
    <tableColumn id="5989" xr3:uid="{3278F83B-E8AC-46A5-A352-E58F4D11E4BD}" name="Column5989"/>
    <tableColumn id="5990" xr3:uid="{4FA0EEAE-C56E-4BD7-AC16-018600799244}" name="Column5990"/>
    <tableColumn id="5991" xr3:uid="{D381FFF5-E442-41F9-9019-32FB6C9C6F4B}" name="Column5991"/>
    <tableColumn id="5992" xr3:uid="{61678825-035F-4CCA-9724-8243793929EA}" name="Column5992"/>
    <tableColumn id="5993" xr3:uid="{00BE702B-6213-42B2-9706-63C50966B949}" name="Column5993"/>
    <tableColumn id="5994" xr3:uid="{7F3C0288-7314-406B-B5F4-22DC52470333}" name="Column5994"/>
    <tableColumn id="5995" xr3:uid="{F16D120C-C827-4D0D-BA41-2BFA52968D11}" name="Column5995"/>
    <tableColumn id="5996" xr3:uid="{1D591CC1-BC4B-4437-BEA6-8F598D475C5D}" name="Column5996"/>
    <tableColumn id="5997" xr3:uid="{76F8B3B2-5875-43F6-928C-13E050F9CAAD}" name="Column5997"/>
    <tableColumn id="5998" xr3:uid="{8CF2AD6F-56BF-4D24-B34B-47F114B1D788}" name="Column5998"/>
    <tableColumn id="5999" xr3:uid="{7A231DA2-72A5-4BB6-8CEB-AD49A2CD6B09}" name="Column5999"/>
    <tableColumn id="6000" xr3:uid="{957D7943-92E3-47AD-A3F6-D277065475EE}" name="Column6000"/>
    <tableColumn id="6001" xr3:uid="{B158037E-0FFF-4F81-96E0-67767CC19984}" name="Column6001"/>
    <tableColumn id="6002" xr3:uid="{8870BE85-E009-4A0A-82D9-D8F236184BFB}" name="Column6002"/>
    <tableColumn id="6003" xr3:uid="{F03E1D35-362E-48B8-A8A2-83C3D36B1704}" name="Column6003"/>
    <tableColumn id="6004" xr3:uid="{7317CA4C-6B3A-4810-B993-D034B64457BE}" name="Column6004"/>
    <tableColumn id="6005" xr3:uid="{2BC1E2A4-B12B-4045-8A27-D9660ED1E8DA}" name="Column6005"/>
    <tableColumn id="6006" xr3:uid="{831CC70C-D8C9-4DA4-A428-705F73B956D0}" name="Column6006"/>
    <tableColumn id="6007" xr3:uid="{9781B2C0-B0FC-4F03-B7A9-44A06B0BFE24}" name="Column6007"/>
    <tableColumn id="6008" xr3:uid="{93EEE228-FBC7-4C84-87D7-610B487EB80E}" name="Column6008"/>
    <tableColumn id="6009" xr3:uid="{E5471099-354E-4609-B7AD-4E476B529848}" name="Column6009"/>
    <tableColumn id="6010" xr3:uid="{3A7252D9-0F7B-4511-B3AE-238AA29B1349}" name="Column6010"/>
    <tableColumn id="6011" xr3:uid="{D01A40E6-AF9D-4933-A7A5-F8F9CDC822DF}" name="Column6011"/>
    <tableColumn id="6012" xr3:uid="{903AC79F-080C-4B12-8E6A-C42432B48537}" name="Column6012"/>
    <tableColumn id="6013" xr3:uid="{36C1F758-C95C-413B-98F8-6D3508D2E201}" name="Column6013"/>
    <tableColumn id="6014" xr3:uid="{191924BF-4D7E-4A8A-A756-FEA770FD09FE}" name="Column6014"/>
    <tableColumn id="6015" xr3:uid="{6BAF8E33-8512-413E-8014-15467B3B28B5}" name="Column6015"/>
    <tableColumn id="6016" xr3:uid="{3D33E3E5-4A62-4794-BB3F-37F8AEF6ACDD}" name="Column6016"/>
    <tableColumn id="6017" xr3:uid="{AC2AC1BC-3452-4E72-957A-94754850AC4A}" name="Column6017"/>
    <tableColumn id="6018" xr3:uid="{169AA1BF-BAB3-4EDF-85CC-DD7EBA3F2CC9}" name="Column6018"/>
    <tableColumn id="6019" xr3:uid="{5A36E944-F9C6-43A5-9A2B-D7F3DC3B8731}" name="Column6019"/>
    <tableColumn id="6020" xr3:uid="{41CDA873-EF35-49FF-A27D-43CEC33F9C49}" name="Column6020"/>
    <tableColumn id="6021" xr3:uid="{D1782AAA-9AA2-4E6F-9EF5-AC4FD01DF7E2}" name="Column6021"/>
    <tableColumn id="6022" xr3:uid="{8298A827-B3D4-48FC-89ED-78BD01560FF0}" name="Column6022"/>
    <tableColumn id="6023" xr3:uid="{A3BA95DE-BDAC-4D4E-BC7B-0ADEBE640928}" name="Column6023"/>
    <tableColumn id="6024" xr3:uid="{C6904E5E-41E5-4A3E-BBFD-6519DBED4317}" name="Column6024"/>
    <tableColumn id="6025" xr3:uid="{BDE7B545-812C-4675-A2C4-DA895974C08D}" name="Column6025"/>
    <tableColumn id="6026" xr3:uid="{08180354-DCC8-4D17-9446-C0C9EC393DB7}" name="Column6026"/>
    <tableColumn id="6027" xr3:uid="{048E4083-AD15-4F2E-8751-CBBE5B182E86}" name="Column6027"/>
    <tableColumn id="6028" xr3:uid="{95825916-411B-4F68-B234-3D4DF3620BDE}" name="Column6028"/>
    <tableColumn id="6029" xr3:uid="{D4ED8F93-5021-4594-AB4F-7EC9B2E000C0}" name="Column6029"/>
    <tableColumn id="6030" xr3:uid="{D47634B6-3BEE-40B3-A89D-9133A13176AF}" name="Column6030"/>
    <tableColumn id="6031" xr3:uid="{E5BFC020-0240-4934-850F-B698DBD194F2}" name="Column6031"/>
    <tableColumn id="6032" xr3:uid="{3126AD60-C3F1-48AE-8B40-84FC820B8EBC}" name="Column6032"/>
    <tableColumn id="6033" xr3:uid="{6F386CBE-CD24-4C5F-AFFB-380A34135A50}" name="Column6033"/>
    <tableColumn id="6034" xr3:uid="{D10331BA-B744-4469-B42E-4554BC431A43}" name="Column6034"/>
    <tableColumn id="6035" xr3:uid="{49103768-A537-4978-97A9-D8CF0B2E1E4D}" name="Column6035"/>
    <tableColumn id="6036" xr3:uid="{019A14EC-FBBB-43B3-998A-D1B284FB502F}" name="Column6036"/>
    <tableColumn id="6037" xr3:uid="{4A86B6CA-B31F-45D9-A144-D752A71A8E48}" name="Column6037"/>
    <tableColumn id="6038" xr3:uid="{8BA026D5-0DAD-4628-BEA1-2E8B050BA044}" name="Column6038"/>
    <tableColumn id="6039" xr3:uid="{744436E6-47EE-4A74-ADE0-5B9DC2AFE2A8}" name="Column6039"/>
    <tableColumn id="6040" xr3:uid="{9344BAE4-216D-43AD-BA6B-884A66282288}" name="Column6040"/>
    <tableColumn id="6041" xr3:uid="{15DD1D33-7B92-452A-A6D5-E458AC7E6F2E}" name="Column6041"/>
    <tableColumn id="6042" xr3:uid="{E52BD9DD-4D4C-427D-9F7C-730F2CC9EA4C}" name="Column6042"/>
    <tableColumn id="6043" xr3:uid="{93D86ADA-5C81-4792-9A35-54133B1DF5C7}" name="Column6043"/>
    <tableColumn id="6044" xr3:uid="{E4E03AC6-F41C-42F0-9E79-1A46DD0E284D}" name="Column6044"/>
    <tableColumn id="6045" xr3:uid="{62BD40C0-15DA-450E-B055-DA14DCE4A4C6}" name="Column6045"/>
    <tableColumn id="6046" xr3:uid="{2B381F3D-6EB7-4114-B864-DEA3B27901F5}" name="Column6046"/>
    <tableColumn id="6047" xr3:uid="{61A82E8A-9C26-4396-B77C-6F2C25B1D565}" name="Column6047"/>
    <tableColumn id="6048" xr3:uid="{17DFAACE-E034-41D8-AA95-60481B3C81A4}" name="Column6048"/>
    <tableColumn id="6049" xr3:uid="{7244C5B9-14C7-44A5-933F-A75CDFC71CD7}" name="Column6049"/>
    <tableColumn id="6050" xr3:uid="{B968734D-604E-45AE-BC99-11229672860C}" name="Column6050"/>
    <tableColumn id="6051" xr3:uid="{20825F16-5981-40FC-ACE5-CCD0004AB49A}" name="Column6051"/>
    <tableColumn id="6052" xr3:uid="{D191AF02-E777-43BE-9618-35FB3578E2F6}" name="Column6052"/>
    <tableColumn id="6053" xr3:uid="{5ACA7226-B369-4B66-8AE0-F5DEAA37D36D}" name="Column6053"/>
    <tableColumn id="6054" xr3:uid="{5C9CE2FF-6089-4133-A170-7419C50C302D}" name="Column6054"/>
    <tableColumn id="6055" xr3:uid="{609574A8-A296-4CF3-AC55-51714ED65568}" name="Column6055"/>
    <tableColumn id="6056" xr3:uid="{A2D4D208-62B2-45E6-B956-B1C1AD739CA7}" name="Column6056"/>
    <tableColumn id="6057" xr3:uid="{87106B2C-D661-4F7D-AA83-58D5C2A9286A}" name="Column6057"/>
    <tableColumn id="6058" xr3:uid="{CE883FB6-8091-40BA-BCE5-11F096E6D519}" name="Column6058"/>
    <tableColumn id="6059" xr3:uid="{3A0898B0-DBE3-4270-A0BF-A542979AA53E}" name="Column6059"/>
    <tableColumn id="6060" xr3:uid="{20E0D23A-63F8-4215-8EFE-2DDF135FF022}" name="Column6060"/>
    <tableColumn id="6061" xr3:uid="{9E0DE70C-FF70-448F-A589-7AEA99C3B32E}" name="Column6061"/>
    <tableColumn id="6062" xr3:uid="{29AFDEBE-A187-428A-B1F2-A8070FF2465A}" name="Column6062"/>
    <tableColumn id="6063" xr3:uid="{2BE12C82-3971-4824-9DAE-5B98E447F93C}" name="Column6063"/>
    <tableColumn id="6064" xr3:uid="{FD1F30EB-9D05-415A-9C00-3A81C74657E3}" name="Column6064"/>
    <tableColumn id="6065" xr3:uid="{05E9D57C-15A2-4CA4-AF16-3846CB384984}" name="Column6065"/>
    <tableColumn id="6066" xr3:uid="{5CD3FEAD-6F4C-48E5-9E77-05801B48EC7C}" name="Column6066"/>
    <tableColumn id="6067" xr3:uid="{F61E0A9D-1918-4EB9-8D94-8D53B56334F3}" name="Column6067"/>
    <tableColumn id="6068" xr3:uid="{95F8AC4A-78D8-4C5C-AF97-C20A97BDDD9E}" name="Column6068"/>
    <tableColumn id="6069" xr3:uid="{22DFA493-E8E8-4874-89E7-826696DC3D25}" name="Column6069"/>
    <tableColumn id="6070" xr3:uid="{B39F9026-0477-4132-836F-7FB0216AA29C}" name="Column6070"/>
    <tableColumn id="6071" xr3:uid="{11B61CAB-AFBD-4D21-B4E7-C33C8BB869C2}" name="Column6071"/>
    <tableColumn id="6072" xr3:uid="{3047C021-9DB0-4DD4-8D23-0359D0BD6AED}" name="Column6072"/>
    <tableColumn id="6073" xr3:uid="{589FF3A7-A4C2-451E-928B-32FE8A9DFB75}" name="Column6073"/>
    <tableColumn id="6074" xr3:uid="{A13B89E4-EB59-4852-85FA-574DD38090F0}" name="Column6074"/>
    <tableColumn id="6075" xr3:uid="{342C70E3-974B-4BC8-B8D1-9506137C3EDB}" name="Column6075"/>
    <tableColumn id="6076" xr3:uid="{2F43BEFC-7B60-42C3-9374-644E563386E2}" name="Column6076"/>
    <tableColumn id="6077" xr3:uid="{DA58DD87-8011-4D23-88D9-263FC9BF04D1}" name="Column6077"/>
    <tableColumn id="6078" xr3:uid="{364A98C7-6EED-4724-B645-F43CF13EF1FE}" name="Column6078"/>
    <tableColumn id="6079" xr3:uid="{85548121-ADB3-4F0B-8972-FB450671F24F}" name="Column6079"/>
    <tableColumn id="6080" xr3:uid="{BD8A6D88-7C05-4557-B96D-7A1AB6D504E7}" name="Column6080"/>
    <tableColumn id="6081" xr3:uid="{8B033937-5654-4FAB-91C3-6562EC8B1AD9}" name="Column6081"/>
    <tableColumn id="6082" xr3:uid="{7B3C1EEC-85F7-4F21-9642-0B7A75E1B9A9}" name="Column6082"/>
    <tableColumn id="6083" xr3:uid="{3B013F18-4D0B-4EBF-B859-3F62701BA735}" name="Column6083"/>
    <tableColumn id="6084" xr3:uid="{C9B776F3-077C-4F7A-B738-07236B9D86B7}" name="Column6084"/>
    <tableColumn id="6085" xr3:uid="{E17E82EA-F7F3-4967-BCC7-EAD1BEB1DC27}" name="Column6085"/>
    <tableColumn id="6086" xr3:uid="{75837F94-1811-4F00-97E6-CFF48E94B649}" name="Column6086"/>
    <tableColumn id="6087" xr3:uid="{32B677C6-872F-4488-904D-BF708BFD4C74}" name="Column6087"/>
    <tableColumn id="6088" xr3:uid="{030D8648-3FB9-42CF-9BAF-96415D5311FF}" name="Column6088"/>
    <tableColumn id="6089" xr3:uid="{408CE1A8-2CFD-42FA-B284-4E41F2DF9687}" name="Column6089"/>
    <tableColumn id="6090" xr3:uid="{0FD7F338-9721-4385-A8A4-8255E992EAF3}" name="Column6090"/>
    <tableColumn id="6091" xr3:uid="{554A2C88-9BA3-4D29-A615-C202AFDFC1E0}" name="Column6091"/>
    <tableColumn id="6092" xr3:uid="{2E868538-C549-4194-800F-C3F9797B91B0}" name="Column6092"/>
    <tableColumn id="6093" xr3:uid="{C532E7C8-2F55-47BF-9E01-EE3BF5B50488}" name="Column6093"/>
    <tableColumn id="6094" xr3:uid="{2659C6C9-E324-4491-BD80-398BE7588685}" name="Column6094"/>
    <tableColumn id="6095" xr3:uid="{BE89DDAA-70B3-44C3-AD05-31914ABDC018}" name="Column6095"/>
    <tableColumn id="6096" xr3:uid="{59426398-A974-4394-9844-45B75C709E59}" name="Column6096"/>
    <tableColumn id="6097" xr3:uid="{FD579A71-A8FE-440C-8C71-7E004DAA736B}" name="Column6097"/>
    <tableColumn id="6098" xr3:uid="{CC52B6AF-780E-4FFB-8994-546564C61975}" name="Column6098"/>
    <tableColumn id="6099" xr3:uid="{8E0C079E-EC31-4641-B63C-84303710D30F}" name="Column6099"/>
    <tableColumn id="6100" xr3:uid="{EFB77062-D718-4631-99F2-8A26708C5B0F}" name="Column6100"/>
    <tableColumn id="6101" xr3:uid="{88B38C1F-3C3A-45F3-9BCB-95A884C6A9FF}" name="Column6101"/>
    <tableColumn id="6102" xr3:uid="{28E60EC3-F6C7-4650-9C14-F5308E43CDA5}" name="Column6102"/>
    <tableColumn id="6103" xr3:uid="{EDF7BCF8-90FA-452E-BF7E-3BDB4001DD0D}" name="Column6103"/>
    <tableColumn id="6104" xr3:uid="{F794B7ED-0173-4254-8932-CCD4986A158A}" name="Column6104"/>
    <tableColumn id="6105" xr3:uid="{146CA8EF-A4A1-4495-A2D1-01AD681C9B55}" name="Column6105"/>
    <tableColumn id="6106" xr3:uid="{2A736EFA-084B-430D-ADC0-AB284BD90F5F}" name="Column6106"/>
    <tableColumn id="6107" xr3:uid="{207D16D9-F9DF-4328-AFED-0F6E91992F97}" name="Column6107"/>
    <tableColumn id="6108" xr3:uid="{07009985-9B0C-4032-80DE-8EDB44D35419}" name="Column6108"/>
    <tableColumn id="6109" xr3:uid="{EC80EE03-F00E-4626-874C-9CB5A6A227C0}" name="Column6109"/>
    <tableColumn id="6110" xr3:uid="{B5CD2786-2333-4B9D-95B5-A53011D218EA}" name="Column6110"/>
    <tableColumn id="6111" xr3:uid="{7D462E1D-3190-453B-A056-568F5543B819}" name="Column6111"/>
    <tableColumn id="6112" xr3:uid="{30551799-09B8-4E00-85A3-3638E3CAA661}" name="Column6112"/>
    <tableColumn id="6113" xr3:uid="{5C4321C3-05AB-483B-B652-7667B9957E53}" name="Column6113"/>
    <tableColumn id="6114" xr3:uid="{4EA50734-B0F6-47DA-A85A-B85F5FBBC7A6}" name="Column6114"/>
    <tableColumn id="6115" xr3:uid="{BEF1304E-0944-4B4F-9132-4016AEA5C0AC}" name="Column6115"/>
    <tableColumn id="6116" xr3:uid="{B1E7058D-A6D5-43D0-BB6F-A8FAF746A5F9}" name="Column6116"/>
    <tableColumn id="6117" xr3:uid="{D64D97BB-BE1C-481B-891C-2A22737A859C}" name="Column6117"/>
    <tableColumn id="6118" xr3:uid="{15B45244-0B42-4FA9-940C-5F451E3FB0A1}" name="Column6118"/>
    <tableColumn id="6119" xr3:uid="{D5ED3285-4B3E-4564-AEF8-1AC465D47F2F}" name="Column6119"/>
    <tableColumn id="6120" xr3:uid="{6871395B-327D-4494-90FD-ACCA10CE2284}" name="Column6120"/>
    <tableColumn id="6121" xr3:uid="{C7B275A7-D0B5-44AD-A39E-C3019BDFA4BC}" name="Column6121"/>
    <tableColumn id="6122" xr3:uid="{C83DA200-89B5-4FDB-84AE-D698ED068FBF}" name="Column6122"/>
    <tableColumn id="6123" xr3:uid="{A280444E-647A-4809-9912-00DA17CB93A2}" name="Column6123"/>
    <tableColumn id="6124" xr3:uid="{B37ACA32-4611-4289-A57B-6E9A93F026ED}" name="Column6124"/>
    <tableColumn id="6125" xr3:uid="{BC1F399B-496B-4622-9CFB-F4DF7C4AA968}" name="Column6125"/>
    <tableColumn id="6126" xr3:uid="{AD6B0142-5770-4AFF-9E75-3686DE248414}" name="Column6126"/>
    <tableColumn id="6127" xr3:uid="{5FBB98F0-484B-4C95-89AC-BF7FDBD0D652}" name="Column6127"/>
    <tableColumn id="6128" xr3:uid="{1522A6C0-0B01-49EC-9F41-EF224B6B4C47}" name="Column6128"/>
    <tableColumn id="6129" xr3:uid="{54F36CDE-4107-434A-92D5-0FC0874C30D8}" name="Column6129"/>
    <tableColumn id="6130" xr3:uid="{2DC7B49E-CAEF-441E-9EBE-97EF66875E9B}" name="Column6130"/>
    <tableColumn id="6131" xr3:uid="{C8EC0A02-CB8D-442F-AE19-449CE09B7529}" name="Column6131"/>
    <tableColumn id="6132" xr3:uid="{2A4A3E50-4351-44D4-B3CA-54A17E144081}" name="Column6132"/>
    <tableColumn id="6133" xr3:uid="{A6ABE0AE-C516-45B8-AF64-79BBBDD8BB67}" name="Column6133"/>
    <tableColumn id="6134" xr3:uid="{9CE5D73E-2F8C-4107-A6E0-79D35F6A83FC}" name="Column6134"/>
    <tableColumn id="6135" xr3:uid="{444EB808-65DF-4AB7-A4EB-771E720D1ED6}" name="Column6135"/>
    <tableColumn id="6136" xr3:uid="{CE05C003-6AB5-4153-99CD-4D8FED3DB46B}" name="Column6136"/>
    <tableColumn id="6137" xr3:uid="{E5CACADF-D664-45A6-97FD-F2FE1F7E1B91}" name="Column6137"/>
    <tableColumn id="6138" xr3:uid="{481CB60B-3C20-434A-9292-25C3A1F21C64}" name="Column6138"/>
    <tableColumn id="6139" xr3:uid="{EF2063CD-92DD-4F3B-B50C-EF3EBCA50CC3}" name="Column6139"/>
    <tableColumn id="6140" xr3:uid="{95755B14-9563-4997-891F-B0011D93264F}" name="Column6140"/>
    <tableColumn id="6141" xr3:uid="{198DF052-D9F3-4ECA-B296-653D9315D7A6}" name="Column6141"/>
    <tableColumn id="6142" xr3:uid="{A397CF54-F54C-482F-9C9B-23F2EF18C571}" name="Column6142"/>
    <tableColumn id="6143" xr3:uid="{9A86FAC4-1028-462C-8D86-DE67A1DFA6D9}" name="Column6143"/>
    <tableColumn id="6144" xr3:uid="{BFD3A1E7-BE6D-4A26-A8E8-F5285B5A87F6}" name="Column6144"/>
    <tableColumn id="6145" xr3:uid="{A5D7672A-8E60-4369-9382-4A6D57A91A87}" name="Column6145"/>
    <tableColumn id="6146" xr3:uid="{04A0B7FC-9A75-4C83-8A33-7E01504FC7E4}" name="Column6146"/>
    <tableColumn id="6147" xr3:uid="{1394B832-5583-407B-A900-14EA8B3B131C}" name="Column6147"/>
    <tableColumn id="6148" xr3:uid="{11D2EBDC-C79E-480F-8284-697807E832BA}" name="Column6148"/>
    <tableColumn id="6149" xr3:uid="{29D70DDC-C7A1-4BFE-9E49-EA2BCF12C4A5}" name="Column6149"/>
    <tableColumn id="6150" xr3:uid="{B5592ACC-BFE8-4C18-B905-4DB9BA3F18F2}" name="Column6150"/>
    <tableColumn id="6151" xr3:uid="{E564A749-5DD8-450B-BFBD-F5AEB20F3343}" name="Column6151"/>
    <tableColumn id="6152" xr3:uid="{E4CE1287-797D-46A7-B54E-376885414D61}" name="Column6152"/>
    <tableColumn id="6153" xr3:uid="{DF530B0F-F388-40D1-9A80-B4FC6891734D}" name="Column6153"/>
    <tableColumn id="6154" xr3:uid="{84464FBD-44DA-43F6-813B-8E907AC426F2}" name="Column6154"/>
    <tableColumn id="6155" xr3:uid="{5095123D-6019-4D67-91CC-5B16B518CAB8}" name="Column6155"/>
    <tableColumn id="6156" xr3:uid="{83463AD2-1090-4E32-8D4A-F559D5A8A55C}" name="Column6156"/>
    <tableColumn id="6157" xr3:uid="{4243EF04-2708-44FD-A391-14AF8E8662B3}" name="Column6157"/>
    <tableColumn id="6158" xr3:uid="{92C7BAD7-FB68-4A5E-AD5A-9FBC52139650}" name="Column6158"/>
    <tableColumn id="6159" xr3:uid="{1ABCB4C5-AF5D-4170-877C-770E7210A2CD}" name="Column6159"/>
    <tableColumn id="6160" xr3:uid="{C816DE40-BD6D-489C-B26D-24160D0193FB}" name="Column6160"/>
    <tableColumn id="6161" xr3:uid="{1D2E24C3-86CF-4267-8351-C28B73541DCA}" name="Column6161"/>
    <tableColumn id="6162" xr3:uid="{71837885-8F45-4964-A2B9-E47866F127A1}" name="Column6162"/>
    <tableColumn id="6163" xr3:uid="{3E2A467C-2AB9-4BEE-A343-5D311637C496}" name="Column6163"/>
    <tableColumn id="6164" xr3:uid="{1F20FECC-5589-4EB8-A7EF-F9D0FFF92B29}" name="Column6164"/>
    <tableColumn id="6165" xr3:uid="{F13880A2-36A7-4520-B808-B2E780971227}" name="Column6165"/>
    <tableColumn id="6166" xr3:uid="{62A47E99-6CFB-45C0-AD91-E5757ED6E3D2}" name="Column6166"/>
    <tableColumn id="6167" xr3:uid="{D6DA1A97-5559-404A-9CAE-4808B99AF99F}" name="Column6167"/>
    <tableColumn id="6168" xr3:uid="{B16B9F5E-F2D4-450E-97F6-12052D014FF1}" name="Column6168"/>
    <tableColumn id="6169" xr3:uid="{0B3BBC18-55F2-4149-B405-A93352D84DF3}" name="Column6169"/>
    <tableColumn id="6170" xr3:uid="{D5D36E5A-07D5-4F72-B383-BF6C36F64FA5}" name="Column6170"/>
    <tableColumn id="6171" xr3:uid="{7BF412FF-94AD-46D6-B85D-9373187F1E8F}" name="Column6171"/>
    <tableColumn id="6172" xr3:uid="{0BDCD506-4977-4838-BFB4-11D378D7BDAB}" name="Column6172"/>
    <tableColumn id="6173" xr3:uid="{4549CA54-429A-4DCA-AFA9-DB617FDF689E}" name="Column6173"/>
    <tableColumn id="6174" xr3:uid="{E7A62F1E-F0E4-44B6-BCD0-79B84A54F281}" name="Column6174"/>
    <tableColumn id="6175" xr3:uid="{30EF1535-C828-4485-8679-4C9C2DE59340}" name="Column6175"/>
    <tableColumn id="6176" xr3:uid="{625C1727-8F90-4C99-A298-4004D3C4D3BF}" name="Column6176"/>
    <tableColumn id="6177" xr3:uid="{72988542-35B2-4DF8-82C5-B236BD3663D9}" name="Column6177"/>
    <tableColumn id="6178" xr3:uid="{1914DCD0-8D22-4081-97A0-133BC5F4B8DD}" name="Column6178"/>
    <tableColumn id="6179" xr3:uid="{A19B60A9-0712-40F1-9DD1-FA49C6B68EE5}" name="Column6179"/>
    <tableColumn id="6180" xr3:uid="{F8129635-9E1C-48B6-B915-C350553BA7CC}" name="Column6180"/>
    <tableColumn id="6181" xr3:uid="{B5F8E6E1-C8A7-4404-B769-F909CF38682E}" name="Column6181"/>
    <tableColumn id="6182" xr3:uid="{E3AAA56A-6D8C-414C-A52E-9A8CF6853AFB}" name="Column6182"/>
    <tableColumn id="6183" xr3:uid="{CBBD4E0E-ECB0-4BD1-876E-734D821B2D05}" name="Column6183"/>
    <tableColumn id="6184" xr3:uid="{F05DD9EB-CEE7-4788-953F-2107723C781A}" name="Column6184"/>
    <tableColumn id="6185" xr3:uid="{CAA34644-C828-494D-B63F-680EBA910F5F}" name="Column6185"/>
    <tableColumn id="6186" xr3:uid="{02299F8D-E7CA-4469-84F9-63D9711BC0B0}" name="Column6186"/>
    <tableColumn id="6187" xr3:uid="{1DE044FB-25D0-4B37-84AD-CB3A8E795EB8}" name="Column6187"/>
    <tableColumn id="6188" xr3:uid="{A1AC929A-D3D2-435E-A7F4-912A29341C5F}" name="Column6188"/>
    <tableColumn id="6189" xr3:uid="{8E5AB105-36F7-4E06-83CB-E5D94C4ADF16}" name="Column6189"/>
    <tableColumn id="6190" xr3:uid="{A821C66D-F76C-401C-A9A2-6521E3187B56}" name="Column6190"/>
    <tableColumn id="6191" xr3:uid="{8550C036-8464-4FA6-936D-D08BD735AE34}" name="Column6191"/>
    <tableColumn id="6192" xr3:uid="{52A2C3D1-DDA5-4E61-9176-BD5B037935E0}" name="Column6192"/>
    <tableColumn id="6193" xr3:uid="{23903323-E2CA-4ED7-97C2-A099DD10E635}" name="Column6193"/>
    <tableColumn id="6194" xr3:uid="{9E5A5E08-27EB-40DA-8234-2B59E5A1F33D}" name="Column6194"/>
    <tableColumn id="6195" xr3:uid="{DCD3FC42-AC8F-4496-99EE-69BEB3AB67BE}" name="Column6195"/>
    <tableColumn id="6196" xr3:uid="{CA76F474-0446-49FF-B6DE-30B64FD065D2}" name="Column6196"/>
    <tableColumn id="6197" xr3:uid="{4D633197-38E8-435E-9057-5FDE38D2746C}" name="Column6197"/>
    <tableColumn id="6198" xr3:uid="{7070D98F-6B9D-4D6B-A204-846B20A3EBD2}" name="Column6198"/>
    <tableColumn id="6199" xr3:uid="{AC2559DF-F970-4C27-B143-5DB13C78A15C}" name="Column6199"/>
    <tableColumn id="6200" xr3:uid="{6D506B7A-CE98-4EAB-A636-D134D6C957E0}" name="Column6200"/>
    <tableColumn id="6201" xr3:uid="{9A39D32F-BA4C-4F66-AB9E-486CB4CAE7FC}" name="Column6201"/>
    <tableColumn id="6202" xr3:uid="{7DD1639D-7A21-4F5A-9143-7BFCFA7F7DB7}" name="Column6202"/>
    <tableColumn id="6203" xr3:uid="{0D75E61B-08B9-40CC-8852-E1265DE70902}" name="Column6203"/>
    <tableColumn id="6204" xr3:uid="{78B53384-4AB6-4DA4-8C91-2C18B2B32EC5}" name="Column6204"/>
    <tableColumn id="6205" xr3:uid="{914343FB-977D-41C6-B8D9-A8CAA4505187}" name="Column6205"/>
    <tableColumn id="6206" xr3:uid="{7DD1A54C-50E5-45EA-96D6-506C48846410}" name="Column6206"/>
    <tableColumn id="6207" xr3:uid="{41F99D6F-1457-43AC-A84E-9B9FBCEE77C8}" name="Column6207"/>
    <tableColumn id="6208" xr3:uid="{FB2E96D8-0837-45C1-AC52-CA52505B9FB7}" name="Column6208"/>
    <tableColumn id="6209" xr3:uid="{0763D64B-31E4-4F02-8180-8FBCC3385DD4}" name="Column6209"/>
    <tableColumn id="6210" xr3:uid="{8D087BF8-FFA0-42CE-9B7B-1B2FC059040E}" name="Column6210"/>
    <tableColumn id="6211" xr3:uid="{E4B75335-7BA7-4CDF-AC8F-CE1F1D4F25DD}" name="Column6211"/>
    <tableColumn id="6212" xr3:uid="{65A10049-8FE3-45C3-925F-B8364F4C61B5}" name="Column6212"/>
    <tableColumn id="6213" xr3:uid="{62927802-AF1C-4D61-A865-DDF81225FDCC}" name="Column6213"/>
    <tableColumn id="6214" xr3:uid="{4F42A7A9-44E2-4E66-9D95-217D4ACAD423}" name="Column6214"/>
    <tableColumn id="6215" xr3:uid="{A6FB228C-1729-43AB-A490-659E7AB61496}" name="Column6215"/>
    <tableColumn id="6216" xr3:uid="{CFC2069C-E215-4CCD-A506-3AB2E1F0F0AF}" name="Column6216"/>
    <tableColumn id="6217" xr3:uid="{AA1C4D5E-758C-44D5-A7D4-D72EC4BB1797}" name="Column6217"/>
    <tableColumn id="6218" xr3:uid="{1E473191-3038-4B13-B01D-BF20962CDC18}" name="Column6218"/>
    <tableColumn id="6219" xr3:uid="{73001082-B315-42F3-89EE-6FF09C30D61F}" name="Column6219"/>
    <tableColumn id="6220" xr3:uid="{D11764D7-34FB-4FED-BA72-BFAEB9683FC9}" name="Column6220"/>
    <tableColumn id="6221" xr3:uid="{C91345F9-FF46-418A-BD16-B2087088F6C5}" name="Column6221"/>
    <tableColumn id="6222" xr3:uid="{235F5659-7548-4AF7-96C6-AE295A821964}" name="Column6222"/>
    <tableColumn id="6223" xr3:uid="{97917D5D-93E4-421A-AEA8-45B1F7A13991}" name="Column6223"/>
    <tableColumn id="6224" xr3:uid="{4F543A7A-720D-499E-BE0E-5CC21CCB4FCA}" name="Column6224"/>
    <tableColumn id="6225" xr3:uid="{D8A105E7-CCC7-42B5-B971-A272AC25D86B}" name="Column6225"/>
    <tableColumn id="6226" xr3:uid="{9BF895CA-DE1C-4FEF-9F2D-2925F5C1B991}" name="Column6226"/>
    <tableColumn id="6227" xr3:uid="{8E45DC9C-1683-4829-8F6F-257F6ED749E3}" name="Column6227"/>
    <tableColumn id="6228" xr3:uid="{360BD928-32ED-48C0-81AF-64CC5054CE9E}" name="Column6228"/>
    <tableColumn id="6229" xr3:uid="{9100B461-6C20-4F95-AEE1-764BD86456A2}" name="Column6229"/>
    <tableColumn id="6230" xr3:uid="{CCB4D32F-0F7F-4EE5-88F5-A188EAC0CA42}" name="Column6230"/>
    <tableColumn id="6231" xr3:uid="{D42FFE31-3AAD-44C3-831A-F9D371BB7B7E}" name="Column6231"/>
    <tableColumn id="6232" xr3:uid="{913A3C9A-009F-4817-AD9E-4C372F72A2D2}" name="Column6232"/>
    <tableColumn id="6233" xr3:uid="{D4A52A73-6656-46FE-B664-CCCF7118FD1F}" name="Column6233"/>
    <tableColumn id="6234" xr3:uid="{32F9F5BC-8072-4FA0-ACC5-A37ACFD28470}" name="Column6234"/>
    <tableColumn id="6235" xr3:uid="{B526F08C-A566-4818-8D62-54AB556F9C97}" name="Column6235"/>
    <tableColumn id="6236" xr3:uid="{F4652D57-10B3-4350-992F-00B730E62E14}" name="Column6236"/>
    <tableColumn id="6237" xr3:uid="{6A035E6B-5C9B-4D69-87B6-EB68504A5750}" name="Column6237"/>
    <tableColumn id="6238" xr3:uid="{13E8ACCC-D5DF-4EB2-A8FE-90062B0F709D}" name="Column6238"/>
    <tableColumn id="6239" xr3:uid="{FF08ABCF-AF59-4D4E-9604-C5EB27304D6F}" name="Column6239"/>
    <tableColumn id="6240" xr3:uid="{62648CC5-F50D-42A9-A500-85F3832FC38F}" name="Column6240"/>
    <tableColumn id="6241" xr3:uid="{7F8AC76B-FF24-4E77-8B21-54D1772B1202}" name="Column6241"/>
    <tableColumn id="6242" xr3:uid="{A44263E1-E900-454B-BBB2-A2D900270A52}" name="Column6242"/>
    <tableColumn id="6243" xr3:uid="{724E2665-29B2-4893-95DF-C3FC12A1ED47}" name="Column6243"/>
    <tableColumn id="6244" xr3:uid="{BB57FED0-988E-4328-A464-C82D8C23FC50}" name="Column6244"/>
    <tableColumn id="6245" xr3:uid="{B15FF323-CA36-43B2-9061-6BA672487E15}" name="Column6245"/>
    <tableColumn id="6246" xr3:uid="{241C0990-73C6-463A-AF3D-01D6260E9851}" name="Column6246"/>
    <tableColumn id="6247" xr3:uid="{E928EA89-EA43-4794-A41F-EB2CA1A311C8}" name="Column6247"/>
    <tableColumn id="6248" xr3:uid="{3C0AB517-9432-4B8D-89AE-8F13C30D6699}" name="Column6248"/>
    <tableColumn id="6249" xr3:uid="{3DC4E8DB-FE2B-4D1A-BC8F-123C9F0033BC}" name="Column6249"/>
    <tableColumn id="6250" xr3:uid="{D8FE2B22-DBF6-40A8-846F-DC74604CE48A}" name="Column6250"/>
    <tableColumn id="6251" xr3:uid="{9049FFAD-919A-4D18-92DE-49915C5C0BA4}" name="Column6251"/>
    <tableColumn id="6252" xr3:uid="{CE367D66-87AF-4B33-9A5F-43B831ED3169}" name="Column6252"/>
    <tableColumn id="6253" xr3:uid="{72658CB2-78A4-4D49-8D4E-738395B781B9}" name="Column6253"/>
    <tableColumn id="6254" xr3:uid="{BF4F56CF-EDD2-473E-B996-52BAB51E0D6E}" name="Column6254"/>
    <tableColumn id="6255" xr3:uid="{E0F3FBF6-30E9-442C-B64E-4B07EC0638D7}" name="Column6255"/>
    <tableColumn id="6256" xr3:uid="{6683F788-1B57-4014-B464-23EDDEFFEF41}" name="Column6256"/>
    <tableColumn id="6257" xr3:uid="{68F49D25-50BF-4120-B80B-1D42D0F1AB3B}" name="Column6257"/>
    <tableColumn id="6258" xr3:uid="{B954A8F0-874D-4DFC-B416-1F1417EABF89}" name="Column6258"/>
    <tableColumn id="6259" xr3:uid="{BAE78A2F-1795-455F-8F30-EF4F0D474AD8}" name="Column6259"/>
    <tableColumn id="6260" xr3:uid="{B86E792E-82CD-4F15-A7F0-A32D9CE582E9}" name="Column6260"/>
    <tableColumn id="6261" xr3:uid="{7D4A1127-C875-4F16-BAC8-F62A4812C901}" name="Column6261"/>
    <tableColumn id="6262" xr3:uid="{7ABC8345-ED5B-4074-8771-4C4B2B9943F9}" name="Column6262"/>
    <tableColumn id="6263" xr3:uid="{66B2E7DD-51F0-41DB-A8A5-6F4DC56D4BEB}" name="Column6263"/>
    <tableColumn id="6264" xr3:uid="{7F3C6453-169A-43E9-9825-B0D3E94E736F}" name="Column6264"/>
    <tableColumn id="6265" xr3:uid="{BEF39379-5256-41B5-A4F1-8507D4F7910E}" name="Column6265"/>
    <tableColumn id="6266" xr3:uid="{023D11D1-C020-45C2-8136-018888D82A6A}" name="Column6266"/>
    <tableColumn id="6267" xr3:uid="{A44C7122-193A-4F43-8AA5-ABEEF8ADF4CB}" name="Column6267"/>
    <tableColumn id="6268" xr3:uid="{4AD9095D-1AF8-4D36-8FFA-309E32E63E5D}" name="Column6268"/>
    <tableColumn id="6269" xr3:uid="{E4154509-3980-45C5-9EE7-82109B14EF6F}" name="Column6269"/>
    <tableColumn id="6270" xr3:uid="{F0142B0B-BEE2-443D-B44B-F486F9A769F7}" name="Column6270"/>
    <tableColumn id="6271" xr3:uid="{BF7542C0-119D-4A33-BBAE-48A3AEA1F7B0}" name="Column6271"/>
    <tableColumn id="6272" xr3:uid="{C095E1CD-081F-4B71-9361-E0235311445E}" name="Column6272"/>
    <tableColumn id="6273" xr3:uid="{D334CEB2-3C84-4008-BB94-F9CD73BB5E18}" name="Column6273"/>
    <tableColumn id="6274" xr3:uid="{2065756E-49D6-495E-A149-D5F16C8933A3}" name="Column6274"/>
    <tableColumn id="6275" xr3:uid="{62A401AF-C2ED-4C9D-8E40-C3DF95463193}" name="Column6275"/>
    <tableColumn id="6276" xr3:uid="{6093D07B-AC44-4367-9A05-9AB071372FAE}" name="Column6276"/>
    <tableColumn id="6277" xr3:uid="{D8670CBB-B654-4001-B829-71305F160737}" name="Column6277"/>
    <tableColumn id="6278" xr3:uid="{9CF2ED83-6D32-4B42-93CC-AF66C6CE9F04}" name="Column6278"/>
    <tableColumn id="6279" xr3:uid="{E880D70A-21C3-4A6E-93EC-602E7662728E}" name="Column6279"/>
    <tableColumn id="6280" xr3:uid="{1F09AE84-7A12-430D-86E1-C915BE0CD39E}" name="Column6280"/>
    <tableColumn id="6281" xr3:uid="{E76D4198-0CAE-40A5-95E9-8606D5E58C3E}" name="Column6281"/>
    <tableColumn id="6282" xr3:uid="{BB499FBC-F1F2-4EC8-9E42-9347FF526CC8}" name="Column6282"/>
    <tableColumn id="6283" xr3:uid="{04D4DFBB-C54C-46AA-8B27-4F4E018FE817}" name="Column6283"/>
    <tableColumn id="6284" xr3:uid="{D0CF0B66-CBBC-4E01-ACA4-FB673E2C242B}" name="Column6284"/>
    <tableColumn id="6285" xr3:uid="{216C12B6-795F-461C-957A-6C5DA5EF3226}" name="Column6285"/>
    <tableColumn id="6286" xr3:uid="{C67C3D0B-F2AE-43C3-92B0-FD63751F8738}" name="Column6286"/>
    <tableColumn id="6287" xr3:uid="{1EBC886C-9376-445D-BB2D-41191D3FD05E}" name="Column6287"/>
    <tableColumn id="6288" xr3:uid="{BEF49BB9-5BB6-4F08-B89B-44A33B69A17E}" name="Column6288"/>
    <tableColumn id="6289" xr3:uid="{7407BCE5-B3F4-49E9-8936-7239BDD73719}" name="Column6289"/>
    <tableColumn id="6290" xr3:uid="{4451AE2D-EA1C-4DE3-80EF-D230E0CB92D9}" name="Column6290"/>
    <tableColumn id="6291" xr3:uid="{54FA3A7C-78D1-49A9-8034-530D163D231B}" name="Column6291"/>
    <tableColumn id="6292" xr3:uid="{28C5E8D8-BFB3-455D-B885-148EA70B95EE}" name="Column6292"/>
    <tableColumn id="6293" xr3:uid="{1C4E72ED-F02C-4072-B1C7-28371D4570B8}" name="Column6293"/>
    <tableColumn id="6294" xr3:uid="{57EF0D19-2481-4DBD-8690-465FB44DAF41}" name="Column6294"/>
    <tableColumn id="6295" xr3:uid="{1BA2A759-7090-4AF6-BA5E-5B85E00279E2}" name="Column6295"/>
    <tableColumn id="6296" xr3:uid="{5EEA807E-30E0-4623-9F6E-20DD5ECB1DAB}" name="Column6296"/>
    <tableColumn id="6297" xr3:uid="{7473C656-C3B6-48BA-8715-6A898841BBC7}" name="Column6297"/>
    <tableColumn id="6298" xr3:uid="{9A727A74-A69D-466F-BFAA-7276A555A210}" name="Column6298"/>
    <tableColumn id="6299" xr3:uid="{58333ABA-D5A2-4728-A1A9-8A73A74D530F}" name="Column6299"/>
    <tableColumn id="6300" xr3:uid="{729498FF-546E-41AF-95E9-F8D2796171D7}" name="Column6300"/>
    <tableColumn id="6301" xr3:uid="{92B230A8-2E8F-4743-8782-09EC58C98695}" name="Column6301"/>
    <tableColumn id="6302" xr3:uid="{95A14F2E-05EB-4592-B86D-1AA970D9E491}" name="Column6302"/>
    <tableColumn id="6303" xr3:uid="{799FF3A3-AE47-4D2D-93D3-C0A971D15EFB}" name="Column6303"/>
    <tableColumn id="6304" xr3:uid="{A2899C8B-3B76-4BD5-B363-D3F584199220}" name="Column6304"/>
    <tableColumn id="6305" xr3:uid="{D20DA0F7-2082-4C6A-A537-4CA410C25820}" name="Column6305"/>
    <tableColumn id="6306" xr3:uid="{06942C35-A548-413F-AB7F-B0F7D5235E66}" name="Column6306"/>
    <tableColumn id="6307" xr3:uid="{13EBE8F1-75DD-477C-95A9-BFD4DB27232C}" name="Column6307"/>
    <tableColumn id="6308" xr3:uid="{0CC62371-FB99-4CAB-BD76-D66267F77E12}" name="Column6308"/>
    <tableColumn id="6309" xr3:uid="{18E11DBC-A6C7-470D-9EDA-1DBA41B64E50}" name="Column6309"/>
    <tableColumn id="6310" xr3:uid="{DD2B3B13-468D-4A64-BC2F-167A4A0A32E0}" name="Column6310"/>
    <tableColumn id="6311" xr3:uid="{9D9849EE-1510-47C5-938B-CC067CE7B30F}" name="Column6311"/>
    <tableColumn id="6312" xr3:uid="{A585EC1B-9420-4007-9E24-F89619797635}" name="Column6312"/>
    <tableColumn id="6313" xr3:uid="{BD4B2C4D-E9B1-4C9B-A6D9-69804E0D171B}" name="Column6313"/>
    <tableColumn id="6314" xr3:uid="{60D0A8C5-1478-457B-8D0C-A3FEF98A9668}" name="Column6314"/>
    <tableColumn id="6315" xr3:uid="{AC90A45A-4AA6-42F0-955A-3CE21DF63FAB}" name="Column6315"/>
    <tableColumn id="6316" xr3:uid="{89582F6A-94BC-4FCB-8852-9F62EF9F2E04}" name="Column6316"/>
    <tableColumn id="6317" xr3:uid="{38ACAF81-87C2-4A9F-82F1-B84D596809E1}" name="Column6317"/>
    <tableColumn id="6318" xr3:uid="{AE951B55-2B6C-45A5-8013-CD97C4E0E3FE}" name="Column6318"/>
    <tableColumn id="6319" xr3:uid="{8CDC0502-5BCD-421C-ACE3-16760E3CD59F}" name="Column6319"/>
    <tableColumn id="6320" xr3:uid="{30135523-ECA6-4550-8B4A-D17FE2B9770E}" name="Column6320"/>
    <tableColumn id="6321" xr3:uid="{B6377306-4078-4319-9CA4-19266A36F707}" name="Column6321"/>
    <tableColumn id="6322" xr3:uid="{55337CC8-CBF2-4413-B80D-91BA84C63003}" name="Column6322"/>
    <tableColumn id="6323" xr3:uid="{885A67DF-9FC3-40C5-8E1D-7EE1B0AF27E8}" name="Column6323"/>
    <tableColumn id="6324" xr3:uid="{E14D9508-A5C7-4743-A898-81AF62A0777A}" name="Column6324"/>
    <tableColumn id="6325" xr3:uid="{916E5173-EDFE-406B-9865-FA568B7D0EC4}" name="Column6325"/>
    <tableColumn id="6326" xr3:uid="{ED075CDA-58A7-4CCA-9CCC-805DD24BC268}" name="Column6326"/>
    <tableColumn id="6327" xr3:uid="{E2CE7620-F022-4D12-A77D-09138CAFDFAC}" name="Column6327"/>
    <tableColumn id="6328" xr3:uid="{6F20C660-825A-4E55-9E8F-8463588570AB}" name="Column6328"/>
    <tableColumn id="6329" xr3:uid="{DF958FA5-2766-4E84-81A5-7D2C74379C62}" name="Column6329"/>
    <tableColumn id="6330" xr3:uid="{18F290F8-FE41-4251-A6C6-CA376D289079}" name="Column6330"/>
    <tableColumn id="6331" xr3:uid="{BE957197-A344-4ED9-BBFC-9BC2ECA9094A}" name="Column6331"/>
    <tableColumn id="6332" xr3:uid="{F1CFDC35-1AF7-4A8F-B71A-80D158C4AFF1}" name="Column6332"/>
    <tableColumn id="6333" xr3:uid="{5BACE99C-3016-4171-9453-F07239E8F61E}" name="Column6333"/>
    <tableColumn id="6334" xr3:uid="{AF70FCE5-59B3-4E87-82C8-6F4966894CAC}" name="Column6334"/>
    <tableColumn id="6335" xr3:uid="{EDE9B03A-5DF5-4AB6-B2C8-18C02EF82357}" name="Column6335"/>
    <tableColumn id="6336" xr3:uid="{B62E0883-3778-4CE9-B54B-FF4F3F3E722A}" name="Column6336"/>
    <tableColumn id="6337" xr3:uid="{7A0E44C7-33C3-4C20-9E7B-59752FB593CA}" name="Column6337"/>
    <tableColumn id="6338" xr3:uid="{E897E9DE-B7A4-422D-B73A-A41BF6E3DAE5}" name="Column6338"/>
    <tableColumn id="6339" xr3:uid="{F4E6B663-ECB8-4C8E-849D-F2FCFCE9FF38}" name="Column6339"/>
    <tableColumn id="6340" xr3:uid="{29977E26-00BB-4109-93D0-DA5A3712741D}" name="Column6340"/>
    <tableColumn id="6341" xr3:uid="{8223DDBA-6D8A-4F1E-B234-2AC8A72E4E2C}" name="Column6341"/>
    <tableColumn id="6342" xr3:uid="{4A677ABD-9621-42AE-98E1-94DE9A63D7BF}" name="Column6342"/>
    <tableColumn id="6343" xr3:uid="{A19ED548-3887-4ED7-ADAA-CE1340DB6D42}" name="Column6343"/>
    <tableColumn id="6344" xr3:uid="{5AE5E502-E52D-48DF-959C-2773ECBD04EB}" name="Column6344"/>
    <tableColumn id="6345" xr3:uid="{E3F2501E-1C1B-4F6A-BA16-57688E5DAD09}" name="Column6345"/>
    <tableColumn id="6346" xr3:uid="{90116696-7EF8-4706-80D8-E7722CA99E59}" name="Column6346"/>
    <tableColumn id="6347" xr3:uid="{E71C62C8-885E-45E4-A1C6-DA8C8817FA90}" name="Column6347"/>
    <tableColumn id="6348" xr3:uid="{56A7FA4C-CBF3-4E0F-A2B7-F8942643BD67}" name="Column6348"/>
    <tableColumn id="6349" xr3:uid="{F34D368D-B566-46CC-AB6C-00D7734D0327}" name="Column6349"/>
    <tableColumn id="6350" xr3:uid="{6E8C3202-736B-45FE-A35C-654D576F06E5}" name="Column6350"/>
    <tableColumn id="6351" xr3:uid="{49D2F4DC-757C-4420-AEB9-CD729A411353}" name="Column6351"/>
    <tableColumn id="6352" xr3:uid="{EC04B2CD-CC77-41CC-8421-C4AA84E668C6}" name="Column6352"/>
    <tableColumn id="6353" xr3:uid="{614319C3-F125-4F76-9967-D76674F4EFC6}" name="Column6353"/>
    <tableColumn id="6354" xr3:uid="{CAD548E4-8FC0-440D-A856-1A6D89EAADEF}" name="Column6354"/>
    <tableColumn id="6355" xr3:uid="{519D7FB0-73CB-444F-9276-C7F68AF03A4C}" name="Column6355"/>
    <tableColumn id="6356" xr3:uid="{167B760A-E365-4A40-BC7C-DCC74D8AAB39}" name="Column6356"/>
    <tableColumn id="6357" xr3:uid="{972CB1C2-7F3F-471F-833B-5D706E9682B5}" name="Column6357"/>
    <tableColumn id="6358" xr3:uid="{87B2F55A-9506-47ED-AE29-F60551D4B005}" name="Column6358"/>
    <tableColumn id="6359" xr3:uid="{FD1BFB70-4059-4E51-8AA1-2D2C31C6D172}" name="Column6359"/>
    <tableColumn id="6360" xr3:uid="{2666CCF9-0002-4847-98C6-F51F51F2EA93}" name="Column6360"/>
    <tableColumn id="6361" xr3:uid="{0AF4351B-4338-4225-BFCB-BC3696D5B6B2}" name="Column6361"/>
    <tableColumn id="6362" xr3:uid="{B0566EA5-81EA-4364-AB9A-82E021715EF3}" name="Column6362"/>
    <tableColumn id="6363" xr3:uid="{ECE6BC88-F007-49E3-884F-29B4C2ECC2BD}" name="Column6363"/>
    <tableColumn id="6364" xr3:uid="{399BDDC3-5F59-442A-85E5-AF2EBF9982E8}" name="Column6364"/>
    <tableColumn id="6365" xr3:uid="{19B347E3-092A-427E-8148-508175DF2640}" name="Column6365"/>
    <tableColumn id="6366" xr3:uid="{09AFEC21-4E25-4B41-B866-33BDAC7F52E6}" name="Column6366"/>
    <tableColumn id="6367" xr3:uid="{7EF12018-24D8-4703-AD77-F3E037A971B7}" name="Column6367"/>
    <tableColumn id="6368" xr3:uid="{00C8684C-604E-4028-B67C-4EAE25FF1FF7}" name="Column6368"/>
    <tableColumn id="6369" xr3:uid="{41B796A6-E1A9-47B4-9C93-AD77E54F4F52}" name="Column6369"/>
    <tableColumn id="6370" xr3:uid="{69C9074A-6926-422F-8ED2-39089DA3E717}" name="Column6370"/>
    <tableColumn id="6371" xr3:uid="{7C7BFB5C-D85C-4FB5-A1A4-EACCAE64B699}" name="Column6371"/>
    <tableColumn id="6372" xr3:uid="{280A07B2-3BC1-4377-A1D4-7381A2BFD6DB}" name="Column6372"/>
    <tableColumn id="6373" xr3:uid="{6660F682-4FE7-40E8-A1D9-965102FDCCD1}" name="Column6373"/>
    <tableColumn id="6374" xr3:uid="{4AD10103-78BB-40EE-B90C-4DEEA11F8073}" name="Column6374"/>
    <tableColumn id="6375" xr3:uid="{15D1A898-7C6D-4B05-B5AD-54EB6E1D74C9}" name="Column6375"/>
    <tableColumn id="6376" xr3:uid="{6BD4E348-68D8-4582-985A-05014F3B0BF1}" name="Column6376"/>
    <tableColumn id="6377" xr3:uid="{AADC9437-28DF-4B78-8DB9-85BA7CD8E057}" name="Column6377"/>
    <tableColumn id="6378" xr3:uid="{46FB901E-8D3B-4F0A-9C76-1C6021FA7012}" name="Column6378"/>
    <tableColumn id="6379" xr3:uid="{7F99F580-4BEF-4F82-B6F4-9CF23B77624B}" name="Column6379"/>
    <tableColumn id="6380" xr3:uid="{3B7EC765-3A46-4552-8FAB-9EA185CC8F32}" name="Column6380"/>
    <tableColumn id="6381" xr3:uid="{95844851-855D-4A3B-9E8A-4EE1402B8FF6}" name="Column6381"/>
    <tableColumn id="6382" xr3:uid="{7710C746-19F7-4321-A4F8-852F1E8CC9EB}" name="Column6382"/>
    <tableColumn id="6383" xr3:uid="{516567F5-8CFB-46D8-AE05-85EE27D5F8A5}" name="Column6383"/>
    <tableColumn id="6384" xr3:uid="{69755A6F-1FEC-40D5-92CC-AA4B9D480B02}" name="Column6384"/>
    <tableColumn id="6385" xr3:uid="{F011CA78-CF4E-4B2F-973A-D9E865A0FAD9}" name="Column6385"/>
    <tableColumn id="6386" xr3:uid="{7D0035FC-C729-4743-8516-C9BE4DD9EE63}" name="Column6386"/>
    <tableColumn id="6387" xr3:uid="{A926C5BA-DF0D-49EE-979A-AE906B0E850D}" name="Column6387"/>
    <tableColumn id="6388" xr3:uid="{4CFC2243-8898-4A60-BE8C-BFD60995F7F1}" name="Column6388"/>
    <tableColumn id="6389" xr3:uid="{A5D9BE1A-023C-4F4B-9AF5-39C21EA2D4E0}" name="Column6389"/>
    <tableColumn id="6390" xr3:uid="{3B02BF65-6B76-4794-9322-48F38ED6F5CA}" name="Column6390"/>
    <tableColumn id="6391" xr3:uid="{27673FE0-EB74-4D81-91CE-FB4C6B10354D}" name="Column6391"/>
    <tableColumn id="6392" xr3:uid="{242EDA23-27DE-48DB-A9FE-5410D62655A7}" name="Column6392"/>
    <tableColumn id="6393" xr3:uid="{ABD23F6C-5169-455F-BAAC-BF7F3C1139AE}" name="Column6393"/>
    <tableColumn id="6394" xr3:uid="{0F8BE308-E186-49A9-BDDA-5F3A8E3D6A31}" name="Column6394"/>
    <tableColumn id="6395" xr3:uid="{75E1E686-C13E-432A-A108-DCCF6C0BA68C}" name="Column6395"/>
    <tableColumn id="6396" xr3:uid="{9C68179F-C966-4E81-B87F-F1AB52A8C626}" name="Column6396"/>
    <tableColumn id="6397" xr3:uid="{2E142304-FBFE-4538-A165-4D217EB1659C}" name="Column6397"/>
    <tableColumn id="6398" xr3:uid="{E06A8801-E8F4-4FD5-BD33-7177D8C68A79}" name="Column6398"/>
    <tableColumn id="6399" xr3:uid="{53097BA5-67EC-4A2A-8674-5687F739EB88}" name="Column6399"/>
    <tableColumn id="6400" xr3:uid="{5DF51EF5-8300-4035-BDB6-F238DE50B86A}" name="Column6400"/>
    <tableColumn id="6401" xr3:uid="{E03A044B-D9CB-4DB4-B39E-6569E44E064F}" name="Column6401"/>
    <tableColumn id="6402" xr3:uid="{7DD6788D-8A70-4444-B628-8B26124A4A1C}" name="Column6402"/>
    <tableColumn id="6403" xr3:uid="{AC24C9A5-9200-45CE-8BA6-76ED4653043E}" name="Column6403"/>
    <tableColumn id="6404" xr3:uid="{0890404B-4973-4C09-8DAD-F233700A85DD}" name="Column6404"/>
    <tableColumn id="6405" xr3:uid="{C3F3B380-3DE3-44FE-A623-5B98EEBE20D0}" name="Column6405"/>
    <tableColumn id="6406" xr3:uid="{0F56991A-7DEF-41C7-BC61-77D695D931B0}" name="Column6406"/>
    <tableColumn id="6407" xr3:uid="{1907C45B-088B-43BF-B13D-D5F3D0FB1E98}" name="Column6407"/>
    <tableColumn id="6408" xr3:uid="{E3415C93-26C4-4338-85C7-20B663C1351A}" name="Column6408"/>
    <tableColumn id="6409" xr3:uid="{2881EA64-5DEA-41A2-9E49-7ABF14008AF1}" name="Column6409"/>
    <tableColumn id="6410" xr3:uid="{A9CC286A-802B-4B8F-B1E1-600C61DA95FA}" name="Column6410"/>
    <tableColumn id="6411" xr3:uid="{F3946C66-4A9E-4FFB-A4E2-708DB30802A7}" name="Column6411"/>
    <tableColumn id="6412" xr3:uid="{449FC26D-9020-4EDD-B3A6-D263A3ED0076}" name="Column6412"/>
    <tableColumn id="6413" xr3:uid="{04E7A663-E899-4A30-8B61-ADCADEFE4460}" name="Column6413"/>
    <tableColumn id="6414" xr3:uid="{1BB4B235-4C4F-4BCB-990F-C8C7A2B499E3}" name="Column6414"/>
    <tableColumn id="6415" xr3:uid="{72B5F498-DBAC-4E92-A228-FD6BC6846DCB}" name="Column6415"/>
    <tableColumn id="6416" xr3:uid="{2EDD27E9-10DC-41F6-87E5-7E68C37FC03A}" name="Column6416"/>
    <tableColumn id="6417" xr3:uid="{B5A2D27E-6A14-4384-B596-CBE98C66635C}" name="Column6417"/>
    <tableColumn id="6418" xr3:uid="{D25E7AA5-9D97-460A-BD3D-09967F10C692}" name="Column6418"/>
    <tableColumn id="6419" xr3:uid="{1B823946-BD1F-47F8-B078-ACF94866E91F}" name="Column6419"/>
    <tableColumn id="6420" xr3:uid="{AA4405EB-1FA0-43EA-8135-3EDB50F73B96}" name="Column6420"/>
    <tableColumn id="6421" xr3:uid="{CA726B66-CB2F-4BBA-94EB-5D492B50DC02}" name="Column6421"/>
    <tableColumn id="6422" xr3:uid="{5976FEAA-3CBA-4381-B372-50A13F2FC23E}" name="Column6422"/>
    <tableColumn id="6423" xr3:uid="{9DE8CF5F-C19B-4C83-BFE3-50CAAF9C2A43}" name="Column6423"/>
    <tableColumn id="6424" xr3:uid="{B622FFFD-392C-4110-BD23-76CAFB9E0E19}" name="Column6424"/>
    <tableColumn id="6425" xr3:uid="{B5156AE3-742D-44F0-8C5B-3DE48FDCFF06}" name="Column6425"/>
    <tableColumn id="6426" xr3:uid="{7B839CBD-0B12-48C6-B5B4-E9A8BD868FAE}" name="Column6426"/>
    <tableColumn id="6427" xr3:uid="{0B9B3180-F468-4EB9-A4B6-A807B56B180F}" name="Column6427"/>
    <tableColumn id="6428" xr3:uid="{BBB83195-CB3F-41AF-92FD-BEE7AF5F755F}" name="Column6428"/>
    <tableColumn id="6429" xr3:uid="{B3C630EF-A9C3-4EFC-ABB4-5D91955A631A}" name="Column6429"/>
    <tableColumn id="6430" xr3:uid="{AD27B6D0-5110-4D67-8F36-E469DF8B827F}" name="Column6430"/>
    <tableColumn id="6431" xr3:uid="{6A80332A-D48E-4BBA-9DD0-B1A6106275E4}" name="Column6431"/>
    <tableColumn id="6432" xr3:uid="{E81DCE67-C7FC-4178-BA37-7343A50D507D}" name="Column6432"/>
    <tableColumn id="6433" xr3:uid="{B7892FE7-15AC-43B3-BCAC-2D05FE36C49A}" name="Column6433"/>
    <tableColumn id="6434" xr3:uid="{A22745EF-DDD1-4A76-9166-827B72CA4AE2}" name="Column6434"/>
    <tableColumn id="6435" xr3:uid="{BD5301BB-89F8-40CC-8532-914E343A9EDD}" name="Column6435"/>
    <tableColumn id="6436" xr3:uid="{EB573B00-E304-4B8E-A2B1-D1D4D58BCAF1}" name="Column6436"/>
    <tableColumn id="6437" xr3:uid="{B4300906-A7AD-4451-A6E9-25DA54AAE1CC}" name="Column6437"/>
    <tableColumn id="6438" xr3:uid="{09E79656-8220-4A26-9F3B-AA1B54DF674A}" name="Column6438"/>
    <tableColumn id="6439" xr3:uid="{A0C82B3A-1652-4C33-8B20-0EA59C0BF546}" name="Column6439"/>
    <tableColumn id="6440" xr3:uid="{08A56908-4908-41A3-BBE9-DB0FB2E0D37C}" name="Column6440"/>
    <tableColumn id="6441" xr3:uid="{043770EB-D351-4700-92B1-1411AC0C41E0}" name="Column6441"/>
    <tableColumn id="6442" xr3:uid="{5054D7FB-3F20-4440-84C4-6EBB84D6AE6F}" name="Column6442"/>
    <tableColumn id="6443" xr3:uid="{D34F1649-A914-4441-8D41-EF26CBFE7230}" name="Column6443"/>
    <tableColumn id="6444" xr3:uid="{595F8DCF-CFCE-40B8-B269-733F1E1392FF}" name="Column6444"/>
    <tableColumn id="6445" xr3:uid="{8E572D4E-738B-4EB3-90CF-926F38BD8B22}" name="Column6445"/>
    <tableColumn id="6446" xr3:uid="{C9CC7AD0-D2DF-46B2-BF68-AC0CB0D3961F}" name="Column6446"/>
    <tableColumn id="6447" xr3:uid="{7A630A7C-4D63-4EA7-AAD5-3951DA89A739}" name="Column6447"/>
    <tableColumn id="6448" xr3:uid="{BC0F97C5-5A49-48CB-8A85-B9B414535DC8}" name="Column6448"/>
    <tableColumn id="6449" xr3:uid="{FD87601B-87A3-4E5A-AA1D-21E0CAA681C8}" name="Column6449"/>
    <tableColumn id="6450" xr3:uid="{E886E184-4646-4AC1-820D-AEE22EAC98B1}" name="Column6450"/>
    <tableColumn id="6451" xr3:uid="{4DFBE915-608B-482F-AAEE-472796C300F4}" name="Column6451"/>
    <tableColumn id="6452" xr3:uid="{990D0909-2264-4556-B422-00B4210D8173}" name="Column6452"/>
    <tableColumn id="6453" xr3:uid="{C53E69B0-23DC-4FDC-ACA5-6A8CBC917745}" name="Column6453"/>
    <tableColumn id="6454" xr3:uid="{A8C72290-F8D5-4650-A2B4-1326EEEC56F6}" name="Column6454"/>
    <tableColumn id="6455" xr3:uid="{A947BF77-E09A-4FBF-BB26-AB775FF5EB50}" name="Column6455"/>
    <tableColumn id="6456" xr3:uid="{171AA655-1C0B-49DF-AC81-96F4DB48BCD8}" name="Column6456"/>
    <tableColumn id="6457" xr3:uid="{7C44700B-6BCB-4544-9F40-F5A29A451EAE}" name="Column6457"/>
    <tableColumn id="6458" xr3:uid="{527B4610-1FD9-45E8-844D-CCFFCC73D8F2}" name="Column6458"/>
    <tableColumn id="6459" xr3:uid="{1D2FCE5E-DE3B-4A67-A5F3-8DFD721D679D}" name="Column6459"/>
    <tableColumn id="6460" xr3:uid="{866E35FF-1D5A-41BC-A7E5-DD3F8DA29343}" name="Column6460"/>
    <tableColumn id="6461" xr3:uid="{D4CDCA98-0BB6-42A6-8655-2FBD91E9AE48}" name="Column6461"/>
    <tableColumn id="6462" xr3:uid="{2C9E2605-FA46-4629-A39A-D7378CC15FA6}" name="Column6462"/>
    <tableColumn id="6463" xr3:uid="{37E27933-7FDC-45B5-B6D6-E27E5599CA50}" name="Column6463"/>
    <tableColumn id="6464" xr3:uid="{88862D6E-4996-456A-A623-97EE121417AB}" name="Column6464"/>
    <tableColumn id="6465" xr3:uid="{B12AA5EA-0D50-4346-B783-1C5005828213}" name="Column6465"/>
    <tableColumn id="6466" xr3:uid="{4871F8CA-E7AA-4E54-A5D7-292490CF70AB}" name="Column6466"/>
    <tableColumn id="6467" xr3:uid="{2916BC47-4855-461C-880D-2C5803CCBDEC}" name="Column6467"/>
    <tableColumn id="6468" xr3:uid="{17E98C61-1769-4082-8DCD-76057E396174}" name="Column6468"/>
    <tableColumn id="6469" xr3:uid="{CD0DC532-858F-4EBD-BA68-B9536CDA3DB1}" name="Column6469"/>
    <tableColumn id="6470" xr3:uid="{F356A006-A148-4102-932D-0404FBCB62D9}" name="Column6470"/>
    <tableColumn id="6471" xr3:uid="{34927C7C-E9CE-463E-AC44-9B41A4A657AC}" name="Column6471"/>
    <tableColumn id="6472" xr3:uid="{23A6C786-5F73-42CA-9A7D-561FAAD7F203}" name="Column6472"/>
    <tableColumn id="6473" xr3:uid="{AE710236-84A7-47AB-9EC3-931FE74FC112}" name="Column6473"/>
    <tableColumn id="6474" xr3:uid="{D1FFD9EC-C163-481B-873B-D50F35A347B7}" name="Column6474"/>
    <tableColumn id="6475" xr3:uid="{281BCAD2-26DD-4B41-9E77-2A0902F24885}" name="Column6475"/>
    <tableColumn id="6476" xr3:uid="{83598D89-E99F-4D90-B490-B2707B15BA28}" name="Column6476"/>
    <tableColumn id="6477" xr3:uid="{5B1E43BE-9423-4545-A514-25C365A5B90D}" name="Column6477"/>
    <tableColumn id="6478" xr3:uid="{3DFD97FD-A849-4041-98F2-3AA7EDCDE666}" name="Column6478"/>
    <tableColumn id="6479" xr3:uid="{6E938732-B3FE-4892-B55E-8DB554BD4DBB}" name="Column6479"/>
    <tableColumn id="6480" xr3:uid="{618063B2-CDCB-4EEF-AB0F-D5B06A5925CF}" name="Column6480"/>
    <tableColumn id="6481" xr3:uid="{3B723945-66BC-4709-B9D9-6A9981B28FC6}" name="Column6481"/>
    <tableColumn id="6482" xr3:uid="{824E916D-CDAC-40F5-9FC0-8F1E4AEF80C2}" name="Column6482"/>
    <tableColumn id="6483" xr3:uid="{9077A9D9-E6DE-4C7F-A999-F606EFC765F0}" name="Column6483"/>
    <tableColumn id="6484" xr3:uid="{A7F653CD-D8B7-41B4-AC10-ED3218A204CD}" name="Column6484"/>
    <tableColumn id="6485" xr3:uid="{CCB48596-77AA-40B9-AEA6-0D31C76F4FD7}" name="Column6485"/>
    <tableColumn id="6486" xr3:uid="{090FBC7E-285E-4A99-B874-23AE536EBF71}" name="Column6486"/>
    <tableColumn id="6487" xr3:uid="{82591CBC-EA46-4ADC-81CB-D18E09886F4A}" name="Column6487"/>
    <tableColumn id="6488" xr3:uid="{3435E326-96F9-40A7-8AAE-67801C42B912}" name="Column6488"/>
    <tableColumn id="6489" xr3:uid="{3EECE5CB-C63C-4567-AD9B-991F23C427EB}" name="Column6489"/>
    <tableColumn id="6490" xr3:uid="{E63BC78F-6E9D-4A9F-8A22-F41B2686C548}" name="Column6490"/>
    <tableColumn id="6491" xr3:uid="{132A8A15-F35B-41E5-B01E-D0DB897D1DEC}" name="Column6491"/>
    <tableColumn id="6492" xr3:uid="{A7477913-C855-4155-B52C-F441E2E88602}" name="Column6492"/>
    <tableColumn id="6493" xr3:uid="{46E2E15B-F4E4-4C3C-849D-9109A2CC72C5}" name="Column6493"/>
    <tableColumn id="6494" xr3:uid="{C11D43AC-EF8B-4072-8835-A6B2E30CE0F3}" name="Column6494"/>
    <tableColumn id="6495" xr3:uid="{A8BB6B80-BAB4-4D62-BA9A-96372D70370F}" name="Column6495"/>
    <tableColumn id="6496" xr3:uid="{3AA94969-01AE-498F-922C-767471ABADA9}" name="Column6496"/>
    <tableColumn id="6497" xr3:uid="{58AF1775-1234-4C0E-81C6-EDB0B4AC761C}" name="Column6497"/>
    <tableColumn id="6498" xr3:uid="{D3675B37-0A37-4C28-80E2-B193959C75BB}" name="Column6498"/>
    <tableColumn id="6499" xr3:uid="{54E43602-3342-4091-9F1C-64429A83CD76}" name="Column6499"/>
    <tableColumn id="6500" xr3:uid="{C0316810-2926-443D-938B-E215D3173ADE}" name="Column6500"/>
    <tableColumn id="6501" xr3:uid="{506A6A53-E64C-41BD-B816-98C22200A67A}" name="Column6501"/>
    <tableColumn id="6502" xr3:uid="{AD37BC2A-570A-4D74-9672-563B871C8A22}" name="Column6502"/>
    <tableColumn id="6503" xr3:uid="{989D0464-EE9C-4401-8EF5-83956B44A5AA}" name="Column6503"/>
    <tableColumn id="6504" xr3:uid="{91092920-0881-4B8C-B621-202C06D98D4A}" name="Column6504"/>
    <tableColumn id="6505" xr3:uid="{E0ECA7E9-8522-4CD4-8C89-218280D96DD8}" name="Column6505"/>
    <tableColumn id="6506" xr3:uid="{F591DC07-77BE-4F5F-932A-206F50A73215}" name="Column6506"/>
    <tableColumn id="6507" xr3:uid="{2F4F0FAD-2123-451F-A888-7A828F38C520}" name="Column6507"/>
    <tableColumn id="6508" xr3:uid="{A5E99B8D-8BD3-405E-97F3-6CAB6E9356F8}" name="Column6508"/>
    <tableColumn id="6509" xr3:uid="{07D79950-EA96-4CC3-8565-74A256A141D0}" name="Column6509"/>
    <tableColumn id="6510" xr3:uid="{C25FEBAE-1F19-4CF2-B89E-E097BA04D4B4}" name="Column6510"/>
    <tableColumn id="6511" xr3:uid="{9695F0D7-111A-43BC-8AD9-9278C87EDCEA}" name="Column6511"/>
    <tableColumn id="6512" xr3:uid="{42458EC9-08F5-46A2-957E-D435B87DDA27}" name="Column6512"/>
    <tableColumn id="6513" xr3:uid="{DE5E42BB-623D-4D46-9FCC-F2F617583008}" name="Column6513"/>
    <tableColumn id="6514" xr3:uid="{05BF75B0-AB6F-4EC3-9AFD-4287F3ADC648}" name="Column6514"/>
    <tableColumn id="6515" xr3:uid="{62330C68-5234-4CE8-A002-9BC328E9E2CF}" name="Column6515"/>
    <tableColumn id="6516" xr3:uid="{599EE301-91F2-412B-B88E-75CF639933A1}" name="Column6516"/>
    <tableColumn id="6517" xr3:uid="{9D7C224E-4B26-4F0E-B321-BBB78D65634E}" name="Column6517"/>
    <tableColumn id="6518" xr3:uid="{371FE834-E134-4AA1-BE6F-48157BC3EB19}" name="Column6518"/>
    <tableColumn id="6519" xr3:uid="{92D020D0-56F0-4331-A6D3-F75BE7881DD1}" name="Column6519"/>
    <tableColumn id="6520" xr3:uid="{AFBA2C09-321E-4E53-9064-85BFFD3A2F44}" name="Column6520"/>
    <tableColumn id="6521" xr3:uid="{E8E9CA32-96FE-49F0-A552-6EF4CF0D10B6}" name="Column6521"/>
    <tableColumn id="6522" xr3:uid="{D2122447-B6D4-4664-88C0-85AD3F047AC1}" name="Column6522"/>
    <tableColumn id="6523" xr3:uid="{501DCF40-647C-43D3-BF62-0BBA2D29E720}" name="Column6523"/>
    <tableColumn id="6524" xr3:uid="{9E09E323-233A-4307-9A5D-456DD8247A3A}" name="Column6524"/>
    <tableColumn id="6525" xr3:uid="{8C4656EA-E4A0-47FB-A0EF-D6584357FA36}" name="Column6525"/>
    <tableColumn id="6526" xr3:uid="{D8F30C42-CBC7-419A-98DB-29A8225E7F2D}" name="Column6526"/>
    <tableColumn id="6527" xr3:uid="{2020715E-45DC-4810-9706-D2452DFCBF75}" name="Column6527"/>
    <tableColumn id="6528" xr3:uid="{0BEBD9F4-7FEA-4B20-BE74-7A27CE35235D}" name="Column6528"/>
    <tableColumn id="6529" xr3:uid="{5337F952-4083-445E-A40B-765BB44FC21B}" name="Column6529"/>
    <tableColumn id="6530" xr3:uid="{DB6A1A1B-0C66-4BE6-BACF-1E9FED150554}" name="Column6530"/>
    <tableColumn id="6531" xr3:uid="{F4E7E473-AD53-4069-94B4-651ECD681A2C}" name="Column6531"/>
    <tableColumn id="6532" xr3:uid="{6F1B900C-EF8C-4F32-B8AB-B5E0B90A6C66}" name="Column6532"/>
    <tableColumn id="6533" xr3:uid="{3B1BD46C-BCAE-4FC9-B730-389682A0E393}" name="Column6533"/>
    <tableColumn id="6534" xr3:uid="{D96056D7-66D5-44A9-8922-908AAACDDC21}" name="Column6534"/>
    <tableColumn id="6535" xr3:uid="{9D6A9FAC-99C8-4890-9335-198598BF2034}" name="Column6535"/>
    <tableColumn id="6536" xr3:uid="{EF32B62B-9C05-4E50-B485-BF2303DE1ED8}" name="Column6536"/>
    <tableColumn id="6537" xr3:uid="{7C545EEA-93D5-4399-BAFC-6854EB69B0F7}" name="Column6537"/>
    <tableColumn id="6538" xr3:uid="{C01623E4-B0C1-450F-833A-0F3A33D60E48}" name="Column6538"/>
    <tableColumn id="6539" xr3:uid="{17D2ABCE-43AA-4F0C-BB0E-AD759CD242C7}" name="Column6539"/>
    <tableColumn id="6540" xr3:uid="{B3EB842E-B5FA-400E-9E61-DA16EE848B0D}" name="Column6540"/>
    <tableColumn id="6541" xr3:uid="{29A7836B-03A0-46FE-A215-943A2DF70B17}" name="Column6541"/>
    <tableColumn id="6542" xr3:uid="{016A37DE-0688-4D80-9C25-0AEB4561262E}" name="Column6542"/>
    <tableColumn id="6543" xr3:uid="{5FF01FE1-E572-45F6-8E79-7E7EA91CC968}" name="Column6543"/>
    <tableColumn id="6544" xr3:uid="{E0EFC970-DA53-4279-A7A8-E2AF4FA219DB}" name="Column6544"/>
    <tableColumn id="6545" xr3:uid="{1443AC33-4D1B-4A04-A7FB-62ACE343D452}" name="Column6545"/>
    <tableColumn id="6546" xr3:uid="{0F1615F8-23F2-457D-B7C5-C589375105D3}" name="Column6546"/>
    <tableColumn id="6547" xr3:uid="{F7A164A8-BF25-4786-95F0-ECDE3400D8B3}" name="Column6547"/>
    <tableColumn id="6548" xr3:uid="{FFA03AF5-DFF4-48F5-9E3E-548EE984883B}" name="Column6548"/>
    <tableColumn id="6549" xr3:uid="{80DAE25E-7C83-4DE4-9223-7C0A737DFC41}" name="Column6549"/>
    <tableColumn id="6550" xr3:uid="{78A4840E-F9F9-4995-97DF-9E1B37A15065}" name="Column6550"/>
    <tableColumn id="6551" xr3:uid="{A1675ED8-44EA-44A2-8DB6-9FF7365A9FBE}" name="Column6551"/>
    <tableColumn id="6552" xr3:uid="{A8BE3256-F9C0-4D94-A2CA-1D613BF5A1BA}" name="Column6552"/>
    <tableColumn id="6553" xr3:uid="{367486C2-C22F-4505-8A34-FC2385C619CD}" name="Column6553"/>
    <tableColumn id="6554" xr3:uid="{79C6ED3A-BBAE-4C64-BCBE-4C29A4C56B02}" name="Column6554"/>
    <tableColumn id="6555" xr3:uid="{FEADF195-F4FD-4989-983F-BDD1561B0D93}" name="Column6555"/>
    <tableColumn id="6556" xr3:uid="{DD3AA58F-0106-4372-BDC8-23B15855FB6C}" name="Column6556"/>
    <tableColumn id="6557" xr3:uid="{1012DD2A-6910-471E-AAD0-DCAC0F28D7EE}" name="Column6557"/>
    <tableColumn id="6558" xr3:uid="{4FBE35E3-EF82-4EC8-9923-FBC8E3CBE394}" name="Column6558"/>
    <tableColumn id="6559" xr3:uid="{FA072DDB-5258-42B9-8C0A-A109BCC1FC60}" name="Column6559"/>
    <tableColumn id="6560" xr3:uid="{D0774ECD-630F-433D-8399-1239EA4BAA37}" name="Column6560"/>
    <tableColumn id="6561" xr3:uid="{02AD4E11-8657-437E-AB30-5AB6D5D5575E}" name="Column6561"/>
    <tableColumn id="6562" xr3:uid="{02338200-63BA-467A-BDA3-1664D19AF7FD}" name="Column6562"/>
    <tableColumn id="6563" xr3:uid="{2FDA14D7-1923-4435-A29C-2BC9BF022DE2}" name="Column6563"/>
    <tableColumn id="6564" xr3:uid="{3C5AD9E3-6FE1-4C82-8B98-8B71F7933A96}" name="Column6564"/>
    <tableColumn id="6565" xr3:uid="{469B5BA4-98A3-4FC5-85DE-DFA268D0DC79}" name="Column6565"/>
    <tableColumn id="6566" xr3:uid="{6D570233-9EAE-4305-80AD-530CCB1BA8B8}" name="Column6566"/>
    <tableColumn id="6567" xr3:uid="{F36F1005-155B-4CE5-A786-426579065A4D}" name="Column6567"/>
    <tableColumn id="6568" xr3:uid="{89301F83-BDBA-4FA9-BE41-338D574EB124}" name="Column6568"/>
    <tableColumn id="6569" xr3:uid="{4BD85936-149E-4CF8-9325-3A7B5C79F3E4}" name="Column6569"/>
    <tableColumn id="6570" xr3:uid="{0D2DAB35-BB03-44F3-9C0C-C1BFFBEBEEE4}" name="Column6570"/>
    <tableColumn id="6571" xr3:uid="{AC5A13DB-4ADC-4FEF-930C-D51078D6AA7F}" name="Column6571"/>
    <tableColumn id="6572" xr3:uid="{65B25DC9-4E13-4532-B9BF-3A29154C4D2E}" name="Column6572"/>
    <tableColumn id="6573" xr3:uid="{EA3D3C45-B946-4AA9-AAA5-87ED55E7F5F2}" name="Column6573"/>
    <tableColumn id="6574" xr3:uid="{4FAF930B-3E30-4A7D-AC94-5CFB62314BFE}" name="Column6574"/>
    <tableColumn id="6575" xr3:uid="{0743EBF3-266E-4CEA-81D9-DF8349B967FA}" name="Column6575"/>
    <tableColumn id="6576" xr3:uid="{138447BB-BB59-4667-9D0D-05E6F587320F}" name="Column6576"/>
    <tableColumn id="6577" xr3:uid="{B5F45572-80FD-459A-9405-B536EEA5906D}" name="Column6577"/>
    <tableColumn id="6578" xr3:uid="{7DC645C1-3E96-470E-B2B5-0B6B13F23344}" name="Column6578"/>
    <tableColumn id="6579" xr3:uid="{CD56B13C-002A-4000-874A-FACA1056DEF1}" name="Column6579"/>
    <tableColumn id="6580" xr3:uid="{9FD82CA4-E0CE-4A76-94E7-3817C788165D}" name="Column6580"/>
    <tableColumn id="6581" xr3:uid="{6F13BFAD-AE9B-479C-A22F-6E1F7FF3DA3C}" name="Column6581"/>
    <tableColumn id="6582" xr3:uid="{9CF1677C-FA57-41CE-9CDA-9B51DA1B13EA}" name="Column6582"/>
    <tableColumn id="6583" xr3:uid="{E08819FC-0B00-402D-96EB-C061B4F76424}" name="Column6583"/>
    <tableColumn id="6584" xr3:uid="{5EE6AB49-BAF3-4FDB-B64B-F30F9AE5E96C}" name="Column6584"/>
    <tableColumn id="6585" xr3:uid="{5E8EDBB7-A98B-417C-A759-88D183799584}" name="Column6585"/>
    <tableColumn id="6586" xr3:uid="{5D346858-406F-40B7-BB36-AB662A483309}" name="Column6586"/>
    <tableColumn id="6587" xr3:uid="{A4D8714C-2F00-4680-8F65-191715C0C0E4}" name="Column6587"/>
    <tableColumn id="6588" xr3:uid="{6B2A04C7-97BA-487A-9B41-F446DE6DC486}" name="Column6588"/>
    <tableColumn id="6589" xr3:uid="{577D641B-ED61-4F48-BC69-648459242224}" name="Column6589"/>
    <tableColumn id="6590" xr3:uid="{65E386B6-90A1-4AC5-968F-2FCD6396EDF4}" name="Column6590"/>
    <tableColumn id="6591" xr3:uid="{A4E35471-85FF-49DB-9660-605F4A4BB5BA}" name="Column6591"/>
    <tableColumn id="6592" xr3:uid="{9E63FB5B-E454-48FE-BFB6-2E5B170A2B0D}" name="Column6592"/>
    <tableColumn id="6593" xr3:uid="{34715067-CDEF-490B-B445-0DD3A6028437}" name="Column6593"/>
    <tableColumn id="6594" xr3:uid="{4DEFAC0F-3BFC-46E1-815D-ABC2B9ACAB84}" name="Column6594"/>
    <tableColumn id="6595" xr3:uid="{716A69E6-7A79-4302-BD47-2C42AD983E56}" name="Column6595"/>
    <tableColumn id="6596" xr3:uid="{3B35B184-4B7D-4E81-B149-2C8167AE1DAD}" name="Column6596"/>
    <tableColumn id="6597" xr3:uid="{E93692DA-7914-4469-9338-1D312D175916}" name="Column6597"/>
    <tableColumn id="6598" xr3:uid="{A6B48184-B904-4D70-8CA7-7E80FEC5125C}" name="Column6598"/>
    <tableColumn id="6599" xr3:uid="{6D8605D6-EF97-4AE1-936E-AF3690C41406}" name="Column6599"/>
    <tableColumn id="6600" xr3:uid="{680D5F7E-CBB9-43D9-AAAA-5AAFD4E1A7E3}" name="Column6600"/>
    <tableColumn id="6601" xr3:uid="{99045E30-C00B-41BF-8F82-133C45F9AEF1}" name="Column6601"/>
    <tableColumn id="6602" xr3:uid="{188FD078-F106-4C98-ACB6-42570DC3D958}" name="Column6602"/>
    <tableColumn id="6603" xr3:uid="{C9DDEE5E-B772-4D8B-82D2-7316DFC2B38F}" name="Column6603"/>
    <tableColumn id="6604" xr3:uid="{FB0AF74B-B587-4597-A861-775AB6E589C0}" name="Column6604"/>
    <tableColumn id="6605" xr3:uid="{89FFAACA-75FD-4A92-A552-40CE3571362F}" name="Column6605"/>
    <tableColumn id="6606" xr3:uid="{B636BD22-C5CC-47F9-847C-70F77620F757}" name="Column6606"/>
    <tableColumn id="6607" xr3:uid="{B0007528-3BC1-4732-A704-94CFC7E4F535}" name="Column6607"/>
    <tableColumn id="6608" xr3:uid="{065A98E5-9317-48D1-AAF2-A57B4CBFCEF7}" name="Column6608"/>
    <tableColumn id="6609" xr3:uid="{BA84AE0A-E1A5-4EAE-81E1-E5B753B1B479}" name="Column6609"/>
    <tableColumn id="6610" xr3:uid="{762C8FF1-5A0E-4B79-915A-1B14B31E90FE}" name="Column6610"/>
    <tableColumn id="6611" xr3:uid="{17FE5E22-9F2B-4577-9704-A724D7702D1E}" name="Column6611"/>
    <tableColumn id="6612" xr3:uid="{5BE7F2BB-E593-4BF2-B72B-C4B39E51C228}" name="Column6612"/>
    <tableColumn id="6613" xr3:uid="{89054D3A-2400-4037-AAC1-920EEDB27AE8}" name="Column6613"/>
    <tableColumn id="6614" xr3:uid="{E8EF551D-F51E-4E7F-811F-F78E94BD122B}" name="Column6614"/>
    <tableColumn id="6615" xr3:uid="{6BA43437-FB98-4ADF-A257-36369B54B34E}" name="Column6615"/>
    <tableColumn id="6616" xr3:uid="{E6390D83-8560-4105-B911-5E89A5F8978B}" name="Column6616"/>
    <tableColumn id="6617" xr3:uid="{446F75B6-CE3B-46C3-8D1E-72E303765D2E}" name="Column6617"/>
    <tableColumn id="6618" xr3:uid="{8BDA2DFE-59D0-412B-B21E-B959AB18D365}" name="Column6618"/>
    <tableColumn id="6619" xr3:uid="{03880C7C-23D1-4532-B333-C6D1293AF535}" name="Column6619"/>
    <tableColumn id="6620" xr3:uid="{A1DE0F55-46AD-4B90-BBB5-8D781BEE4E16}" name="Column6620"/>
    <tableColumn id="6621" xr3:uid="{CD438740-EE3E-40CC-8592-666BF2A7564D}" name="Column6621"/>
    <tableColumn id="6622" xr3:uid="{C99F70B0-50AC-4E99-B123-18849D03F532}" name="Column6622"/>
    <tableColumn id="6623" xr3:uid="{5FA55019-E7A5-4D47-96CE-36A146674D85}" name="Column6623"/>
    <tableColumn id="6624" xr3:uid="{7DE47965-FFB4-4D00-B306-0813E49F3DFE}" name="Column6624"/>
    <tableColumn id="6625" xr3:uid="{E559AED7-2524-4C15-868A-8A1462A1AF0D}" name="Column6625"/>
    <tableColumn id="6626" xr3:uid="{0D003C71-22F7-4ED1-A336-DDBCB1585F21}" name="Column6626"/>
    <tableColumn id="6627" xr3:uid="{E1E9FF1F-935A-459B-8499-1C78D2B81818}" name="Column6627"/>
    <tableColumn id="6628" xr3:uid="{12EE5CA3-CD03-4879-8793-C4825AB0258F}" name="Column6628"/>
    <tableColumn id="6629" xr3:uid="{33F63296-3B29-4F87-A788-77DA95CDD38C}" name="Column6629"/>
    <tableColumn id="6630" xr3:uid="{CEDB2181-E502-4B2F-8AFB-48CF5A9DD72D}" name="Column6630"/>
    <tableColumn id="6631" xr3:uid="{9F80EE98-ACBF-42BC-8DCC-B2A3AB4EABF0}" name="Column6631"/>
    <tableColumn id="6632" xr3:uid="{E7F5D2CB-1740-4487-8424-9A512E51C214}" name="Column6632"/>
    <tableColumn id="6633" xr3:uid="{21FDA190-9CDD-4CDD-ADDB-3064AC924F20}" name="Column6633"/>
    <tableColumn id="6634" xr3:uid="{06895B58-D51A-4295-93BD-4B2C1D8E016A}" name="Column6634"/>
    <tableColumn id="6635" xr3:uid="{50E76298-9210-4F48-A9E5-57617EBF4936}" name="Column6635"/>
    <tableColumn id="6636" xr3:uid="{E49D4A59-E6E3-40EE-B046-A2879C6295B8}" name="Column6636"/>
    <tableColumn id="6637" xr3:uid="{89779044-9C50-4A77-84F7-6E5E8239D577}" name="Column6637"/>
    <tableColumn id="6638" xr3:uid="{F445EB43-A76D-41CB-9423-E72F8697EB67}" name="Column6638"/>
    <tableColumn id="6639" xr3:uid="{D6344831-1E1C-423D-9DA6-200649B0DFEE}" name="Column6639"/>
    <tableColumn id="6640" xr3:uid="{78894C50-2549-4BF8-BAA3-8E2E280C64FE}" name="Column6640"/>
    <tableColumn id="6641" xr3:uid="{7DD8943B-4791-48BD-B8E3-2BEDBAD587DA}" name="Column6641"/>
    <tableColumn id="6642" xr3:uid="{BADF4D51-B3CA-4CDD-AD44-36EA3BD5E642}" name="Column6642"/>
    <tableColumn id="6643" xr3:uid="{E7F2CE83-FC27-443D-A426-EBF81346E137}" name="Column6643"/>
    <tableColumn id="6644" xr3:uid="{9F632D34-C241-4B40-A1FC-5D2CC22277EC}" name="Column6644"/>
    <tableColumn id="6645" xr3:uid="{C0C6FEF5-CF33-461B-A1B2-EACB8CF5F47C}" name="Column6645"/>
    <tableColumn id="6646" xr3:uid="{912EF146-96E7-4521-9525-2E54693ABC53}" name="Column6646"/>
    <tableColumn id="6647" xr3:uid="{0F3DB53C-5D33-4BD5-9B08-2975586AB5C4}" name="Column6647"/>
    <tableColumn id="6648" xr3:uid="{774D6B8C-5523-4574-B75E-D3C3F8D1B469}" name="Column6648"/>
    <tableColumn id="6649" xr3:uid="{1C639D49-12E0-4460-93B6-3EB884738408}" name="Column6649"/>
    <tableColumn id="6650" xr3:uid="{1DF28C98-6A65-43EB-BCA5-85D64C7073DA}" name="Column6650"/>
    <tableColumn id="6651" xr3:uid="{A3426B6E-3393-460E-8009-F3B9FEDB067C}" name="Column6651"/>
    <tableColumn id="6652" xr3:uid="{8C7AD520-FF34-47AB-B401-F7B109A7A42B}" name="Column6652"/>
    <tableColumn id="6653" xr3:uid="{37F8E13D-F68C-4F64-9F22-7282E0F4B88F}" name="Column6653"/>
    <tableColumn id="6654" xr3:uid="{3ACA8F69-15AF-44FD-8A1C-279CCE5839BF}" name="Column6654"/>
    <tableColumn id="6655" xr3:uid="{3570FA4C-3A43-4270-BA76-93D2EF4B6961}" name="Column6655"/>
    <tableColumn id="6656" xr3:uid="{AE2C996A-AFB4-4BEE-B392-71EA6BA33FCF}" name="Column6656"/>
    <tableColumn id="6657" xr3:uid="{AA415060-4121-4092-8FD0-DC16D7A89D5D}" name="Column6657"/>
    <tableColumn id="6658" xr3:uid="{96E5791C-B518-4551-AFBF-885F751421DB}" name="Column6658"/>
    <tableColumn id="6659" xr3:uid="{7A315068-7F5F-4B75-A644-C6BA3437A22D}" name="Column6659"/>
    <tableColumn id="6660" xr3:uid="{F61AC8AD-0D85-4972-BEAB-AAE45DA80133}" name="Column6660"/>
    <tableColumn id="6661" xr3:uid="{D4669F6D-C5F3-4937-B688-B8AB83C4182E}" name="Column6661"/>
    <tableColumn id="6662" xr3:uid="{A276EBFB-9918-40C8-BB7E-FD747A5C3158}" name="Column6662"/>
    <tableColumn id="6663" xr3:uid="{B3B3D7E6-3CA1-4D77-A8FE-FBFD438D58A3}" name="Column6663"/>
    <tableColumn id="6664" xr3:uid="{54EB2134-9C27-4BB9-BE54-5E7CA1E546D0}" name="Column6664"/>
    <tableColumn id="6665" xr3:uid="{4C2FEB68-D4A1-44AB-A9E1-FDEAEE25C11E}" name="Column6665"/>
    <tableColumn id="6666" xr3:uid="{377652CD-C6FC-4A05-9F28-5D0048380F12}" name="Column6666"/>
    <tableColumn id="6667" xr3:uid="{E0393A3E-4C35-4C5D-8C1D-61789B2F9BA6}" name="Column6667"/>
    <tableColumn id="6668" xr3:uid="{94DD6A98-1293-4D37-ACC1-1EB3F92C1FA1}" name="Column6668"/>
    <tableColumn id="6669" xr3:uid="{1D574DA1-A176-40F8-BC20-245E7B21DDBC}" name="Column6669"/>
    <tableColumn id="6670" xr3:uid="{716A664B-EEA9-493B-B6FF-36B571B977B5}" name="Column6670"/>
    <tableColumn id="6671" xr3:uid="{B20A32AD-2F45-4A39-906F-E8607829B671}" name="Column6671"/>
    <tableColumn id="6672" xr3:uid="{64ADF712-57F1-4DD7-8113-B1A69E19F22F}" name="Column6672"/>
    <tableColumn id="6673" xr3:uid="{F9AE28C4-2D7D-4DB2-827D-F640CE0D1BA7}" name="Column6673"/>
    <tableColumn id="6674" xr3:uid="{1A34152C-5E63-4746-85EC-1A655D5DE6B2}" name="Column6674"/>
    <tableColumn id="6675" xr3:uid="{3FBE5D1C-D177-405B-AC1D-23E0592DC041}" name="Column6675"/>
    <tableColumn id="6676" xr3:uid="{11F329D4-A276-418A-9586-880C650F5815}" name="Column6676"/>
    <tableColumn id="6677" xr3:uid="{0E4988BC-2526-48D5-8A08-345DD1A52018}" name="Column6677"/>
    <tableColumn id="6678" xr3:uid="{ECA532C7-5AF4-44A7-BE0B-E15125B38860}" name="Column6678"/>
    <tableColumn id="6679" xr3:uid="{D29C110D-6659-4F23-9D9D-DF2BB4972C9A}" name="Column6679"/>
    <tableColumn id="6680" xr3:uid="{A017B2E0-C23E-4CD8-993C-6D3793A15831}" name="Column6680"/>
    <tableColumn id="6681" xr3:uid="{07B7CF8A-0953-4AF0-BB8C-74C1982544D6}" name="Column6681"/>
    <tableColumn id="6682" xr3:uid="{BFE728F8-27E7-4E08-AE3A-CDD26B1CAFC6}" name="Column6682"/>
    <tableColumn id="6683" xr3:uid="{C6600EAE-0410-4C2E-8D16-39D1AEA5CFC3}" name="Column6683"/>
    <tableColumn id="6684" xr3:uid="{56A05CA8-8D34-40B0-BBCA-9BBAF0A86321}" name="Column6684"/>
    <tableColumn id="6685" xr3:uid="{76384816-91AB-4B22-A6C3-C0C0FB238D2E}" name="Column6685"/>
    <tableColumn id="6686" xr3:uid="{6C1E8A96-D153-42F4-85F6-155E5B417B7C}" name="Column6686"/>
    <tableColumn id="6687" xr3:uid="{7BE46361-A44E-4A29-B3D1-0ADD29BCA3B1}" name="Column6687"/>
    <tableColumn id="6688" xr3:uid="{9D4D3A33-B265-42E5-BDCD-C2BF38EB6E5E}" name="Column6688"/>
    <tableColumn id="6689" xr3:uid="{E38C596D-9399-4EFD-82C3-24FCBF49D0D8}" name="Column6689"/>
    <tableColumn id="6690" xr3:uid="{3E84A6C2-DCC5-44F6-93EE-9E580C815191}" name="Column6690"/>
    <tableColumn id="6691" xr3:uid="{09747316-EAAB-43CE-902B-46B489599060}" name="Column6691"/>
    <tableColumn id="6692" xr3:uid="{519F9867-F483-4876-ADBE-D02C5B09CC49}" name="Column6692"/>
    <tableColumn id="6693" xr3:uid="{E1FDDF37-CBF4-4A5C-9D39-AC7F17A8123E}" name="Column6693"/>
    <tableColumn id="6694" xr3:uid="{3C6FC57B-5D09-4FA3-A293-0A9973BA94F3}" name="Column6694"/>
    <tableColumn id="6695" xr3:uid="{491E6CC4-4D96-417A-8BC8-CF2F98E39DEE}" name="Column6695"/>
    <tableColumn id="6696" xr3:uid="{43FB77CF-8657-4E77-A922-CF0EBCEC6603}" name="Column6696"/>
    <tableColumn id="6697" xr3:uid="{78962E4E-4881-4E3A-B49E-98B8F5112E40}" name="Column6697"/>
    <tableColumn id="6698" xr3:uid="{F38B5046-89CD-4445-9DBD-AD2C19CED374}" name="Column6698"/>
    <tableColumn id="6699" xr3:uid="{E8E4E1D0-0267-4056-8236-80DB6ABFC847}" name="Column6699"/>
    <tableColumn id="6700" xr3:uid="{648904C4-BF19-4BAF-AE52-4753F7297851}" name="Column6700"/>
    <tableColumn id="6701" xr3:uid="{C0FCAF4F-55B6-4D12-BC05-0547BFFF6036}" name="Column6701"/>
    <tableColumn id="6702" xr3:uid="{31230FD5-8841-4622-87F5-FD108DF6A547}" name="Column6702"/>
    <tableColumn id="6703" xr3:uid="{FA0FAC56-034F-4568-89A8-FA9A6BADE48F}" name="Column6703"/>
    <tableColumn id="6704" xr3:uid="{07C6D9F4-273B-426B-8868-3FE3FD8E66E3}" name="Column6704"/>
    <tableColumn id="6705" xr3:uid="{270ECAD7-13CB-4B88-BE3F-DD8EB3116112}" name="Column6705"/>
    <tableColumn id="6706" xr3:uid="{7182B753-0F46-4EE9-BA8A-ED3AF8C3EA92}" name="Column6706"/>
    <tableColumn id="6707" xr3:uid="{754DB492-4AF2-4F9C-8C06-1BD36625DEA7}" name="Column6707"/>
    <tableColumn id="6708" xr3:uid="{98E6CB1F-131B-4777-8269-C9CF01E84D08}" name="Column6708"/>
    <tableColumn id="6709" xr3:uid="{9DC09580-1604-4EB3-9B48-ABB200E76105}" name="Column6709"/>
    <tableColumn id="6710" xr3:uid="{9EFB545C-AEE8-4F63-9462-5B52F1091869}" name="Column6710"/>
    <tableColumn id="6711" xr3:uid="{582E7B29-1AB2-49C2-8B4E-A4AF02EC0823}" name="Column6711"/>
    <tableColumn id="6712" xr3:uid="{8E6FF5E4-FDE7-43FC-8F8F-1BE81B109773}" name="Column6712"/>
    <tableColumn id="6713" xr3:uid="{0C45EEC0-564A-4BA9-9147-B6DE0F7D8DF8}" name="Column6713"/>
    <tableColumn id="6714" xr3:uid="{27218CF0-6D35-42F6-8D26-9F2F0AA72E5A}" name="Column6714"/>
    <tableColumn id="6715" xr3:uid="{31CE89FE-1E19-44BB-B0B1-1A2D2601CA80}" name="Column6715"/>
    <tableColumn id="6716" xr3:uid="{F7EFDBDE-7912-407E-BE57-FF8555B19A50}" name="Column6716"/>
    <tableColumn id="6717" xr3:uid="{A20722F7-89EF-4EE0-8CFF-1841CDF91AF3}" name="Column6717"/>
    <tableColumn id="6718" xr3:uid="{B8C19314-118D-4A4E-8C8D-CD00B59F43CC}" name="Column6718"/>
    <tableColumn id="6719" xr3:uid="{4CB3151C-C365-41BA-ABDE-FAC7D225CE48}" name="Column6719"/>
    <tableColumn id="6720" xr3:uid="{C6832339-9313-4251-8413-5F43EFDC1458}" name="Column6720"/>
    <tableColumn id="6721" xr3:uid="{28E34C0E-4725-43D2-8662-A862A29F6B49}" name="Column6721"/>
    <tableColumn id="6722" xr3:uid="{C85D0164-1CD0-41BF-8046-0E8344CCDC44}" name="Column6722"/>
    <tableColumn id="6723" xr3:uid="{309B8AFC-D847-4F9B-ACB8-E4DFC0972BDC}" name="Column6723"/>
    <tableColumn id="6724" xr3:uid="{FF4C4368-F11C-4482-87C1-022C5178FCDB}" name="Column6724"/>
    <tableColumn id="6725" xr3:uid="{CEC345E6-A580-4A92-817F-CC6980419B77}" name="Column6725"/>
    <tableColumn id="6726" xr3:uid="{25DE9681-0F9D-42C5-9ED1-2C45348544B5}" name="Column6726"/>
    <tableColumn id="6727" xr3:uid="{0AB16486-0CE0-4715-AFB7-9287B4BD8AA8}" name="Column6727"/>
    <tableColumn id="6728" xr3:uid="{8E55970C-3C51-41BE-8C13-A91205DA59FC}" name="Column6728"/>
    <tableColumn id="6729" xr3:uid="{0EB47EA4-A389-40AA-AB99-6FC94F2F382C}" name="Column6729"/>
    <tableColumn id="6730" xr3:uid="{348B8CCF-3835-4B63-A046-B19268C9579A}" name="Column6730"/>
    <tableColumn id="6731" xr3:uid="{179390A7-F97A-4521-B041-F5F93EB6AD93}" name="Column6731"/>
    <tableColumn id="6732" xr3:uid="{140E4CC5-AC54-438E-B653-321FBAB7EFFB}" name="Column6732"/>
    <tableColumn id="6733" xr3:uid="{27C6357A-9C72-4EBF-A801-07A96A1923F3}" name="Column6733"/>
    <tableColumn id="6734" xr3:uid="{DFA69137-3412-4DF3-B492-DC2B297A4A5E}" name="Column6734"/>
    <tableColumn id="6735" xr3:uid="{CBEB4719-699E-4B5C-B65F-EAC39E39222C}" name="Column6735"/>
    <tableColumn id="6736" xr3:uid="{85009B4B-4569-4DBE-BED5-4E3933A91126}" name="Column6736"/>
    <tableColumn id="6737" xr3:uid="{1B41F9DF-BF0C-452C-AB70-929B6F46BCE4}" name="Column6737"/>
    <tableColumn id="6738" xr3:uid="{C6F3AF4E-B9A7-4757-998A-E558BC4F3F96}" name="Column6738"/>
    <tableColumn id="6739" xr3:uid="{37380BFE-1B59-4C40-8258-8FFBEF0AE7EB}" name="Column6739"/>
    <tableColumn id="6740" xr3:uid="{0052BB4E-5C78-4736-9992-B7E8A6CBD326}" name="Column6740"/>
    <tableColumn id="6741" xr3:uid="{30F32316-BA9B-497F-9A2E-A05691790C92}" name="Column6741"/>
    <tableColumn id="6742" xr3:uid="{596819AC-1B72-4F3D-92E7-A8C731DF0865}" name="Column6742"/>
    <tableColumn id="6743" xr3:uid="{085D76DE-B104-41AB-8FEC-696737CA587E}" name="Column6743"/>
    <tableColumn id="6744" xr3:uid="{2081030F-C750-4F7E-8C4F-28AE1F404D6C}" name="Column6744"/>
    <tableColumn id="6745" xr3:uid="{7AE07EDC-970B-4861-98A7-C4B629228A10}" name="Column6745"/>
    <tableColumn id="6746" xr3:uid="{BCAAF9B5-DC42-402D-859B-BECAC09A8A6F}" name="Column6746"/>
    <tableColumn id="6747" xr3:uid="{B7E87F6B-4CA1-4900-875E-F4EDF0555855}" name="Column6747"/>
    <tableColumn id="6748" xr3:uid="{2C111C2A-CAF7-415D-A020-02C89B3B0837}" name="Column6748"/>
    <tableColumn id="6749" xr3:uid="{62FCDFA7-D1A7-409F-93B1-2618F58C49E4}" name="Column6749"/>
    <tableColumn id="6750" xr3:uid="{E4FEF630-6133-48BD-AF30-CE5DC3F2C72D}" name="Column6750"/>
    <tableColumn id="6751" xr3:uid="{050D6124-785B-4A72-8390-EB520085035D}" name="Column6751"/>
    <tableColumn id="6752" xr3:uid="{C2CE15C5-54F9-4DF8-84A9-93AD4F67E44C}" name="Column6752"/>
    <tableColumn id="6753" xr3:uid="{200612CE-C876-48DD-A049-A94A15BE431F}" name="Column6753"/>
    <tableColumn id="6754" xr3:uid="{585BC679-7C3F-4AF7-B43A-8D2DF1E8DB6F}" name="Column6754"/>
    <tableColumn id="6755" xr3:uid="{3E8AD83E-1C99-41BB-865C-379641BB9A9C}" name="Column6755"/>
    <tableColumn id="6756" xr3:uid="{B203F447-56E6-466C-890A-91CC55DA1F11}" name="Column6756"/>
    <tableColumn id="6757" xr3:uid="{E74633E9-05CE-43EA-962E-6894CDF58649}" name="Column6757"/>
    <tableColumn id="6758" xr3:uid="{76DD1FCC-9A53-4E58-80DB-5493998FD8C7}" name="Column6758"/>
    <tableColumn id="6759" xr3:uid="{FEFD416D-5032-40D7-8049-F16D212FEEC5}" name="Column6759"/>
    <tableColumn id="6760" xr3:uid="{1408782A-F4D1-415E-9BCC-9CF22441A30A}" name="Column6760"/>
    <tableColumn id="6761" xr3:uid="{033C158B-18FF-482B-945F-B01F62784C7A}" name="Column6761"/>
    <tableColumn id="6762" xr3:uid="{A75BD604-7D6F-4B4A-BE6A-7A6706EE28E1}" name="Column6762"/>
    <tableColumn id="6763" xr3:uid="{52CADA77-D526-4B42-AAD1-C539CD1E4351}" name="Column6763"/>
    <tableColumn id="6764" xr3:uid="{1E121BDC-43DF-49FD-B1A3-C9BAC4855443}" name="Column6764"/>
    <tableColumn id="6765" xr3:uid="{805C645C-AB67-40B9-9DF7-A5EB2FB0A3AF}" name="Column6765"/>
    <tableColumn id="6766" xr3:uid="{04F1910A-7094-48A2-9CE0-0B4D37400A13}" name="Column6766"/>
    <tableColumn id="6767" xr3:uid="{B72C0294-5CE7-41D7-ACCF-85D3DE90A0C3}" name="Column6767"/>
    <tableColumn id="6768" xr3:uid="{4D65FCE0-B104-4E29-9C97-D2ED964C1EA9}" name="Column6768"/>
    <tableColumn id="6769" xr3:uid="{AB77AFD4-7DBF-496C-8514-8329A368E07B}" name="Column6769"/>
    <tableColumn id="6770" xr3:uid="{04AB430C-77C2-4C65-921A-30E63ECF97F8}" name="Column6770"/>
    <tableColumn id="6771" xr3:uid="{FFC186A8-7F8D-4D5E-A02C-00D4104B7754}" name="Column6771"/>
    <tableColumn id="6772" xr3:uid="{EA7388C5-C1C3-4C72-ABB8-9336F583B5B7}" name="Column6772"/>
    <tableColumn id="6773" xr3:uid="{3BF1129B-1D87-4FE1-83A4-8140D3E7B69F}" name="Column6773"/>
    <tableColumn id="6774" xr3:uid="{D63C2A41-342F-4847-B39A-61C41FFE9F40}" name="Column6774"/>
    <tableColumn id="6775" xr3:uid="{B377E2A8-CC88-4426-A469-EA5FA77B1C92}" name="Column6775"/>
    <tableColumn id="6776" xr3:uid="{54C2A46A-BF1A-4C2B-AAA2-E0DB069C9493}" name="Column6776"/>
    <tableColumn id="6777" xr3:uid="{25A0E0A0-04AB-4F44-A020-AE18C67471D9}" name="Column6777"/>
    <tableColumn id="6778" xr3:uid="{1B6D61B0-AFCB-49B7-821B-02E06475F31C}" name="Column6778"/>
    <tableColumn id="6779" xr3:uid="{6EF41FAB-CC96-451C-8207-496D9DBB1FB9}" name="Column6779"/>
    <tableColumn id="6780" xr3:uid="{CC487942-AF40-4EFF-ABE0-773DC77EC583}" name="Column6780"/>
    <tableColumn id="6781" xr3:uid="{68E34C2E-4C0E-4E32-A1A5-DB013CC521BF}" name="Column6781"/>
    <tableColumn id="6782" xr3:uid="{507F6A46-DC2D-402C-975B-41DA833FB00A}" name="Column6782"/>
    <tableColumn id="6783" xr3:uid="{FE27738C-9F4F-4863-B3EE-67DE9C432366}" name="Column6783"/>
    <tableColumn id="6784" xr3:uid="{09E07B82-D98A-41D4-B569-379DC1ACBF1D}" name="Column6784"/>
    <tableColumn id="6785" xr3:uid="{4E9AB554-D7C8-4679-A782-8D295C452855}" name="Column6785"/>
    <tableColumn id="6786" xr3:uid="{08AC0B80-F0AC-4474-86A8-EDA905B7DD71}" name="Column6786"/>
    <tableColumn id="6787" xr3:uid="{328A6DF4-8178-4AE9-8F1B-94E6677B73B9}" name="Column6787"/>
    <tableColumn id="6788" xr3:uid="{38E4B883-ED2B-4B6D-8759-A6919A81F13A}" name="Column6788"/>
    <tableColumn id="6789" xr3:uid="{2FEAFC17-7AAD-4F00-91D6-66814EBD4388}" name="Column6789"/>
    <tableColumn id="6790" xr3:uid="{F049DB9A-40C0-444C-B8A0-ACB6794E82F3}" name="Column6790"/>
    <tableColumn id="6791" xr3:uid="{EE31BA68-4737-4EB4-A37C-DDD69EB8B739}" name="Column6791"/>
    <tableColumn id="6792" xr3:uid="{EE011450-FE61-4A4D-9931-71009D7AE8C5}" name="Column6792"/>
    <tableColumn id="6793" xr3:uid="{37AB4C2F-F3EE-4E0B-982A-DB56D2038C2B}" name="Column6793"/>
    <tableColumn id="6794" xr3:uid="{B9AFC3A3-4E05-43F3-A51F-7253598DD839}" name="Column6794"/>
    <tableColumn id="6795" xr3:uid="{A3AEA7C2-1F83-4262-AC45-8581DC2C44D4}" name="Column6795"/>
    <tableColumn id="6796" xr3:uid="{B61816CF-6A3E-4DDE-9FF6-19822888665C}" name="Column6796"/>
    <tableColumn id="6797" xr3:uid="{68CCD20B-1046-46F4-A7E4-2E880EF04B7B}" name="Column6797"/>
    <tableColumn id="6798" xr3:uid="{8C4D2EB1-84F4-4206-82AA-C28007E732C9}" name="Column6798"/>
    <tableColumn id="6799" xr3:uid="{AC98F086-296B-4F8E-8739-5E2F8216403D}" name="Column6799"/>
    <tableColumn id="6800" xr3:uid="{86BB939A-EE25-4B85-9844-5869A2ADA9CD}" name="Column6800"/>
    <tableColumn id="6801" xr3:uid="{77B5DFF0-D74B-4053-952D-398D10482D14}" name="Column6801"/>
    <tableColumn id="6802" xr3:uid="{27C101DE-F2D1-412E-84B6-C82ACAEB0D1C}" name="Column6802"/>
    <tableColumn id="6803" xr3:uid="{5A96AE52-B282-4DC2-8960-6CED68D26E89}" name="Column6803"/>
    <tableColumn id="6804" xr3:uid="{E8EA9959-06EC-4F39-A3EF-E28DB935B83B}" name="Column6804"/>
    <tableColumn id="6805" xr3:uid="{8D8182FB-98B9-435A-B633-F1E551F51E9F}" name="Column6805"/>
    <tableColumn id="6806" xr3:uid="{E1E43B09-7503-45FC-8AFA-8AEDF834F2C1}" name="Column6806"/>
    <tableColumn id="6807" xr3:uid="{0CC76E26-DFA4-4B01-97BD-91780555E398}" name="Column6807"/>
    <tableColumn id="6808" xr3:uid="{5B4131FA-1F26-4120-9FD5-FDB7AD5C98E9}" name="Column6808"/>
    <tableColumn id="6809" xr3:uid="{2AAE4021-E14A-40A5-8B9F-6DF3044BBD3C}" name="Column6809"/>
    <tableColumn id="6810" xr3:uid="{A0EE6B54-C4DF-451F-A5AE-27DC40DB0359}" name="Column6810"/>
    <tableColumn id="6811" xr3:uid="{4BEA9BA1-6139-4439-A962-C71EB589C85D}" name="Column6811"/>
    <tableColumn id="6812" xr3:uid="{DC7CFEEA-2E3A-4077-B98D-559A65AAF2ED}" name="Column6812"/>
    <tableColumn id="6813" xr3:uid="{D76E7B11-1EFB-4AFB-8197-78116557124E}" name="Column6813"/>
    <tableColumn id="6814" xr3:uid="{DAD93138-7F57-4C4B-82ED-7382F26BCD10}" name="Column6814"/>
    <tableColumn id="6815" xr3:uid="{8A661930-5BD8-467E-B849-EAAB39817DC8}" name="Column6815"/>
    <tableColumn id="6816" xr3:uid="{1197DE3B-0C8D-435E-86B4-4E69FB2FCD54}" name="Column6816"/>
    <tableColumn id="6817" xr3:uid="{22DEFBEB-D5CC-437B-B358-9D23B67D747A}" name="Column6817"/>
    <tableColumn id="6818" xr3:uid="{3F179A6E-8568-4E4A-A758-E35EB4808059}" name="Column6818"/>
    <tableColumn id="6819" xr3:uid="{E48BFCD0-E45F-4217-8197-9F3CA9D587C8}" name="Column6819"/>
    <tableColumn id="6820" xr3:uid="{5F30609E-0731-4996-890C-D116D8483C69}" name="Column6820"/>
    <tableColumn id="6821" xr3:uid="{972FB9E6-8280-481C-B4D2-364B38E4917C}" name="Column6821"/>
    <tableColumn id="6822" xr3:uid="{06BBE3C3-4E6A-4566-8011-6DB1E29816C2}" name="Column6822"/>
    <tableColumn id="6823" xr3:uid="{4B50BCA3-D5A4-44F8-A51E-F1C27E0B76AD}" name="Column6823"/>
    <tableColumn id="6824" xr3:uid="{9EC71CD7-61CB-4A30-8CF2-9656066738B5}" name="Column6824"/>
    <tableColumn id="6825" xr3:uid="{6600DD43-01FB-4AD2-A994-D1A52C930748}" name="Column6825"/>
    <tableColumn id="6826" xr3:uid="{4DB55401-BB49-4144-B806-F19B4B3C45EE}" name="Column6826"/>
    <tableColumn id="6827" xr3:uid="{56F6343F-5CA8-4602-99F4-BE15642B41D5}" name="Column6827"/>
    <tableColumn id="6828" xr3:uid="{FD15E1F9-A705-4EA7-831A-AE664E07381A}" name="Column6828"/>
    <tableColumn id="6829" xr3:uid="{6B539F68-B3E1-4919-AE0B-9DC9576A35C0}" name="Column6829"/>
    <tableColumn id="6830" xr3:uid="{73D2E24F-8859-4105-9269-5926B1E3CCF9}" name="Column6830"/>
    <tableColumn id="6831" xr3:uid="{7E214D82-FD61-41D4-87D1-87489D4AB5C6}" name="Column6831"/>
    <tableColumn id="6832" xr3:uid="{EDA1D583-7503-4C44-A0B2-3D42C87023EB}" name="Column6832"/>
    <tableColumn id="6833" xr3:uid="{D57446FB-195C-47B7-AB86-2B72D96C3CB2}" name="Column6833"/>
    <tableColumn id="6834" xr3:uid="{58BFCB5B-5392-48B8-BD32-395B48B86EA7}" name="Column6834"/>
    <tableColumn id="6835" xr3:uid="{6F9C7439-A87F-4CA4-8DB5-3C395061B093}" name="Column6835"/>
    <tableColumn id="6836" xr3:uid="{9458BBDF-D71B-4520-AF38-77635FAF12AB}" name="Column6836"/>
    <tableColumn id="6837" xr3:uid="{3C5502DF-1451-422C-99C3-C1F9C5CFA7ED}" name="Column6837"/>
    <tableColumn id="6838" xr3:uid="{C7873DDF-934E-4D04-A29B-38B35D9B5C15}" name="Column6838"/>
    <tableColumn id="6839" xr3:uid="{400B8424-64E5-495C-9049-556F8E8EB90D}" name="Column6839"/>
    <tableColumn id="6840" xr3:uid="{BDC25238-15A5-4D12-B824-21DC0531E30D}" name="Column6840"/>
    <tableColumn id="6841" xr3:uid="{769AF6E9-B856-4A53-AE1F-6D76AA3C4B42}" name="Column6841"/>
    <tableColumn id="6842" xr3:uid="{D611AB88-5B64-44E6-83BE-75E81BCA7DC7}" name="Column6842"/>
    <tableColumn id="6843" xr3:uid="{58799725-24D3-4F52-B63F-C19E75BC09D6}" name="Column6843"/>
    <tableColumn id="6844" xr3:uid="{2227C3E8-73FF-4711-A0D9-CBA6B53F6109}" name="Column6844"/>
    <tableColumn id="6845" xr3:uid="{8FA66B53-2BEE-4A18-B58B-97527BA19118}" name="Column6845"/>
    <tableColumn id="6846" xr3:uid="{250B7FEA-9520-457B-A4A3-93E7FB84A9DA}" name="Column6846"/>
    <tableColumn id="6847" xr3:uid="{37CB319E-DC2D-4EBB-8684-4E4E6C769EDF}" name="Column6847"/>
    <tableColumn id="6848" xr3:uid="{3234743B-108C-4639-B6C3-810775A489D1}" name="Column6848"/>
    <tableColumn id="6849" xr3:uid="{B7DB1024-6275-4181-A5A7-1BDF351EE235}" name="Column6849"/>
    <tableColumn id="6850" xr3:uid="{9A9CE368-34A0-4623-8682-922C80017DDD}" name="Column6850"/>
    <tableColumn id="6851" xr3:uid="{818D3F1F-3C29-43A8-9409-6D24855A2615}" name="Column6851"/>
    <tableColumn id="6852" xr3:uid="{CE59C832-6F81-40A8-B68C-6E71319B8410}" name="Column6852"/>
    <tableColumn id="6853" xr3:uid="{F6E88144-A8B6-4899-8F6F-84B22E6D3EF4}" name="Column6853"/>
    <tableColumn id="6854" xr3:uid="{F9F5339F-237E-4536-9079-DD540218B135}" name="Column6854"/>
    <tableColumn id="6855" xr3:uid="{89BC5A94-0F70-46B2-9C9B-949F47E72AD1}" name="Column6855"/>
    <tableColumn id="6856" xr3:uid="{DCF3A479-01D3-49AE-8D69-EF4198E6B3FF}" name="Column6856"/>
    <tableColumn id="6857" xr3:uid="{A8EBC59E-96DC-4A97-B26D-7A24D56F245D}" name="Column6857"/>
    <tableColumn id="6858" xr3:uid="{7BDC4A9F-7E1E-40FF-BA0E-6CC115AFF9B6}" name="Column6858"/>
    <tableColumn id="6859" xr3:uid="{0FB05ACF-A072-4E43-8E59-F86DAAC7D34D}" name="Column6859"/>
    <tableColumn id="6860" xr3:uid="{DE2A3F44-B5F4-4E99-98DD-7C482F1CCA59}" name="Column6860"/>
    <tableColumn id="6861" xr3:uid="{B0C0B701-B6A7-4838-B7EA-64AA068E7094}" name="Column6861"/>
    <tableColumn id="6862" xr3:uid="{1B2FE5E6-D3EC-4741-B567-C39EFAF48D12}" name="Column6862"/>
    <tableColumn id="6863" xr3:uid="{71CCC713-241D-4451-9E3D-BE2C11AD5DBB}" name="Column6863"/>
    <tableColumn id="6864" xr3:uid="{689AB5F0-CB88-4FF4-8E86-532D7A4356A2}" name="Column6864"/>
    <tableColumn id="6865" xr3:uid="{864EB74C-1FAD-4F6A-A232-6C7B3F35DCE0}" name="Column6865"/>
    <tableColumn id="6866" xr3:uid="{5CFB98D9-7A47-433E-89BB-EFED02308E7C}" name="Column6866"/>
    <tableColumn id="6867" xr3:uid="{BD59FA6D-7313-4944-961F-17DC8F8D672C}" name="Column6867"/>
    <tableColumn id="6868" xr3:uid="{DECB8624-FD3F-45C0-9C7B-04789967CE33}" name="Column6868"/>
    <tableColumn id="6869" xr3:uid="{DFAD635F-5236-4967-9327-5DF5DCA8E502}" name="Column6869"/>
    <tableColumn id="6870" xr3:uid="{91E7DE85-01B9-44D4-B17E-99970A8382CA}" name="Column6870"/>
    <tableColumn id="6871" xr3:uid="{1216A5AC-6CE4-4884-9AD0-1A73642AF22C}" name="Column6871"/>
    <tableColumn id="6872" xr3:uid="{198A2404-50D6-406C-90F0-CDC3E758AB85}" name="Column6872"/>
    <tableColumn id="6873" xr3:uid="{3FE29059-8259-429C-97BB-D4A67F09BD99}" name="Column6873"/>
    <tableColumn id="6874" xr3:uid="{8BAD0295-AE9E-4B27-8FA2-D5A9036A63E3}" name="Column6874"/>
    <tableColumn id="6875" xr3:uid="{FCE6606A-A24F-40ED-8792-3506154A3909}" name="Column6875"/>
    <tableColumn id="6876" xr3:uid="{4A4D6DE1-73FB-4DBD-BA06-986FA09393AE}" name="Column6876"/>
    <tableColumn id="6877" xr3:uid="{6A723F28-D379-4806-A57B-940A33F59776}" name="Column6877"/>
    <tableColumn id="6878" xr3:uid="{4A297EF9-DFE0-4ABB-9857-889CF18FC0C6}" name="Column6878"/>
    <tableColumn id="6879" xr3:uid="{25DD20AE-19DF-42F9-B262-372ABC3F87EB}" name="Column6879"/>
    <tableColumn id="6880" xr3:uid="{F2CA5C7B-A657-46C5-8933-CA1751B46A02}" name="Column6880"/>
    <tableColumn id="6881" xr3:uid="{A6541551-3F15-47F4-A6EE-028E6CD16CAD}" name="Column6881"/>
    <tableColumn id="6882" xr3:uid="{64174D6D-5898-4220-96A5-1D8F6C9D4ABC}" name="Column6882"/>
    <tableColumn id="6883" xr3:uid="{8858C21E-6C14-48EF-9988-D3B433AF4E13}" name="Column6883"/>
    <tableColumn id="6884" xr3:uid="{6C7D13C7-BB89-4CC4-9DA8-8D090FFB3A06}" name="Column6884"/>
    <tableColumn id="6885" xr3:uid="{731D9838-1094-4D05-A188-7C4DEE568FB8}" name="Column6885"/>
    <tableColumn id="6886" xr3:uid="{C36A93BB-2C2D-4EDD-86DA-83744224C4F0}" name="Column6886"/>
    <tableColumn id="6887" xr3:uid="{F6EEEF81-A9B0-4386-9B09-609A8106934D}" name="Column6887"/>
    <tableColumn id="6888" xr3:uid="{D6FB27D9-CA67-4B36-84F7-7DD3734D6BF8}" name="Column6888"/>
    <tableColumn id="6889" xr3:uid="{DEB7C5F8-17E0-4711-8245-8A9DF356BE37}" name="Column6889"/>
    <tableColumn id="6890" xr3:uid="{8EFEDB6E-A0B1-4898-A8B3-DAD832CB711A}" name="Column6890"/>
    <tableColumn id="6891" xr3:uid="{6F109449-7299-4D0E-B06C-F289B706E2BA}" name="Column6891"/>
    <tableColumn id="6892" xr3:uid="{52CD6E36-D012-449E-A178-C266098CAD65}" name="Column6892"/>
    <tableColumn id="6893" xr3:uid="{A5081DE7-1642-471B-91C0-43DFC56FF1EE}" name="Column6893"/>
    <tableColumn id="6894" xr3:uid="{0BF2FC59-9422-4F8C-B954-54FA93CF2CDF}" name="Column6894"/>
    <tableColumn id="6895" xr3:uid="{676D0944-AD77-4FD1-A58E-4475A604C97E}" name="Column6895"/>
    <tableColumn id="6896" xr3:uid="{F86A4E8D-34DD-442F-9614-3F4E63011B70}" name="Column6896"/>
    <tableColumn id="6897" xr3:uid="{4C4CFFA5-D412-4767-8567-9FC165C48CCE}" name="Column6897"/>
    <tableColumn id="6898" xr3:uid="{3E43CD13-7DC1-4951-8B46-90AE8114F9A6}" name="Column6898"/>
    <tableColumn id="6899" xr3:uid="{27067881-6099-4E93-9E96-3BAB367B2976}" name="Column6899"/>
    <tableColumn id="6900" xr3:uid="{ACC6C6E3-4016-4368-BE7A-1091A7A376CD}" name="Column6900"/>
    <tableColumn id="6901" xr3:uid="{A85247B5-FF53-496B-9236-C85A853D12A2}" name="Column6901"/>
    <tableColumn id="6902" xr3:uid="{7898D105-8AF3-4D28-BECF-33E076CD25F5}" name="Column6902"/>
    <tableColumn id="6903" xr3:uid="{583EE39F-37E7-4EEA-838A-65275278E24F}" name="Column6903"/>
    <tableColumn id="6904" xr3:uid="{2DC9D543-D1A3-490F-8775-EDBBDAC66DD5}" name="Column6904"/>
    <tableColumn id="6905" xr3:uid="{090F93E5-76DA-4BD8-9BBE-E0358E245181}" name="Column6905"/>
    <tableColumn id="6906" xr3:uid="{A8CFB5A5-90F4-4B28-A5B4-9B3844576E02}" name="Column6906"/>
    <tableColumn id="6907" xr3:uid="{7108652C-F7AD-45EE-A1BB-3909E29A6AED}" name="Column6907"/>
    <tableColumn id="6908" xr3:uid="{65649C7B-2559-4789-A6E0-92F53670D241}" name="Column6908"/>
    <tableColumn id="6909" xr3:uid="{B4C9C881-1A02-4CAF-9D94-758A9D9BEC6C}" name="Column6909"/>
    <tableColumn id="6910" xr3:uid="{34E0CD22-30C7-4852-AC28-7BF6034898F1}" name="Column6910"/>
    <tableColumn id="6911" xr3:uid="{98762166-B816-44B4-8A72-A83A33258E31}" name="Column6911"/>
    <tableColumn id="6912" xr3:uid="{71E692E3-3D29-4C64-8320-03D2940C72B9}" name="Column6912"/>
    <tableColumn id="6913" xr3:uid="{2A528DF2-2FE3-4943-9FFB-C6E16875DF31}" name="Column6913"/>
    <tableColumn id="6914" xr3:uid="{E12C6C3B-30D4-467C-B8E4-7AB544D190A4}" name="Column6914"/>
    <tableColumn id="6915" xr3:uid="{95D18659-E500-4CA0-8E3D-ADB8ABCA9D9F}" name="Column6915"/>
    <tableColumn id="6916" xr3:uid="{480BF7E4-91CF-4744-BDA0-731D0629F056}" name="Column6916"/>
    <tableColumn id="6917" xr3:uid="{103CACF3-4339-407E-AA5E-EEC95AA33031}" name="Column6917"/>
    <tableColumn id="6918" xr3:uid="{3307E80E-F432-4FF1-9381-8D8FE50E7040}" name="Column6918"/>
    <tableColumn id="6919" xr3:uid="{BF6B9C90-EA77-4774-AEB1-9CA3643AD018}" name="Column6919"/>
    <tableColumn id="6920" xr3:uid="{A6E745EB-CBCC-46AF-834B-69EE4714DCA5}" name="Column6920"/>
    <tableColumn id="6921" xr3:uid="{20293A0F-7AD8-47E9-A819-FE1241F483BF}" name="Column6921"/>
    <tableColumn id="6922" xr3:uid="{AA680C81-7D24-4B0D-89DB-724802E140E7}" name="Column6922"/>
    <tableColumn id="6923" xr3:uid="{451AAFC7-3E78-4A70-AA78-382A4F1BA12B}" name="Column6923"/>
    <tableColumn id="6924" xr3:uid="{24AEB588-AA1A-4F13-B8CA-5CBE0638FCD2}" name="Column6924"/>
    <tableColumn id="6925" xr3:uid="{0FCCF284-8FC0-4EBA-84C8-A4B487C41746}" name="Column6925"/>
    <tableColumn id="6926" xr3:uid="{795ED879-9FCB-4669-A37F-2940B10D4328}" name="Column6926"/>
    <tableColumn id="6927" xr3:uid="{5C23E080-1B7F-4782-9EB1-D85FA312152E}" name="Column6927"/>
    <tableColumn id="6928" xr3:uid="{587B4A37-FF31-49E0-A5E4-99A4A91E2139}" name="Column6928"/>
    <tableColumn id="6929" xr3:uid="{9B517AA5-05CC-46BE-8A91-913D54587AFD}" name="Column6929"/>
    <tableColumn id="6930" xr3:uid="{B397CAF3-4A02-41E2-BFE5-53D18D734890}" name="Column6930"/>
    <tableColumn id="6931" xr3:uid="{E0BDC026-3E2D-4DDB-BEAB-84D12867C0C4}" name="Column6931"/>
    <tableColumn id="6932" xr3:uid="{019AD36D-2769-4239-832C-C196DA9C14D8}" name="Column6932"/>
    <tableColumn id="6933" xr3:uid="{EDB25EB1-A7FF-4E48-AB04-6434F9B498C4}" name="Column6933"/>
    <tableColumn id="6934" xr3:uid="{8E28893A-FCFB-4A91-957D-AE9EFEAAD099}" name="Column6934"/>
    <tableColumn id="6935" xr3:uid="{70DFA893-F744-420B-9A60-5419D5B59D20}" name="Column6935"/>
    <tableColumn id="6936" xr3:uid="{70B0A90C-17B1-4A73-925B-FD6AD5893365}" name="Column6936"/>
    <tableColumn id="6937" xr3:uid="{A1B5158A-DF59-4FB2-A52C-F8D43535598B}" name="Column6937"/>
    <tableColumn id="6938" xr3:uid="{A095143C-E5D0-4C1A-97F8-B0E35699F9C8}" name="Column6938"/>
    <tableColumn id="6939" xr3:uid="{5D58BA06-B17C-4B0F-ADC7-1A0167CAF42A}" name="Column6939"/>
    <tableColumn id="6940" xr3:uid="{5BDEDA30-5437-404A-8814-8C000D87EF0E}" name="Column6940"/>
    <tableColumn id="6941" xr3:uid="{173067A0-F056-45FD-86B1-F613792CE930}" name="Column6941"/>
    <tableColumn id="6942" xr3:uid="{E35FA356-BE9C-44D2-92CA-856A86ACBC12}" name="Column6942"/>
    <tableColumn id="6943" xr3:uid="{EEC6CF6E-F78C-402D-B059-07C3612A11E7}" name="Column6943"/>
    <tableColumn id="6944" xr3:uid="{CEFB2847-C118-4C6D-A556-538015D4EDF2}" name="Column6944"/>
    <tableColumn id="6945" xr3:uid="{BD82D43F-4397-4707-A965-58CB9C074787}" name="Column6945"/>
    <tableColumn id="6946" xr3:uid="{D26D2DE9-2AAC-4831-AF7D-2A109DC6966C}" name="Column6946"/>
    <tableColumn id="6947" xr3:uid="{3D402A76-92C9-43D7-833E-986E9C74257B}" name="Column6947"/>
    <tableColumn id="6948" xr3:uid="{2BA18D45-004D-4A14-A2A4-53FE2661F19A}" name="Column6948"/>
    <tableColumn id="6949" xr3:uid="{56A6C15E-14AB-409F-9E11-64007F8D1A08}" name="Column6949"/>
    <tableColumn id="6950" xr3:uid="{87A12FD7-F646-4B25-98B9-12392EAC2E61}" name="Column6950"/>
    <tableColumn id="6951" xr3:uid="{918E4491-2430-463C-92B6-8E38C61E08BA}" name="Column6951"/>
    <tableColumn id="6952" xr3:uid="{BF4CE35D-30B7-4B40-A4DB-550A999E4BB7}" name="Column6952"/>
    <tableColumn id="6953" xr3:uid="{FA3FD428-D47F-41C3-9602-30992AC82365}" name="Column6953"/>
    <tableColumn id="6954" xr3:uid="{E887B7BF-867C-4FC4-83C8-B2CAA7701447}" name="Column6954"/>
    <tableColumn id="6955" xr3:uid="{A8275ED4-FF95-4281-B815-CB4E7FB0F60B}" name="Column6955"/>
    <tableColumn id="6956" xr3:uid="{71AFE829-1697-4540-8F3D-1B76B51701C9}" name="Column6956"/>
    <tableColumn id="6957" xr3:uid="{5758A1B6-889F-4D88-AF16-CE4524D1FD9C}" name="Column6957"/>
    <tableColumn id="6958" xr3:uid="{1B236FE5-33C1-4DB1-BEC7-1CE97CED4BA3}" name="Column6958"/>
    <tableColumn id="6959" xr3:uid="{BD73F944-5ABE-4ED4-A4A2-511A76A0A199}" name="Column6959"/>
    <tableColumn id="6960" xr3:uid="{8C648619-FE67-4DA3-9BCB-191DC90CF1C4}" name="Column6960"/>
    <tableColumn id="6961" xr3:uid="{93BD2E0C-4738-4E67-930E-F1D168DA20CD}" name="Column6961"/>
    <tableColumn id="6962" xr3:uid="{A6DD2943-70FA-4DEB-A59D-6974412DCA92}" name="Column6962"/>
    <tableColumn id="6963" xr3:uid="{C248A60D-B870-46DC-856B-398B29CD5829}" name="Column6963"/>
    <tableColumn id="6964" xr3:uid="{7E6F4A01-C6E0-48AA-B188-4FAE366E7A23}" name="Column6964"/>
    <tableColumn id="6965" xr3:uid="{B250B8DB-DC84-4A20-832D-803AE7B6BBBE}" name="Column6965"/>
    <tableColumn id="6966" xr3:uid="{E3BF0C17-11F9-4AE4-A19B-BB2E60A704BE}" name="Column6966"/>
    <tableColumn id="6967" xr3:uid="{9711DF82-AECA-4E40-B21B-FFBA0A596FE2}" name="Column6967"/>
    <tableColumn id="6968" xr3:uid="{8968F105-D862-4C7B-82B1-E37455ACFBF3}" name="Column6968"/>
    <tableColumn id="6969" xr3:uid="{9F12C892-B000-4CF0-BB6D-9450EC6181EA}" name="Column6969"/>
    <tableColumn id="6970" xr3:uid="{06608C28-8EE9-4BA6-97F7-8F9691E2EE21}" name="Column6970"/>
    <tableColumn id="6971" xr3:uid="{2A58D93C-35ED-4B85-8335-140F3926B868}" name="Column6971"/>
    <tableColumn id="6972" xr3:uid="{37D92264-5D8A-4C68-BF3B-1A650687EA68}" name="Column6972"/>
    <tableColumn id="6973" xr3:uid="{63DD94AE-0A38-4173-9E69-69D9673C7281}" name="Column6973"/>
    <tableColumn id="6974" xr3:uid="{042FC9EC-98E3-4CD9-9207-AF3A84ED1CFF}" name="Column6974"/>
    <tableColumn id="6975" xr3:uid="{52A5EE63-2988-4B07-B5D6-60B8022E7F8C}" name="Column6975"/>
    <tableColumn id="6976" xr3:uid="{F9FB3AFC-299D-459C-9E08-AFC9232A4E22}" name="Column6976"/>
    <tableColumn id="6977" xr3:uid="{BB5A3C3B-3CD8-44C7-A028-942D9966E88D}" name="Column6977"/>
    <tableColumn id="6978" xr3:uid="{1F66254D-1506-4518-8445-E0D815CD1236}" name="Column6978"/>
    <tableColumn id="6979" xr3:uid="{17AD77E3-15E8-4094-BDF4-11FA50A372C2}" name="Column6979"/>
    <tableColumn id="6980" xr3:uid="{DE6446F2-0E97-419B-BC40-B39B0C2E2358}" name="Column6980"/>
    <tableColumn id="6981" xr3:uid="{45DD0503-F05D-4C2B-8475-8F6A1469C771}" name="Column6981"/>
    <tableColumn id="6982" xr3:uid="{A4BF6AAC-86FA-4992-AC2C-7F494974FBBB}" name="Column6982"/>
    <tableColumn id="6983" xr3:uid="{B4B980E0-F89F-43A2-B2FC-21767DE07AE1}" name="Column6983"/>
    <tableColumn id="6984" xr3:uid="{3E87BFB2-4A83-4753-9551-0F70DF42DEBC}" name="Column6984"/>
    <tableColumn id="6985" xr3:uid="{FD22C82E-0F88-4B2B-8583-1C2B85993497}" name="Column6985"/>
    <tableColumn id="6986" xr3:uid="{21346E21-92A9-4C2A-B3A2-E5D52E9052FE}" name="Column6986"/>
    <tableColumn id="6987" xr3:uid="{D5335B81-3FFF-4139-B47F-CCAF9F263764}" name="Column6987"/>
    <tableColumn id="6988" xr3:uid="{F6DF16CD-3C55-4060-B2C1-98BB395291AE}" name="Column6988"/>
    <tableColumn id="6989" xr3:uid="{FA20525C-A61F-46F3-8E04-E26712912EFC}" name="Column6989"/>
    <tableColumn id="6990" xr3:uid="{32DE1F01-AB9E-400A-8FB5-7A2FB29461DA}" name="Column6990"/>
    <tableColumn id="6991" xr3:uid="{C176CED0-505E-4DEA-AC81-2A67011540A0}" name="Column6991"/>
    <tableColumn id="6992" xr3:uid="{2B1F18C3-4EA0-4004-ACC1-DFEE2486B4EE}" name="Column6992"/>
    <tableColumn id="6993" xr3:uid="{ADD31A7A-C7C6-40A0-9304-52F8F97894A6}" name="Column6993"/>
    <tableColumn id="6994" xr3:uid="{61BA0424-C20F-4E25-BC8A-9196B18F6A3C}" name="Column6994"/>
    <tableColumn id="6995" xr3:uid="{30BA6308-3885-4EA0-8D6F-E911646515AE}" name="Column6995"/>
    <tableColumn id="6996" xr3:uid="{9016D21C-0BCC-4CE8-A0A5-20A9791CD10C}" name="Column6996"/>
    <tableColumn id="6997" xr3:uid="{1C1CB223-AF24-4137-90F2-A17F979EF77C}" name="Column6997"/>
    <tableColumn id="6998" xr3:uid="{14A18441-6122-4BDA-A5D0-350A0496CEED}" name="Column6998"/>
    <tableColumn id="6999" xr3:uid="{32FB3BC4-85A8-453F-973B-30A859422734}" name="Column6999"/>
    <tableColumn id="7000" xr3:uid="{9B85FB59-21F9-4EAC-A9D5-5794B792C92D}" name="Column7000"/>
    <tableColumn id="7001" xr3:uid="{C2DD44FD-96E0-4620-9193-CE408189D935}" name="Column7001"/>
    <tableColumn id="7002" xr3:uid="{8F443FCE-38D1-47FD-806A-F02D5AF8EEAE}" name="Column7002"/>
    <tableColumn id="7003" xr3:uid="{92C14C8E-D3FA-49F2-B8A9-5E9A38B0A11D}" name="Column7003"/>
    <tableColumn id="7004" xr3:uid="{304F520F-6A93-4ED6-B436-789623DBA969}" name="Column7004"/>
    <tableColumn id="7005" xr3:uid="{3336EE53-8BDE-4288-995F-E97EB2325605}" name="Column7005"/>
    <tableColumn id="7006" xr3:uid="{05B43693-499F-460E-9D33-22B03757F039}" name="Column7006"/>
    <tableColumn id="7007" xr3:uid="{83E2A99C-1CDC-4DD7-A4D1-8B2B0E2BDB01}" name="Column7007"/>
    <tableColumn id="7008" xr3:uid="{C28B56F8-2705-43B6-9D91-DB36C29923A9}" name="Column7008"/>
    <tableColumn id="7009" xr3:uid="{1AB187CE-3CFC-4E54-8DC1-330C3F0D252E}" name="Column7009"/>
    <tableColumn id="7010" xr3:uid="{7B1D20A7-5E2A-448A-9438-619EF1AD68E9}" name="Column7010"/>
    <tableColumn id="7011" xr3:uid="{C0459C7E-56A2-489E-9A6B-43256E8CA690}" name="Column7011"/>
    <tableColumn id="7012" xr3:uid="{0A5EB98F-82A7-48CE-A499-A1B9B7A1E073}" name="Column7012"/>
    <tableColumn id="7013" xr3:uid="{86952F5C-1BC8-4471-9FFD-585F85DF877D}" name="Column7013"/>
    <tableColumn id="7014" xr3:uid="{9ACFD5AC-B5C3-443D-BB2C-69BDD003B820}" name="Column7014"/>
    <tableColumn id="7015" xr3:uid="{655F73CA-A0A3-40B6-A92E-62D00A0B667C}" name="Column7015"/>
    <tableColumn id="7016" xr3:uid="{74718F18-0EFB-4218-AD12-E8C4A0B5FD8C}" name="Column7016"/>
    <tableColumn id="7017" xr3:uid="{1DF417AD-780D-44A4-BEA0-ED5C01CADAED}" name="Column7017"/>
    <tableColumn id="7018" xr3:uid="{E58C056D-04BE-4643-B68C-6478761DE38A}" name="Column7018"/>
    <tableColumn id="7019" xr3:uid="{45E2F44D-E39D-40CC-883D-0C8D7AF9FFFE}" name="Column7019"/>
    <tableColumn id="7020" xr3:uid="{5E72D36D-8925-4475-9290-52428B115BD0}" name="Column7020"/>
    <tableColumn id="7021" xr3:uid="{7893B464-4E4F-4959-A91D-0E49EC2698A8}" name="Column7021"/>
    <tableColumn id="7022" xr3:uid="{8A04B29A-BA3E-40A4-A414-DA38A0C15654}" name="Column7022"/>
    <tableColumn id="7023" xr3:uid="{0A299A7B-5633-484F-9096-8E7FEBB1251C}" name="Column7023"/>
    <tableColumn id="7024" xr3:uid="{B1F3647D-948E-4D22-85A9-FAC7749F0B15}" name="Column7024"/>
    <tableColumn id="7025" xr3:uid="{A9CC8DC7-736A-45EA-B85E-ACD3BACBBE67}" name="Column7025"/>
    <tableColumn id="7026" xr3:uid="{E0197B68-C778-4C04-A58F-C248BF99D449}" name="Column7026"/>
    <tableColumn id="7027" xr3:uid="{EF0B0B70-E85E-46EF-89D5-6B49DFAF354B}" name="Column7027"/>
    <tableColumn id="7028" xr3:uid="{5A3A2BC6-008F-471D-8FFF-4EF98E3D2CC8}" name="Column7028"/>
    <tableColumn id="7029" xr3:uid="{189412C9-106A-41A1-84E9-3C7FC5BC337D}" name="Column7029"/>
    <tableColumn id="7030" xr3:uid="{275A6A5B-C18C-494E-83D8-BB66657E8280}" name="Column7030"/>
    <tableColumn id="7031" xr3:uid="{5F9B87CF-FE74-4033-A181-F52719EEAA5C}" name="Column7031"/>
    <tableColumn id="7032" xr3:uid="{1DA95383-63E6-4A98-926D-9FC9E36C08B9}" name="Column7032"/>
    <tableColumn id="7033" xr3:uid="{B3407E95-DA2D-4E5E-A30C-97C235E9DB2C}" name="Column7033"/>
    <tableColumn id="7034" xr3:uid="{DE95966F-3FAD-4336-91D2-7006B0A39D09}" name="Column7034"/>
    <tableColumn id="7035" xr3:uid="{E2E9F540-042F-457C-9913-4A2022155BC5}" name="Column7035"/>
    <tableColumn id="7036" xr3:uid="{08069FE0-7D71-4DF7-9C48-D25DA47B9286}" name="Column7036"/>
    <tableColumn id="7037" xr3:uid="{06840162-7BCC-4041-B652-8A70D9EE28B4}" name="Column7037"/>
    <tableColumn id="7038" xr3:uid="{00B4CAB2-AC50-4016-9920-5A1B1BA7F5F9}" name="Column7038"/>
    <tableColumn id="7039" xr3:uid="{4B25D341-E47E-4623-840D-1F2C17845411}" name="Column7039"/>
    <tableColumn id="7040" xr3:uid="{637133BB-D066-4E2F-9B9B-630A8E8D6988}" name="Column7040"/>
    <tableColumn id="7041" xr3:uid="{18FF9BA1-F275-4B29-993B-E2BD5140EC89}" name="Column7041"/>
    <tableColumn id="7042" xr3:uid="{8EA44E1E-CA49-4EC7-86AD-997BAE8B1D07}" name="Column7042"/>
    <tableColumn id="7043" xr3:uid="{0943ED56-5E15-4226-9F9C-473B401DC5A2}" name="Column7043"/>
    <tableColumn id="7044" xr3:uid="{8BF16C84-F7E3-4447-9250-41C3160285E1}" name="Column7044"/>
    <tableColumn id="7045" xr3:uid="{932A3957-0375-4D13-8CFC-B4B0D2572A34}" name="Column7045"/>
    <tableColumn id="7046" xr3:uid="{B41393A8-1CFF-49CF-BD68-FE6A8DA63FAC}" name="Column7046"/>
    <tableColumn id="7047" xr3:uid="{B2B8EA0B-880D-4390-8E5A-E6CD188A335B}" name="Column7047"/>
    <tableColumn id="7048" xr3:uid="{CE93D432-0AC5-4E8C-9A86-3432DBC00A3D}" name="Column7048"/>
    <tableColumn id="7049" xr3:uid="{E69AB70B-0AAA-4EAE-B99F-78637773F677}" name="Column7049"/>
    <tableColumn id="7050" xr3:uid="{5430FF96-A467-4935-B60A-F209223B1E50}" name="Column7050"/>
    <tableColumn id="7051" xr3:uid="{01457426-3B05-4484-BA95-28E836231C8B}" name="Column7051"/>
    <tableColumn id="7052" xr3:uid="{4EFC062B-0A16-404C-A8D1-C29E050EA526}" name="Column7052"/>
    <tableColumn id="7053" xr3:uid="{769E99B7-8B69-48AD-956B-5FF6C8DF46CC}" name="Column7053"/>
    <tableColumn id="7054" xr3:uid="{828B4218-816E-4EBC-8BC1-C57591547E16}" name="Column7054"/>
    <tableColumn id="7055" xr3:uid="{DB795E62-F21B-4F50-8828-291EC1C7FACD}" name="Column7055"/>
    <tableColumn id="7056" xr3:uid="{87102A48-8DF8-43F7-A8BB-67FD439FAF22}" name="Column7056"/>
    <tableColumn id="7057" xr3:uid="{2DF2753D-4F43-41EC-9577-558260A4440F}" name="Column7057"/>
    <tableColumn id="7058" xr3:uid="{0721A938-085E-4525-8BA1-FE02DFDB1D8E}" name="Column7058"/>
    <tableColumn id="7059" xr3:uid="{ADBA2F0A-F458-409C-8F9E-BA27E2C1D983}" name="Column7059"/>
    <tableColumn id="7060" xr3:uid="{EA9509D9-6A04-4FB7-B81C-ED87A95825EC}" name="Column7060"/>
    <tableColumn id="7061" xr3:uid="{E23296D8-5A5F-41BD-B14B-4C983C24C0DB}" name="Column7061"/>
    <tableColumn id="7062" xr3:uid="{A9D22E0A-F3D6-478B-BE5F-706E05244C83}" name="Column7062"/>
    <tableColumn id="7063" xr3:uid="{8E042FEE-44EB-455E-A0EE-56B49D3EDDBB}" name="Column7063"/>
    <tableColumn id="7064" xr3:uid="{FF3558C3-C57B-4633-8504-590FEFC48FE5}" name="Column7064"/>
    <tableColumn id="7065" xr3:uid="{EF69077E-4CF9-4231-BA22-FC65DBD74565}" name="Column7065"/>
    <tableColumn id="7066" xr3:uid="{775F05FF-A30E-470E-9554-38ACDD20305D}" name="Column7066"/>
    <tableColumn id="7067" xr3:uid="{B018C92D-5DC3-4F1A-A396-8D73D4C1CE32}" name="Column7067"/>
    <tableColumn id="7068" xr3:uid="{80E5311B-ED37-4CF0-9F2D-4FBE9AA2922D}" name="Column7068"/>
    <tableColumn id="7069" xr3:uid="{45AFBCDA-8AF3-4DF5-BA75-99F1BEFB46B3}" name="Column7069"/>
    <tableColumn id="7070" xr3:uid="{2BA6B0F4-5321-4C4A-A134-D705466CC7D7}" name="Column7070"/>
    <tableColumn id="7071" xr3:uid="{68A52B1F-C40A-4751-BC81-002C82A5AF18}" name="Column7071"/>
    <tableColumn id="7072" xr3:uid="{B1EEAAA6-95C5-46F8-940C-1E24C0EE097C}" name="Column7072"/>
    <tableColumn id="7073" xr3:uid="{8FA94623-AEA7-4E8A-B200-98564C1217B4}" name="Column7073"/>
    <tableColumn id="7074" xr3:uid="{C1714905-5F4E-4B3E-8A03-F07FEB802424}" name="Column7074"/>
    <tableColumn id="7075" xr3:uid="{DDA668DA-4121-45B2-BCE8-246EBAE342A4}" name="Column7075"/>
    <tableColumn id="7076" xr3:uid="{20021635-CF06-4DD8-858A-007C488D11C1}" name="Column7076"/>
    <tableColumn id="7077" xr3:uid="{B10FF067-1B67-41A7-9590-D91ED2B8AA91}" name="Column7077"/>
    <tableColumn id="7078" xr3:uid="{BA49C1AC-B16A-43EE-8ED9-C9DF34176168}" name="Column7078"/>
    <tableColumn id="7079" xr3:uid="{63B4A5AB-464B-4455-B457-449CAF513324}" name="Column7079"/>
    <tableColumn id="7080" xr3:uid="{B9AD7520-F98E-458C-AD90-8C224FFB5C9C}" name="Column7080"/>
    <tableColumn id="7081" xr3:uid="{C4857025-14B8-45DF-839E-0645F6B864F5}" name="Column7081"/>
    <tableColumn id="7082" xr3:uid="{ABF69FEF-76CB-4AED-B036-AB912CAF48AF}" name="Column7082"/>
    <tableColumn id="7083" xr3:uid="{BFAC351A-F260-4DDC-B229-38327F6193BA}" name="Column7083"/>
    <tableColumn id="7084" xr3:uid="{EAFB9CA1-BB38-4847-BC69-7BAE4536D423}" name="Column7084"/>
    <tableColumn id="7085" xr3:uid="{0CAEC23D-BED4-4557-93A6-4B7D86A3A675}" name="Column7085"/>
    <tableColumn id="7086" xr3:uid="{8EA99A50-7024-41F0-85CE-85EEFFEAB4AC}" name="Column7086"/>
    <tableColumn id="7087" xr3:uid="{A0AEB940-1B29-4D84-AFE4-6AE2692542B2}" name="Column7087"/>
    <tableColumn id="7088" xr3:uid="{3BD617E1-4780-43D8-90E5-411532336AAB}" name="Column7088"/>
    <tableColumn id="7089" xr3:uid="{55F7C138-554A-4706-ACC6-3D17890F3E3A}" name="Column7089"/>
    <tableColumn id="7090" xr3:uid="{34A0B1B5-1176-454B-AECE-D83E4F6C6122}" name="Column7090"/>
    <tableColumn id="7091" xr3:uid="{9D7EF17F-F486-49D8-AB30-05E0B626C774}" name="Column7091"/>
    <tableColumn id="7092" xr3:uid="{BBBB0580-3260-4748-A862-4AA4822156A9}" name="Column7092"/>
    <tableColumn id="7093" xr3:uid="{4B7644E6-9B6B-4C59-96D2-8A0DDB0ED3E5}" name="Column7093"/>
    <tableColumn id="7094" xr3:uid="{383C4D1E-CE0D-4140-9FA8-8E5F7E10B596}" name="Column7094"/>
    <tableColumn id="7095" xr3:uid="{52C31371-BE98-4732-8803-17AF4FAEC2BD}" name="Column7095"/>
    <tableColumn id="7096" xr3:uid="{E2D3E9B9-451A-46E4-A195-94DB3240B52E}" name="Column7096"/>
    <tableColumn id="7097" xr3:uid="{1ADFB31C-AF08-415C-906D-C27B6E7BF494}" name="Column7097"/>
    <tableColumn id="7098" xr3:uid="{1B1E65B8-84A4-416E-A563-FE8A3454E346}" name="Column7098"/>
    <tableColumn id="7099" xr3:uid="{233A16E4-A7F5-40CB-A080-13AD412DFD3A}" name="Column7099"/>
    <tableColumn id="7100" xr3:uid="{CF9015C8-5999-464A-B7A4-D13D586A0BCF}" name="Column7100"/>
    <tableColumn id="7101" xr3:uid="{38F48285-F3A7-41AE-B59A-CD876E58F056}" name="Column7101"/>
    <tableColumn id="7102" xr3:uid="{0081B4F6-90D8-4879-8E3E-6F07137AC6A3}" name="Column7102"/>
    <tableColumn id="7103" xr3:uid="{B7E7ECF6-2D25-412E-861C-D2214BE83E18}" name="Column7103"/>
    <tableColumn id="7104" xr3:uid="{89E11C7A-9A93-4B59-AAF3-CF926F7AA1C3}" name="Column7104"/>
    <tableColumn id="7105" xr3:uid="{E3E267B1-54B9-41F5-A1F1-2914EF663146}" name="Column7105"/>
    <tableColumn id="7106" xr3:uid="{A76D3D95-28FD-41DB-B1CF-2C07B28BD616}" name="Column7106"/>
    <tableColumn id="7107" xr3:uid="{172152DB-2DE9-4A11-837D-68AEAA7E40B7}" name="Column7107"/>
    <tableColumn id="7108" xr3:uid="{C88B8959-AB7F-4D5E-AA9C-DCD13732DECC}" name="Column7108"/>
    <tableColumn id="7109" xr3:uid="{C6922740-F2FE-473C-A31F-B96B662E1039}" name="Column7109"/>
    <tableColumn id="7110" xr3:uid="{17DE6B65-EB40-4223-91F2-76998805E3C6}" name="Column7110"/>
    <tableColumn id="7111" xr3:uid="{30D56CDD-6F6B-4736-B501-FA0AAAF34749}" name="Column7111"/>
    <tableColumn id="7112" xr3:uid="{3EB2D8EB-F7B2-4E65-AA99-CA5263BAB447}" name="Column7112"/>
    <tableColumn id="7113" xr3:uid="{F326962B-C751-4F5C-A6A9-56B0743485A7}" name="Column7113"/>
    <tableColumn id="7114" xr3:uid="{F72DF2BB-44C8-42AC-A190-67628B104DEC}" name="Column7114"/>
    <tableColumn id="7115" xr3:uid="{E2D13F9E-9B6C-45BF-B3A9-78AC27AE5612}" name="Column7115"/>
    <tableColumn id="7116" xr3:uid="{C6384D3A-9A2E-410D-AC29-1CB6C0FBAA85}" name="Column7116"/>
    <tableColumn id="7117" xr3:uid="{43CDF84A-28A3-4B82-9E1D-24091C784DAE}" name="Column7117"/>
    <tableColumn id="7118" xr3:uid="{5BF7DFB2-433C-4429-8E0E-65BF45B24C50}" name="Column7118"/>
    <tableColumn id="7119" xr3:uid="{D59346D1-4A6E-4D94-80CA-844630F73A56}" name="Column7119"/>
    <tableColumn id="7120" xr3:uid="{38C8346D-9041-497E-BD06-686D9F8D47C7}" name="Column7120"/>
    <tableColumn id="7121" xr3:uid="{A97B6CB5-408A-454D-8AF6-DB0E6D4799E8}" name="Column7121"/>
    <tableColumn id="7122" xr3:uid="{7F6F18F7-D104-4F42-9651-150E7FB07872}" name="Column7122"/>
    <tableColumn id="7123" xr3:uid="{F50A07BA-EB4E-45FB-B5DE-72A46D4FAF99}" name="Column7123"/>
    <tableColumn id="7124" xr3:uid="{2CB2C280-0E91-4C49-880F-810588073CD8}" name="Column7124"/>
    <tableColumn id="7125" xr3:uid="{51BDE6B6-B731-462A-ACAF-5891D1554F22}" name="Column7125"/>
    <tableColumn id="7126" xr3:uid="{05B31802-4F58-4B63-9D6C-DD75AD7DF02F}" name="Column7126"/>
    <tableColumn id="7127" xr3:uid="{52C54555-77C8-445A-96B4-13B687C560C2}" name="Column7127"/>
    <tableColumn id="7128" xr3:uid="{C9E54922-6F9F-45C7-891E-9BCF34C18769}" name="Column7128"/>
    <tableColumn id="7129" xr3:uid="{907377C6-52ED-4C3E-BA94-362D4FEFD20C}" name="Column7129"/>
    <tableColumn id="7130" xr3:uid="{FD217A7F-F0FB-4752-AE4C-30F3B2F2B526}" name="Column7130"/>
    <tableColumn id="7131" xr3:uid="{F73F527D-5776-410C-A19E-CD22D0D5ABCA}" name="Column7131"/>
    <tableColumn id="7132" xr3:uid="{4EE370AB-0C47-4960-ADAA-AAA08FEC0475}" name="Column7132"/>
    <tableColumn id="7133" xr3:uid="{E6E259D2-EAE8-4282-9134-13F59EBD0E86}" name="Column7133"/>
    <tableColumn id="7134" xr3:uid="{0BBE74FE-D546-47CF-A519-B9AF5C40B67C}" name="Column7134"/>
    <tableColumn id="7135" xr3:uid="{964E45B2-952D-47F2-89D9-AB037109D3B6}" name="Column7135"/>
    <tableColumn id="7136" xr3:uid="{0220F07D-627A-4DF4-B1CB-CD09C7C60877}" name="Column7136"/>
    <tableColumn id="7137" xr3:uid="{F631F0E6-6753-481C-A4B8-B645DE32DA79}" name="Column7137"/>
    <tableColumn id="7138" xr3:uid="{129F2781-C6AF-4843-8FF5-2431027663C4}" name="Column7138"/>
    <tableColumn id="7139" xr3:uid="{9A19A9D7-3D88-468D-81C5-CC79FE786408}" name="Column7139"/>
    <tableColumn id="7140" xr3:uid="{6C6B13F0-8629-446E-AFFC-73017FFA7833}" name="Column7140"/>
    <tableColumn id="7141" xr3:uid="{07F61E40-1068-4DD8-9F72-5AA39141D2F9}" name="Column7141"/>
    <tableColumn id="7142" xr3:uid="{48AC0EFB-0A8E-465C-8858-9AB2E69D98FF}" name="Column7142"/>
    <tableColumn id="7143" xr3:uid="{1D706062-256A-4B07-A917-D6CFF1CA9282}" name="Column7143"/>
    <tableColumn id="7144" xr3:uid="{02E4B7EB-D7F8-4D9D-BF86-B41110577742}" name="Column7144"/>
    <tableColumn id="7145" xr3:uid="{1ACF0660-9940-4707-93F3-D3F1356ED1DA}" name="Column7145"/>
    <tableColumn id="7146" xr3:uid="{AC9CD03C-2879-4631-8D77-2718AC8B9C17}" name="Column7146"/>
    <tableColumn id="7147" xr3:uid="{47423E4D-0866-41C4-A5E3-341E9B1F0345}" name="Column7147"/>
    <tableColumn id="7148" xr3:uid="{B5FB3C92-4785-415B-93AB-C793112AC2E6}" name="Column7148"/>
    <tableColumn id="7149" xr3:uid="{C983A3A6-3C26-43F2-9A20-2870B25CE7DC}" name="Column7149"/>
    <tableColumn id="7150" xr3:uid="{F001B00B-D940-44F6-B45F-724870FC9DC7}" name="Column7150"/>
    <tableColumn id="7151" xr3:uid="{47CDF5BC-92F2-4E70-9D4D-5D5D0A25880F}" name="Column7151"/>
    <tableColumn id="7152" xr3:uid="{7AEAAF2D-464A-42E7-B174-EC9C67C2EB50}" name="Column7152"/>
    <tableColumn id="7153" xr3:uid="{2A451951-114D-47B2-972D-1A4352E03E9D}" name="Column7153"/>
    <tableColumn id="7154" xr3:uid="{F9A5BDB4-868F-4556-B8D1-3E52DEE7729F}" name="Column7154"/>
    <tableColumn id="7155" xr3:uid="{0C0A986D-DB9F-4E24-B19D-18D3C276E665}" name="Column7155"/>
    <tableColumn id="7156" xr3:uid="{2FE4AD72-B573-4A0E-9BCD-CE288F08BA03}" name="Column7156"/>
    <tableColumn id="7157" xr3:uid="{EDE239CD-4D95-4B6C-9971-5CEC57E0ACE1}" name="Column7157"/>
    <tableColumn id="7158" xr3:uid="{777C1D94-6C3C-47F2-A087-D2555A1FC299}" name="Column7158"/>
    <tableColumn id="7159" xr3:uid="{FB55DC36-F0FA-4856-B6F3-CDBDC5428CF8}" name="Column7159"/>
    <tableColumn id="7160" xr3:uid="{87C4EDB4-4B4F-439A-81A6-AF1149BBF383}" name="Column7160"/>
    <tableColumn id="7161" xr3:uid="{FEA1B65C-21E1-4E32-A12F-8D2004DD95A1}" name="Column7161"/>
    <tableColumn id="7162" xr3:uid="{8BD8A62A-96E6-4498-A32F-195BBB6F24E6}" name="Column7162"/>
    <tableColumn id="7163" xr3:uid="{0375F8C2-E08E-40A5-BA5A-79C85201EDA5}" name="Column7163"/>
    <tableColumn id="7164" xr3:uid="{65962938-5B59-4845-8BF1-3A695D2AC95E}" name="Column7164"/>
    <tableColumn id="7165" xr3:uid="{B309F689-60EB-4145-B2B4-B042B502F6AE}" name="Column7165"/>
    <tableColumn id="7166" xr3:uid="{B1032322-3115-4B5E-B51C-D575B056799E}" name="Column7166"/>
    <tableColumn id="7167" xr3:uid="{CB24D705-1B37-4AB1-94C6-4ACE00809EC5}" name="Column7167"/>
    <tableColumn id="7168" xr3:uid="{CAB15361-2E10-4AC0-A077-E26766C35B76}" name="Column7168"/>
    <tableColumn id="7169" xr3:uid="{523B9E45-3F7C-45C2-AFCA-FAD55867D803}" name="Column7169"/>
    <tableColumn id="7170" xr3:uid="{61E8484C-77AF-4B6C-A996-5633FE8EA4A7}" name="Column7170"/>
    <tableColumn id="7171" xr3:uid="{5A0507F9-0544-463C-8120-53887BED4604}" name="Column7171"/>
    <tableColumn id="7172" xr3:uid="{A2C03286-3C21-4323-BC39-6CD4464FE7DF}" name="Column7172"/>
    <tableColumn id="7173" xr3:uid="{6806DF94-6AC1-49ED-AB41-EAA7A9A56692}" name="Column7173"/>
    <tableColumn id="7174" xr3:uid="{3423E330-D9C1-4939-B1FE-71B8B76C695D}" name="Column7174"/>
    <tableColumn id="7175" xr3:uid="{30D4AA5D-D9A2-4148-8701-C499DEE15338}" name="Column7175"/>
    <tableColumn id="7176" xr3:uid="{5C595C8C-0D90-424F-AB64-BCD27CD2825E}" name="Column7176"/>
    <tableColumn id="7177" xr3:uid="{6C77AC15-7F11-4F7D-AF11-CD8EB28C7895}" name="Column7177"/>
    <tableColumn id="7178" xr3:uid="{4B5B7ED3-E224-4314-BE78-729BAFBE929D}" name="Column7178"/>
    <tableColumn id="7179" xr3:uid="{8AA16F1E-DBD6-4F49-AE35-443F12FC5BD4}" name="Column7179"/>
    <tableColumn id="7180" xr3:uid="{99D6AF4C-58C9-49AB-815D-4F21633A1119}" name="Column7180"/>
    <tableColumn id="7181" xr3:uid="{725CD19D-B09E-4877-BBEA-347F69480FCD}" name="Column7181"/>
    <tableColumn id="7182" xr3:uid="{6CAD62F8-2557-46F1-86FC-FC5FF2555108}" name="Column7182"/>
    <tableColumn id="7183" xr3:uid="{A627BD39-1A1D-4CA4-B3A0-CC9D153E5F75}" name="Column7183"/>
    <tableColumn id="7184" xr3:uid="{E6F6B5A9-1222-4197-BCA2-E6EA2897A3C5}" name="Column7184"/>
    <tableColumn id="7185" xr3:uid="{55D7C722-B0E9-477E-BC75-E57FCC39D15D}" name="Column7185"/>
    <tableColumn id="7186" xr3:uid="{3BF9F3F9-554E-4C81-80F0-125DF5CF0CE7}" name="Column7186"/>
    <tableColumn id="7187" xr3:uid="{BA8F3CCD-C7D5-4066-8C59-21E0D112E440}" name="Column7187"/>
    <tableColumn id="7188" xr3:uid="{1F982536-C261-4A93-8089-51EEA1E21BC6}" name="Column7188"/>
    <tableColumn id="7189" xr3:uid="{5F7DBA42-C99A-4352-A5B7-8702311A9B5A}" name="Column7189"/>
    <tableColumn id="7190" xr3:uid="{54C73A12-AECB-4C17-8BB0-16F6C6C1A134}" name="Column7190"/>
    <tableColumn id="7191" xr3:uid="{9CCBB8B0-4FBC-4361-9214-38046A81D0E6}" name="Column7191"/>
    <tableColumn id="7192" xr3:uid="{4AFB1304-75A1-454A-9E09-DDF8309A74D0}" name="Column7192"/>
    <tableColumn id="7193" xr3:uid="{B9D93A6A-45B8-4899-95AE-8B14FD9F8FA0}" name="Column7193"/>
    <tableColumn id="7194" xr3:uid="{D0D768AD-E389-4162-8D9F-45CE8DC5B346}" name="Column7194"/>
    <tableColumn id="7195" xr3:uid="{1D2C05FF-4D93-4607-AEEE-A279EB407ED9}" name="Column7195"/>
    <tableColumn id="7196" xr3:uid="{ED457B07-597F-403E-B25D-AF2FC67D7349}" name="Column7196"/>
    <tableColumn id="7197" xr3:uid="{49FA6ECB-D762-4F0A-8A05-AD70C4FBB07B}" name="Column7197"/>
    <tableColumn id="7198" xr3:uid="{2371BF61-27C6-4541-8E7A-A4A1C06D6DC3}" name="Column7198"/>
    <tableColumn id="7199" xr3:uid="{672ADDFC-4D19-4038-B575-76D35572EAE4}" name="Column7199"/>
    <tableColumn id="7200" xr3:uid="{8CFFB1BA-503D-4D8F-80E5-BE8E2E0A5346}" name="Column7200"/>
    <tableColumn id="7201" xr3:uid="{22A2CE4B-766E-4CB3-9002-B50E39864C3A}" name="Column7201"/>
    <tableColumn id="7202" xr3:uid="{DA9AD0D0-9BD0-4576-B572-74465DB94EB9}" name="Column7202"/>
    <tableColumn id="7203" xr3:uid="{EA2A027D-4989-4C12-9E01-F64CA59ED3AE}" name="Column7203"/>
    <tableColumn id="7204" xr3:uid="{E90CE10B-FACF-450A-BFFA-6DEB2BBDD66D}" name="Column7204"/>
    <tableColumn id="7205" xr3:uid="{5F068035-06DA-429F-B9B6-85DBA66B24C4}" name="Column7205"/>
    <tableColumn id="7206" xr3:uid="{FB8F9D33-3A16-4CE8-97AB-46CFF68825B1}" name="Column7206"/>
    <tableColumn id="7207" xr3:uid="{6BB4CB30-DD4F-41EB-8061-23264F3D8084}" name="Column7207"/>
    <tableColumn id="7208" xr3:uid="{F072B8D0-7E8A-44C5-BD68-924E09E2904E}" name="Column7208"/>
    <tableColumn id="7209" xr3:uid="{50ABBB0E-006D-4658-845D-5C95346EF904}" name="Column7209"/>
    <tableColumn id="7210" xr3:uid="{FC6D920C-E394-4286-9D3F-C8FF2AF4F8DF}" name="Column7210"/>
    <tableColumn id="7211" xr3:uid="{93D1458A-67D9-456F-8391-D486E03929AB}" name="Column7211"/>
    <tableColumn id="7212" xr3:uid="{E0753BFB-ABB9-44A7-98DA-F2BDD37BF97B}" name="Column7212"/>
    <tableColumn id="7213" xr3:uid="{0AD64AA9-5EF5-4413-84E7-6799E2FD6B48}" name="Column7213"/>
    <tableColumn id="7214" xr3:uid="{95A4DDB3-2FA0-4B23-83EB-0C3CA55D2586}" name="Column7214"/>
    <tableColumn id="7215" xr3:uid="{A126D99D-3D69-498B-8AB6-822E9E7F37C4}" name="Column7215"/>
    <tableColumn id="7216" xr3:uid="{3ADB129D-EE7A-4427-AF9E-C7E2C17E4A89}" name="Column7216"/>
    <tableColumn id="7217" xr3:uid="{A106FD31-93E6-48E2-BEE3-4F37503961D7}" name="Column7217"/>
    <tableColumn id="7218" xr3:uid="{B6601B19-6A8A-4B64-94EF-84AFF8A09540}" name="Column7218"/>
    <tableColumn id="7219" xr3:uid="{CA9DE275-C08F-44CF-B308-D046487CFE9E}" name="Column7219"/>
    <tableColumn id="7220" xr3:uid="{DD3FD79C-A0A6-45C6-A12B-DB42AD3BCE0F}" name="Column7220"/>
    <tableColumn id="7221" xr3:uid="{4F782500-470D-4CD9-844D-DE7D38B2A2CF}" name="Column7221"/>
    <tableColumn id="7222" xr3:uid="{2AB13A4F-CA31-4778-8E8B-8DB1986D365C}" name="Column7222"/>
    <tableColumn id="7223" xr3:uid="{D97E7D0B-CEE5-4B99-AAB5-9B42F1567EEF}" name="Column7223"/>
    <tableColumn id="7224" xr3:uid="{71C01366-B4E3-4718-950E-5B08F9637EF6}" name="Column7224"/>
    <tableColumn id="7225" xr3:uid="{E0689B0E-5A0E-4EE5-B543-05F801EA7E76}" name="Column7225"/>
    <tableColumn id="7226" xr3:uid="{13235DFD-16AA-4F63-9D63-2C9F2EA1D1EF}" name="Column7226"/>
    <tableColumn id="7227" xr3:uid="{80FF8CDA-26E0-4C9C-B1B8-2834F0449F06}" name="Column7227"/>
    <tableColumn id="7228" xr3:uid="{B50F1F9B-26AB-44E2-B4FC-5CC309B507CF}" name="Column7228"/>
    <tableColumn id="7229" xr3:uid="{D5C70457-2BD3-44DD-9B55-66179D7638D7}" name="Column7229"/>
    <tableColumn id="7230" xr3:uid="{FD015085-7F61-4973-8F1C-83E542D48575}" name="Column7230"/>
    <tableColumn id="7231" xr3:uid="{55DFA04F-47CC-4F08-8B21-37EB2E191636}" name="Column7231"/>
    <tableColumn id="7232" xr3:uid="{EC241E10-F922-4FEB-ADCD-A38E47EE062B}" name="Column7232"/>
    <tableColumn id="7233" xr3:uid="{CECB3160-E979-404F-A214-E97CC1830055}" name="Column7233"/>
    <tableColumn id="7234" xr3:uid="{1D3422BC-EEFA-4F22-B641-2A815AAE5488}" name="Column7234"/>
    <tableColumn id="7235" xr3:uid="{B39AC106-B2BD-482B-A041-34695AF48C2D}" name="Column7235"/>
    <tableColumn id="7236" xr3:uid="{0C1BBFC6-1A72-4F9B-A5DF-A1CF2A3375ED}" name="Column7236"/>
    <tableColumn id="7237" xr3:uid="{1B977AB2-B64C-4A6A-9553-C025C898CF38}" name="Column7237"/>
    <tableColumn id="7238" xr3:uid="{D97614FA-8B14-44B1-B333-84818A4F086E}" name="Column7238"/>
    <tableColumn id="7239" xr3:uid="{F9B128A0-BC6D-49C4-AF47-731AD4096BA1}" name="Column7239"/>
    <tableColumn id="7240" xr3:uid="{701EDEEB-EE1D-4784-A39F-185EACBAAC40}" name="Column7240"/>
    <tableColumn id="7241" xr3:uid="{BB3DA1F2-3494-410F-A34E-EA82BBD24059}" name="Column7241"/>
    <tableColumn id="7242" xr3:uid="{C73553D8-3AE6-457C-90E5-A7D06ADCD83D}" name="Column7242"/>
    <tableColumn id="7243" xr3:uid="{38DFD7BC-2472-427B-8ED3-E3BAE2D06535}" name="Column7243"/>
    <tableColumn id="7244" xr3:uid="{D898E681-693F-4FEA-B893-6EB1B663C593}" name="Column7244"/>
    <tableColumn id="7245" xr3:uid="{B028F781-51A5-415F-AC28-02AD0739A3FF}" name="Column7245"/>
    <tableColumn id="7246" xr3:uid="{9AD8F1BE-5C25-405E-82F7-075F6DF60350}" name="Column7246"/>
    <tableColumn id="7247" xr3:uid="{DE72770E-D7F7-4521-86E7-D3BBA4543DF4}" name="Column7247"/>
    <tableColumn id="7248" xr3:uid="{2E3D4DB2-A11B-424B-8F6F-4EF521A7D611}" name="Column7248"/>
    <tableColumn id="7249" xr3:uid="{9C91E8FA-0B63-4557-9C6E-45408FF7E5DF}" name="Column7249"/>
    <tableColumn id="7250" xr3:uid="{E8F47634-8040-41A2-A1E7-3274417221E4}" name="Column7250"/>
    <tableColumn id="7251" xr3:uid="{706E284E-4B66-4FFC-8728-BED5D2DF693C}" name="Column7251"/>
    <tableColumn id="7252" xr3:uid="{25DD17A6-6A22-4D27-AD76-65E81463DD60}" name="Column7252"/>
    <tableColumn id="7253" xr3:uid="{5ADF2DB5-32E9-4268-B394-B52487521EA9}" name="Column7253"/>
    <tableColumn id="7254" xr3:uid="{D0B0B78B-BCC8-4E38-8865-A4FC275A98AC}" name="Column7254"/>
    <tableColumn id="7255" xr3:uid="{65044698-BFF0-4820-93AB-A6C1AC8C864C}" name="Column7255"/>
    <tableColumn id="7256" xr3:uid="{CB58EA77-A4DD-42D6-AF8E-9AFCC336B5A8}" name="Column7256"/>
    <tableColumn id="7257" xr3:uid="{9BDF70F0-62F5-4CB3-A35D-19D8FB6BC1C3}" name="Column7257"/>
    <tableColumn id="7258" xr3:uid="{DFE4E677-D08E-40E2-9E2E-0014F01D3453}" name="Column7258"/>
    <tableColumn id="7259" xr3:uid="{689B7372-E43D-4D55-8601-307A38C23C3D}" name="Column7259"/>
    <tableColumn id="7260" xr3:uid="{F3E22BFB-CECD-41B4-A816-CC324AFDED67}" name="Column7260"/>
    <tableColumn id="7261" xr3:uid="{4205583C-5D06-483E-847E-B549CB54D158}" name="Column7261"/>
    <tableColumn id="7262" xr3:uid="{79F8B612-5C76-4051-9265-D52716A6491A}" name="Column7262"/>
    <tableColumn id="7263" xr3:uid="{70E301BB-A2F7-4533-B8B3-310FB50845C5}" name="Column7263"/>
    <tableColumn id="7264" xr3:uid="{260C7FB4-54A0-47AA-8AAC-B80F401161D2}" name="Column7264"/>
    <tableColumn id="7265" xr3:uid="{960131B5-858C-4A52-9236-161C50AD546D}" name="Column7265"/>
    <tableColumn id="7266" xr3:uid="{ECD21D7D-E833-4E2D-982D-CCD51EC91787}" name="Column7266"/>
    <tableColumn id="7267" xr3:uid="{BFBF5789-7325-430B-BFE3-EBD0B8DFDE76}" name="Column7267"/>
    <tableColumn id="7268" xr3:uid="{43D5CAF1-3BEC-4B8F-89B0-EDE0483E3CA9}" name="Column7268"/>
    <tableColumn id="7269" xr3:uid="{BAC8BF59-5E55-4336-8DFF-EE95B43D6957}" name="Column7269"/>
    <tableColumn id="7270" xr3:uid="{C5F1DE1C-C386-4040-BD5F-0A3A6CC3F5CA}" name="Column7270"/>
    <tableColumn id="7271" xr3:uid="{9DACBC42-0D8A-4198-9435-ACDD8C5AF7FE}" name="Column7271"/>
    <tableColumn id="7272" xr3:uid="{BADBD5CB-661C-408A-AE88-2ED3F3C51C3B}" name="Column7272"/>
    <tableColumn id="7273" xr3:uid="{330324C9-0ACF-4D29-B46E-828C9EFE0637}" name="Column7273"/>
    <tableColumn id="7274" xr3:uid="{F079FC9B-946E-4916-B7E6-4F4842FF369D}" name="Column7274"/>
    <tableColumn id="7275" xr3:uid="{01B96C64-ADA4-4E44-AFC4-88CF4A8929E8}" name="Column7275"/>
    <tableColumn id="7276" xr3:uid="{F97C3D46-7AD6-49D0-A575-025CFFF63A7F}" name="Column7276"/>
    <tableColumn id="7277" xr3:uid="{0A34E71C-706A-44D4-81C3-D43523920059}" name="Column7277"/>
    <tableColumn id="7278" xr3:uid="{E67DBFFB-8013-4D29-AF90-2143E706D1AC}" name="Column7278"/>
    <tableColumn id="7279" xr3:uid="{3319CC60-A30F-44A3-BA26-5F98A501F21F}" name="Column7279"/>
    <tableColumn id="7280" xr3:uid="{8186B247-8FD9-491E-9B03-2BB9B9621FAB}" name="Column7280"/>
    <tableColumn id="7281" xr3:uid="{2C067E69-0993-48F2-84F6-61EE5A0E36AF}" name="Column7281"/>
    <tableColumn id="7282" xr3:uid="{B4F8DC2C-44C3-434B-BD42-7DC2D0A0ACB0}" name="Column7282"/>
    <tableColumn id="7283" xr3:uid="{1529BBD7-22BD-4673-B17C-8914BAAC0AB1}" name="Column7283"/>
    <tableColumn id="7284" xr3:uid="{2E8D2DFA-34D2-451D-BBE0-BF5446783CE5}" name="Column7284"/>
    <tableColumn id="7285" xr3:uid="{EB1E1E5D-CC26-4D70-869E-C8DE6D2C82EA}" name="Column7285"/>
    <tableColumn id="7286" xr3:uid="{CFCCD5BA-2C1A-490F-A44B-AB3D43B61A3C}" name="Column7286"/>
    <tableColumn id="7287" xr3:uid="{6933FE8D-4E9D-4A55-815B-8A2590EE3EF8}" name="Column7287"/>
    <tableColumn id="7288" xr3:uid="{2657E935-4DF6-47D9-B4C1-03398D86A8E3}" name="Column7288"/>
    <tableColumn id="7289" xr3:uid="{362238D9-8A89-47B6-B560-21F08F25634B}" name="Column7289"/>
    <tableColumn id="7290" xr3:uid="{98923367-4672-4436-9A57-7253A1E21FA9}" name="Column7290"/>
    <tableColumn id="7291" xr3:uid="{4460B968-967B-4EB6-B3D4-145B2A870521}" name="Column7291"/>
    <tableColumn id="7292" xr3:uid="{F8BD6667-3F85-438C-85B8-48BD498DE450}" name="Column7292"/>
    <tableColumn id="7293" xr3:uid="{550E9602-8E43-4676-A854-14C866BD3AEF}" name="Column7293"/>
    <tableColumn id="7294" xr3:uid="{369E8E74-3220-412A-ABB3-39C248F310AB}" name="Column7294"/>
    <tableColumn id="7295" xr3:uid="{CE9EBA5C-1C60-4D29-9693-2BBD18831240}" name="Column7295"/>
    <tableColumn id="7296" xr3:uid="{29381552-2AC2-489D-A43B-4852EBDC9AA7}" name="Column7296"/>
    <tableColumn id="7297" xr3:uid="{9DE652B2-2593-470E-ACFE-977552E6D374}" name="Column7297"/>
    <tableColumn id="7298" xr3:uid="{1C0F6733-A374-4DB0-A90B-0A0529143688}" name="Column7298"/>
    <tableColumn id="7299" xr3:uid="{C0C674C2-906A-49F5-99C8-00911C3C6DC5}" name="Column7299"/>
    <tableColumn id="7300" xr3:uid="{6BFBEAC6-21C3-437F-A5B6-A8CA8E11F782}" name="Column7300"/>
    <tableColumn id="7301" xr3:uid="{9A5995D3-D00F-4E8F-9A9B-F13DE0F54F15}" name="Column7301"/>
    <tableColumn id="7302" xr3:uid="{BDF6CDD9-FE80-436D-9212-7C360A6E50CA}" name="Column7302"/>
    <tableColumn id="7303" xr3:uid="{2F044A6A-7A65-45D4-987C-DB855D4FFCEF}" name="Column7303"/>
    <tableColumn id="7304" xr3:uid="{3E39F5D5-4893-471A-B356-B8D4B630E085}" name="Column7304"/>
    <tableColumn id="7305" xr3:uid="{AA1D88BA-5325-4C5E-A313-CB33C2A9414C}" name="Column7305"/>
    <tableColumn id="7306" xr3:uid="{65A09F56-B3CC-41B5-9D49-8A1CCB8EC86C}" name="Column7306"/>
    <tableColumn id="7307" xr3:uid="{28137AF6-211D-4A52-AFD4-C052E9F91595}" name="Column7307"/>
    <tableColumn id="7308" xr3:uid="{EFAF7391-B5F0-44F7-BDC4-80192569C333}" name="Column7308"/>
    <tableColumn id="7309" xr3:uid="{9A71A258-4846-42D4-BCE1-93ABB9B5C9B8}" name="Column7309"/>
    <tableColumn id="7310" xr3:uid="{8758DBC9-3190-432A-9FE9-B369EB5E70CC}" name="Column7310"/>
    <tableColumn id="7311" xr3:uid="{C91C021F-9D47-4F33-BB1C-41669C9C799C}" name="Column7311"/>
    <tableColumn id="7312" xr3:uid="{0594DF64-87C4-428A-B7BB-3F8DCFB92008}" name="Column7312"/>
    <tableColumn id="7313" xr3:uid="{CC6B494B-3E7A-4F7D-93BA-B0E5FEC9BD53}" name="Column7313"/>
    <tableColumn id="7314" xr3:uid="{0A8353AB-77A0-4EAC-B4D0-EB6B8CEE2C3E}" name="Column7314"/>
    <tableColumn id="7315" xr3:uid="{3C2729B5-4BE3-4A86-A413-E11311A9C25B}" name="Column7315"/>
    <tableColumn id="7316" xr3:uid="{59C0C385-586D-46C9-8CBF-55A1116A87AE}" name="Column7316"/>
    <tableColumn id="7317" xr3:uid="{565122EC-7667-43B5-92CB-5188CAA8CE1E}" name="Column7317"/>
    <tableColumn id="7318" xr3:uid="{854A3599-02E5-4088-864D-517D9C936EF9}" name="Column7318"/>
    <tableColumn id="7319" xr3:uid="{4C57ABFB-ABD2-4716-910A-33E7797C0C77}" name="Column7319"/>
    <tableColumn id="7320" xr3:uid="{2617E9FC-3812-409E-AEE2-F60EF18B15E4}" name="Column7320"/>
    <tableColumn id="7321" xr3:uid="{E97F1095-4319-4353-94A1-D33AE18F7565}" name="Column7321"/>
    <tableColumn id="7322" xr3:uid="{C1D83E98-F728-4B05-AE93-91C5A4A8E9DA}" name="Column7322"/>
    <tableColumn id="7323" xr3:uid="{E0E150DD-B6C9-4CA9-9514-ABAD192FDBB7}" name="Column7323"/>
    <tableColumn id="7324" xr3:uid="{27543F2B-57EE-48B2-B245-B84968BCCBB6}" name="Column7324"/>
    <tableColumn id="7325" xr3:uid="{56F2B5FE-1157-40D9-9A9F-57B167F11E67}" name="Column7325"/>
    <tableColumn id="7326" xr3:uid="{4C0F702F-D109-4977-A92A-2AF5AC8821B5}" name="Column7326"/>
    <tableColumn id="7327" xr3:uid="{2CB2F20E-F903-4FE5-8E03-60DC617A3E02}" name="Column7327"/>
    <tableColumn id="7328" xr3:uid="{792EA4EB-78D5-4A2E-BE36-7583BAB7C792}" name="Column7328"/>
    <tableColumn id="7329" xr3:uid="{C1D01DA4-58E7-4DAD-9AC2-47B46660469B}" name="Column7329"/>
    <tableColumn id="7330" xr3:uid="{7DABDC02-DC0D-4704-8EDE-83D5C5D23450}" name="Column7330"/>
    <tableColumn id="7331" xr3:uid="{2C75FC36-9B10-4E66-954E-8FCFC35F654C}" name="Column7331"/>
    <tableColumn id="7332" xr3:uid="{647D6100-A279-4C58-A301-36118CF6E196}" name="Column7332"/>
    <tableColumn id="7333" xr3:uid="{A626527A-0762-4F1A-B31F-7C7B0822B566}" name="Column7333"/>
    <tableColumn id="7334" xr3:uid="{C2830E18-5FD0-4A64-9662-C3C06C48BCC2}" name="Column7334"/>
    <tableColumn id="7335" xr3:uid="{AD9DBF98-645D-4891-8B5D-AB32EF192ADC}" name="Column7335"/>
    <tableColumn id="7336" xr3:uid="{C3E0E581-A569-4839-9FFB-0D9B88BAC430}" name="Column7336"/>
    <tableColumn id="7337" xr3:uid="{63557B20-7FF5-4C38-8FAA-44432591EA6F}" name="Column7337"/>
    <tableColumn id="7338" xr3:uid="{B2ABB689-41AD-42C5-96B2-88E2BA5DD25D}" name="Column7338"/>
    <tableColumn id="7339" xr3:uid="{20DCA946-7818-4B00-B1AF-615ACC0DE344}" name="Column7339"/>
    <tableColumn id="7340" xr3:uid="{3C1A6A9C-835C-44C9-88B1-9057F9E911B0}" name="Column7340"/>
    <tableColumn id="7341" xr3:uid="{3BD3D9E3-3C51-46FA-8F6C-0A4167868BDB}" name="Column7341"/>
    <tableColumn id="7342" xr3:uid="{3060716B-A755-41B6-B7A8-8D496239E3C8}" name="Column7342"/>
    <tableColumn id="7343" xr3:uid="{31193282-FAD8-4174-8493-4713862BD4FC}" name="Column7343"/>
    <tableColumn id="7344" xr3:uid="{71F2B383-7F82-4732-BF82-594D7410EF9C}" name="Column7344"/>
    <tableColumn id="7345" xr3:uid="{558B9B20-33F4-4B9D-8064-462CC564543F}" name="Column7345"/>
    <tableColumn id="7346" xr3:uid="{176C9D01-FC3B-45D4-8F34-D132E11B0C36}" name="Column7346"/>
    <tableColumn id="7347" xr3:uid="{1D17F45F-B177-4739-A53A-E4AC37F15F00}" name="Column7347"/>
    <tableColumn id="7348" xr3:uid="{98E28FB0-E72C-4C93-B0B4-D8ABFFF92FEF}" name="Column7348"/>
    <tableColumn id="7349" xr3:uid="{F81033EB-26DA-44CB-935A-7D0BE1955C2C}" name="Column7349"/>
    <tableColumn id="7350" xr3:uid="{150F0FF2-FC67-41DA-891B-B394B0E6FCC1}" name="Column7350"/>
    <tableColumn id="7351" xr3:uid="{782ACD21-3F8E-4475-B900-AF6A49C36396}" name="Column7351"/>
    <tableColumn id="7352" xr3:uid="{78BBCA98-5A3F-493A-A51D-2745BC22B1CB}" name="Column7352"/>
    <tableColumn id="7353" xr3:uid="{116FD1E9-1F02-44D9-8F0D-668281FE1526}" name="Column7353"/>
    <tableColumn id="7354" xr3:uid="{A74BC70F-69A6-4AE7-8A92-7E1688A8FCDD}" name="Column7354"/>
    <tableColumn id="7355" xr3:uid="{EB4D7CDD-A0AB-4FA3-A324-1375B6B46C29}" name="Column7355"/>
    <tableColumn id="7356" xr3:uid="{67EC44E6-024C-47B7-87BF-580CFE0FCDB1}" name="Column7356"/>
    <tableColumn id="7357" xr3:uid="{70BA7A5C-AD85-4972-8FEA-FE78FAEC718E}" name="Column7357"/>
    <tableColumn id="7358" xr3:uid="{41499077-B94B-4862-9145-002B980741D2}" name="Column7358"/>
    <tableColumn id="7359" xr3:uid="{4DC788F6-9A51-428D-8CBF-D9F588B1A34E}" name="Column7359"/>
    <tableColumn id="7360" xr3:uid="{A2206EED-6DC5-4BC0-BB49-B2ACA87516A9}" name="Column7360"/>
    <tableColumn id="7361" xr3:uid="{49909554-3707-420E-B629-90B7D9866084}" name="Column7361"/>
    <tableColumn id="7362" xr3:uid="{70017FB7-F6EA-4F2B-AF08-B1D3CA686265}" name="Column7362"/>
    <tableColumn id="7363" xr3:uid="{3D99975B-0E11-4566-93A2-3A03936CF9E8}" name="Column7363"/>
    <tableColumn id="7364" xr3:uid="{3444A71E-CC38-4046-8C30-D56BAD7B5F7B}" name="Column7364"/>
    <tableColumn id="7365" xr3:uid="{7C7D9B15-CF94-43A9-A585-012CDE69849C}" name="Column7365"/>
    <tableColumn id="7366" xr3:uid="{66F47CFA-3A11-41C2-AEC1-FCAE7156D8E0}" name="Column7366"/>
    <tableColumn id="7367" xr3:uid="{C896F487-E7A6-4D1D-AD9F-CD8FE2EDB5E7}" name="Column7367"/>
    <tableColumn id="7368" xr3:uid="{68EC53B3-2C73-4D3B-9998-FA366214E3C6}" name="Column7368"/>
    <tableColumn id="7369" xr3:uid="{A1CEFBBE-9744-4F35-970E-4F43F4CABD7F}" name="Column7369"/>
    <tableColumn id="7370" xr3:uid="{C15A144E-B5C3-43BE-8208-D9E8B27237A2}" name="Column7370"/>
    <tableColumn id="7371" xr3:uid="{B84240A4-7649-4CCB-9776-4468B6C37D6A}" name="Column7371"/>
    <tableColumn id="7372" xr3:uid="{783C7746-4C35-4875-8F59-FF5A7654C500}" name="Column7372"/>
    <tableColumn id="7373" xr3:uid="{93081E2D-A24B-49EF-9672-BDB798D4AAA6}" name="Column7373"/>
    <tableColumn id="7374" xr3:uid="{8A9B7EEE-C8FE-4295-ABF3-11E165019EF8}" name="Column7374"/>
    <tableColumn id="7375" xr3:uid="{54CACBD1-3CFD-4CEF-9153-720B149FD27F}" name="Column7375"/>
    <tableColumn id="7376" xr3:uid="{25EA7F5D-F99B-4D29-B657-E45A44FC4D04}" name="Column7376"/>
    <tableColumn id="7377" xr3:uid="{EF1D9438-D4D5-4E63-8155-BF5739C9AB38}" name="Column7377"/>
    <tableColumn id="7378" xr3:uid="{8D7DAB64-48C0-49C1-90B9-5C34054E333E}" name="Column7378"/>
    <tableColumn id="7379" xr3:uid="{4B7949D2-F97E-426C-BC26-545F570BA2C8}" name="Column7379"/>
    <tableColumn id="7380" xr3:uid="{CD0EDE07-5782-491A-B4CA-8D44CCF299DB}" name="Column7380"/>
    <tableColumn id="7381" xr3:uid="{7F96F802-C749-4FEE-AA2C-E3900F31A107}" name="Column7381"/>
    <tableColumn id="7382" xr3:uid="{7EDC96F0-593E-4415-AADB-ECF5EC21E7B3}" name="Column7382"/>
    <tableColumn id="7383" xr3:uid="{9A9741C9-F482-410B-97EE-2826B3ABA920}" name="Column7383"/>
    <tableColumn id="7384" xr3:uid="{67CB69A3-AA85-47F6-95E5-ED5BD6ED3BC4}" name="Column7384"/>
    <tableColumn id="7385" xr3:uid="{6E86F0EB-672E-4587-AF11-C343DCE39E05}" name="Column7385"/>
    <tableColumn id="7386" xr3:uid="{181FB715-6108-4FC4-B1C0-6515518EFE52}" name="Column7386"/>
    <tableColumn id="7387" xr3:uid="{908974DA-98C8-4D79-8786-BA20B163B4DC}" name="Column7387"/>
    <tableColumn id="7388" xr3:uid="{AC4F31A1-E987-4604-9645-D4CFA4B32B72}" name="Column7388"/>
    <tableColumn id="7389" xr3:uid="{B009685D-E9AC-4AB9-A270-29041B2AA504}" name="Column7389"/>
    <tableColumn id="7390" xr3:uid="{B40273FD-DA32-48BE-BFDE-5279A77DB2FC}" name="Column7390"/>
    <tableColumn id="7391" xr3:uid="{0B170419-12AF-41D4-A184-B08211616917}" name="Column7391"/>
    <tableColumn id="7392" xr3:uid="{2C2F9DBF-F790-4681-A68E-B1B9C5EA481B}" name="Column7392"/>
    <tableColumn id="7393" xr3:uid="{81A9B002-2B88-4676-B346-193FAE94C30A}" name="Column7393"/>
    <tableColumn id="7394" xr3:uid="{4AF3C4E5-BCAC-48A2-B971-4D65A2080E2D}" name="Column7394"/>
    <tableColumn id="7395" xr3:uid="{F310844F-D367-4200-B3D1-A082D2AB6030}" name="Column7395"/>
    <tableColumn id="7396" xr3:uid="{39B5C256-33F1-4007-93C2-2E8FEBF021B8}" name="Column7396"/>
    <tableColumn id="7397" xr3:uid="{11D82FB4-FD04-4D36-8E51-A16FE0722329}" name="Column7397"/>
    <tableColumn id="7398" xr3:uid="{F009B42D-5820-4BD6-BDC1-5E587C881FB7}" name="Column7398"/>
    <tableColumn id="7399" xr3:uid="{1A044996-D73C-41E6-BA2C-54B9E646C6B2}" name="Column7399"/>
    <tableColumn id="7400" xr3:uid="{68853D92-57E1-4AEB-9ADE-B7036B60E216}" name="Column7400"/>
    <tableColumn id="7401" xr3:uid="{E4EAF252-FA63-4E13-BCF3-61BCB2396AB9}" name="Column7401"/>
    <tableColumn id="7402" xr3:uid="{D3BDA196-C206-45AD-9402-B2AF1DDC6FAA}" name="Column7402"/>
    <tableColumn id="7403" xr3:uid="{B3AC37A8-17BF-4E1C-88B3-DE8BFF9117BB}" name="Column7403"/>
    <tableColumn id="7404" xr3:uid="{260BD7CF-3B67-4572-AE41-8C4DA9100201}" name="Column7404"/>
    <tableColumn id="7405" xr3:uid="{A4622260-0C29-485E-AD27-D6CCAA17CBD7}" name="Column7405"/>
    <tableColumn id="7406" xr3:uid="{DE26CA6F-DE5E-4EEB-9CEE-FE39ECB2C061}" name="Column7406"/>
    <tableColumn id="7407" xr3:uid="{42F3F254-C330-4F16-80A1-DF087A776F6E}" name="Column7407"/>
    <tableColumn id="7408" xr3:uid="{BC853F78-32A6-4E7F-B14C-96EFE954D097}" name="Column7408"/>
    <tableColumn id="7409" xr3:uid="{ED6257C3-5F18-4F68-A37D-A519F58E0AFA}" name="Column7409"/>
    <tableColumn id="7410" xr3:uid="{1C6319A9-18A1-406B-AB04-B34F95E9499D}" name="Column7410"/>
    <tableColumn id="7411" xr3:uid="{252C0E54-F6C5-48A5-AF21-6313F3B3FAE0}" name="Column7411"/>
    <tableColumn id="7412" xr3:uid="{B8625379-90BB-4714-AD27-B808310B5BDE}" name="Column7412"/>
    <tableColumn id="7413" xr3:uid="{42AAC3B4-BBA6-4AC1-9F9D-FAD41B843B37}" name="Column7413"/>
    <tableColumn id="7414" xr3:uid="{36C2E798-730D-4F82-BA21-5C3FF8007970}" name="Column7414"/>
    <tableColumn id="7415" xr3:uid="{EE22F0B9-7130-48B3-91DC-58C998AC89D3}" name="Column7415"/>
    <tableColumn id="7416" xr3:uid="{F9039ADF-267B-41EB-8DBD-69EA074D6F99}" name="Column7416"/>
    <tableColumn id="7417" xr3:uid="{7801EC72-573A-4482-863B-E23D61C778C7}" name="Column7417"/>
    <tableColumn id="7418" xr3:uid="{23294463-9F0B-4186-A60A-0521B2397B70}" name="Column7418"/>
    <tableColumn id="7419" xr3:uid="{10CD347F-5439-4E2B-838B-6BE9F06ADD55}" name="Column7419"/>
    <tableColumn id="7420" xr3:uid="{6781D2BB-B630-4C3B-B8E7-348E3BDB8BDE}" name="Column7420"/>
    <tableColumn id="7421" xr3:uid="{D860FE22-0BD8-4A0A-9665-9AB79F3276FD}" name="Column7421"/>
    <tableColumn id="7422" xr3:uid="{6C818B18-D5D7-4D0E-9844-29FD07BC1923}" name="Column7422"/>
    <tableColumn id="7423" xr3:uid="{B545BAAD-D091-41CE-BEA6-D88B542D2182}" name="Column7423"/>
    <tableColumn id="7424" xr3:uid="{64D609AE-79D6-4957-A7E1-DB2ED8232C11}" name="Column7424"/>
    <tableColumn id="7425" xr3:uid="{1D2393A2-A116-4B76-8C3D-7617ABC2A5B8}" name="Column7425"/>
    <tableColumn id="7426" xr3:uid="{C56B5245-B5B8-43F7-8EDD-2B2A4A92F14E}" name="Column7426"/>
    <tableColumn id="7427" xr3:uid="{39F35699-29DB-4D79-AFB5-62BFD26411AD}" name="Column7427"/>
    <tableColumn id="7428" xr3:uid="{8DC3D1DA-0F79-411F-8621-AF032512C456}" name="Column7428"/>
    <tableColumn id="7429" xr3:uid="{3627E322-2CDC-4722-BF13-0E4E54BC90D9}" name="Column7429"/>
    <tableColumn id="7430" xr3:uid="{CDAF5091-5227-409F-B9E1-357AD15E825C}" name="Column7430"/>
    <tableColumn id="7431" xr3:uid="{4B8501D0-C9F9-485F-803D-95FE2C8EC2B3}" name="Column7431"/>
    <tableColumn id="7432" xr3:uid="{08BAFF8D-4E5B-4CB2-A320-C3B8F20E7486}" name="Column7432"/>
    <tableColumn id="7433" xr3:uid="{6F19493E-336B-4EB6-BD17-30D9BD88E416}" name="Column7433"/>
    <tableColumn id="7434" xr3:uid="{CEF6F86D-7C5A-4E38-9B82-92ECDE938C01}" name="Column7434"/>
    <tableColumn id="7435" xr3:uid="{879A41C3-82BB-4B4A-879E-47CE955A905C}" name="Column7435"/>
    <tableColumn id="7436" xr3:uid="{73934444-7324-4A0A-95E4-352E2368D751}" name="Column7436"/>
    <tableColumn id="7437" xr3:uid="{764E3DBA-EB39-424D-9D65-9809282B1FCB}" name="Column7437"/>
    <tableColumn id="7438" xr3:uid="{791772B6-9223-4689-8EB1-1AA93FB52BD2}" name="Column7438"/>
    <tableColumn id="7439" xr3:uid="{221A33C9-DE8E-4CDB-941F-BA8EEC506A65}" name="Column7439"/>
    <tableColumn id="7440" xr3:uid="{F1931382-4AFC-4DD3-9FDE-6AF4EC5F3211}" name="Column7440"/>
    <tableColumn id="7441" xr3:uid="{752704DD-6C11-4FA3-8925-1D9D216194DA}" name="Column7441"/>
    <tableColumn id="7442" xr3:uid="{FB86AABE-2E3E-4609-BB23-267B52F794EE}" name="Column7442"/>
    <tableColumn id="7443" xr3:uid="{17F6C2A8-925B-4534-9B04-EC24BB1DC55E}" name="Column7443"/>
    <tableColumn id="7444" xr3:uid="{E82B1C23-EE28-4C18-B1ED-D5C50238547E}" name="Column7444"/>
    <tableColumn id="7445" xr3:uid="{1C8679E9-25F9-4705-AAE7-79E7F8CBA8A9}" name="Column7445"/>
    <tableColumn id="7446" xr3:uid="{0BD01738-E75B-4484-8265-3BCEEA071365}" name="Column7446"/>
    <tableColumn id="7447" xr3:uid="{308BF973-8C64-46BA-AF1C-A482D4592195}" name="Column7447"/>
    <tableColumn id="7448" xr3:uid="{51628A38-B542-4B99-9C53-0773AD5CC14D}" name="Column7448"/>
    <tableColumn id="7449" xr3:uid="{8B53CB57-6881-4519-B217-88D970EB2E83}" name="Column7449"/>
    <tableColumn id="7450" xr3:uid="{3CCACF1D-D8ED-4745-B314-3C3D09AE5916}" name="Column7450"/>
    <tableColumn id="7451" xr3:uid="{AF86D1EF-9BE7-467C-8609-C86A4072BC19}" name="Column7451"/>
    <tableColumn id="7452" xr3:uid="{C4DE18AA-81A8-43C3-9325-77C91ACB03FC}" name="Column7452"/>
    <tableColumn id="7453" xr3:uid="{2676882C-AB25-4082-9BB2-EB47E494D285}" name="Column7453"/>
    <tableColumn id="7454" xr3:uid="{2E92E100-4C95-4E80-835A-C66B2E831C02}" name="Column7454"/>
    <tableColumn id="7455" xr3:uid="{756FEACD-38D6-4F06-9806-8873BAF46212}" name="Column7455"/>
    <tableColumn id="7456" xr3:uid="{65A9E432-90A3-46EC-ACBB-A3765ADB84DF}" name="Column7456"/>
    <tableColumn id="7457" xr3:uid="{261AF255-486A-4633-A4C0-ADECCBDC98D6}" name="Column7457"/>
    <tableColumn id="7458" xr3:uid="{ED8831E2-CD1C-4360-B217-E60A321B4D50}" name="Column7458"/>
    <tableColumn id="7459" xr3:uid="{856B8D3D-EFCF-4A48-9725-9FEBB0B9E493}" name="Column7459"/>
    <tableColumn id="7460" xr3:uid="{AEC00573-0B38-474E-83FD-A08AF5D0BF50}" name="Column7460"/>
    <tableColumn id="7461" xr3:uid="{5FB4CCC0-52BB-4A19-B020-BB6FF065EF19}" name="Column7461"/>
    <tableColumn id="7462" xr3:uid="{AEE9E694-8D1B-4803-AB47-867E7B1B45B4}" name="Column7462"/>
    <tableColumn id="7463" xr3:uid="{A7614B4E-5DC1-4232-901B-239FC6CA9B5A}" name="Column7463"/>
    <tableColumn id="7464" xr3:uid="{6C66D208-8367-4678-ABFA-5D5CD8E56B96}" name="Column7464"/>
    <tableColumn id="7465" xr3:uid="{1B2A1E54-1C86-4601-B31B-69975F8CEF3A}" name="Column7465"/>
    <tableColumn id="7466" xr3:uid="{72C267C7-4CFA-465C-ABF7-DB992AAA9585}" name="Column7466"/>
    <tableColumn id="7467" xr3:uid="{3DDEB51C-79BF-4B4E-B486-5993CB16097F}" name="Column7467"/>
    <tableColumn id="7468" xr3:uid="{2CF0D760-1BFA-4956-BA34-1979BE72D502}" name="Column7468"/>
    <tableColumn id="7469" xr3:uid="{29C66600-ADAD-4302-A484-E026AC63C5E8}" name="Column7469"/>
    <tableColumn id="7470" xr3:uid="{45F4E8D9-04C0-4B1E-B91F-46D3C108A8AB}" name="Column7470"/>
    <tableColumn id="7471" xr3:uid="{696D6591-3D32-496A-82C7-F0BBF8A17CA0}" name="Column7471"/>
    <tableColumn id="7472" xr3:uid="{F9EBABD7-7F6D-4CF7-8EEC-1C221621C710}" name="Column7472"/>
    <tableColumn id="7473" xr3:uid="{385DA6E1-29A4-4678-9F3A-4FED86B85F67}" name="Column7473"/>
    <tableColumn id="7474" xr3:uid="{60F96133-949B-4982-9FA7-8A7037A525B8}" name="Column7474"/>
    <tableColumn id="7475" xr3:uid="{8409D623-5924-41EC-ABB8-304A71FF362F}" name="Column7475"/>
    <tableColumn id="7476" xr3:uid="{51F75F0D-A1CE-4D14-B73B-178955EB4AF6}" name="Column7476"/>
    <tableColumn id="7477" xr3:uid="{9095303B-6B1E-4C35-9725-9EAECD7FA09C}" name="Column7477"/>
    <tableColumn id="7478" xr3:uid="{6CE5A85D-A833-448F-9CF4-A0325F632C9E}" name="Column7478"/>
    <tableColumn id="7479" xr3:uid="{44007A3D-CAB9-49FC-AC26-5A75E2F0EF6D}" name="Column7479"/>
    <tableColumn id="7480" xr3:uid="{F7BEA648-307D-4033-86DB-D26A35C0B4DD}" name="Column7480"/>
    <tableColumn id="7481" xr3:uid="{AD1B12F3-0061-430B-8D6F-FB35DFE6FD6E}" name="Column7481"/>
    <tableColumn id="7482" xr3:uid="{802A4046-D7FE-4589-ACAE-2899B62C5991}" name="Column7482"/>
    <tableColumn id="7483" xr3:uid="{1E11BFDC-366E-46DC-A913-5410726ADA38}" name="Column7483"/>
    <tableColumn id="7484" xr3:uid="{BB6A1288-0623-4C99-B3CE-E0F19C9EC549}" name="Column7484"/>
    <tableColumn id="7485" xr3:uid="{C30D5E98-6413-44AF-B749-824A3312CF3A}" name="Column7485"/>
    <tableColumn id="7486" xr3:uid="{7EE62B54-D0AA-42DD-ACFC-678A7EADABED}" name="Column7486"/>
    <tableColumn id="7487" xr3:uid="{F461599E-FCA1-48F9-BC91-1E55D60664DE}" name="Column7487"/>
    <tableColumn id="7488" xr3:uid="{730E1B09-21B1-4C0A-8504-75657ED30351}" name="Column7488"/>
    <tableColumn id="7489" xr3:uid="{32996AAA-03D3-4044-8192-EF5BA8D5A940}" name="Column7489"/>
    <tableColumn id="7490" xr3:uid="{EE6D7A61-5D26-41A1-822F-9E8EBC9F3887}" name="Column7490"/>
    <tableColumn id="7491" xr3:uid="{852224F8-6DA6-4802-82E4-075C7239A05E}" name="Column7491"/>
    <tableColumn id="7492" xr3:uid="{62253A00-4F07-42BD-A97D-0E2AAF5218F5}" name="Column7492"/>
    <tableColumn id="7493" xr3:uid="{B09F14EC-8F00-45A6-A06E-E31B9E6DC4F1}" name="Column7493"/>
    <tableColumn id="7494" xr3:uid="{F537F44D-FE87-45AF-B65B-1915DC936849}" name="Column7494"/>
    <tableColumn id="7495" xr3:uid="{EBF5726A-FA87-4DCB-AF51-0813DA48F9FD}" name="Column7495"/>
    <tableColumn id="7496" xr3:uid="{C194FFB3-97B4-44C4-8E2B-E163F973D9AA}" name="Column7496"/>
    <tableColumn id="7497" xr3:uid="{9C37F6CD-51FF-48BC-A48F-49F0746E5F8D}" name="Column7497"/>
    <tableColumn id="7498" xr3:uid="{D3206601-E6C1-441F-A31A-98849F3CE80F}" name="Column7498"/>
    <tableColumn id="7499" xr3:uid="{557F88B7-6024-4C7F-BF38-B2498F81D531}" name="Column7499"/>
    <tableColumn id="7500" xr3:uid="{BC5BACEF-D501-4AB6-9392-D453B22D48DF}" name="Column7500"/>
    <tableColumn id="7501" xr3:uid="{98D15444-DDED-4FFD-9315-A1D3FE53B45A}" name="Column7501"/>
    <tableColumn id="7502" xr3:uid="{7D7398D5-27E0-49A9-848E-DA92784F731F}" name="Column7502"/>
    <tableColumn id="7503" xr3:uid="{FD31FDB9-C198-4EC8-AAB2-B89F0275AD8B}" name="Column7503"/>
    <tableColumn id="7504" xr3:uid="{FE505B4A-0478-46CF-90FE-ED60B73C5C7D}" name="Column7504"/>
    <tableColumn id="7505" xr3:uid="{75FEB160-D4E6-4FC6-9975-C8E7AA5AD73E}" name="Column7505"/>
    <tableColumn id="7506" xr3:uid="{191847A4-B7F5-4CE9-9065-8981019E5C6B}" name="Column7506"/>
    <tableColumn id="7507" xr3:uid="{8411CD89-42DE-47CD-A22D-E277A8B65DDF}" name="Column7507"/>
    <tableColumn id="7508" xr3:uid="{8B3DE998-DEDA-4834-AD7B-514B3392359B}" name="Column7508"/>
    <tableColumn id="7509" xr3:uid="{8191AE36-7217-4F2F-94FC-FF8D94E0D692}" name="Column7509"/>
    <tableColumn id="7510" xr3:uid="{8ADC0FF4-A724-4D76-8A81-5F6468837451}" name="Column7510"/>
    <tableColumn id="7511" xr3:uid="{20BEEA7B-806C-41CD-B643-60A5BDA51392}" name="Column7511"/>
    <tableColumn id="7512" xr3:uid="{F7AA322A-B348-4151-9A67-A0BF6D8ABCAB}" name="Column7512"/>
    <tableColumn id="7513" xr3:uid="{99007ADE-8814-4D5B-A87A-E11004A831E2}" name="Column7513"/>
    <tableColumn id="7514" xr3:uid="{386B3DA6-C9B6-4EEA-8DD8-1113E1BB538C}" name="Column7514"/>
    <tableColumn id="7515" xr3:uid="{DC2705D1-E10F-4F1D-A684-952044F2187E}" name="Column7515"/>
    <tableColumn id="7516" xr3:uid="{82111F39-BF14-49A8-A72F-7873AE7CA7AE}" name="Column7516"/>
    <tableColumn id="7517" xr3:uid="{3AB942E1-5CB3-4639-BF50-7C8654015055}" name="Column7517"/>
    <tableColumn id="7518" xr3:uid="{3B458C5F-DAE2-4831-99B8-F4CDE8CB22EC}" name="Column7518"/>
    <tableColumn id="7519" xr3:uid="{21E5DC93-4034-484C-893F-28144C65279C}" name="Column7519"/>
    <tableColumn id="7520" xr3:uid="{82536EF3-D071-4E20-A182-9517EE78FA6F}" name="Column7520"/>
    <tableColumn id="7521" xr3:uid="{35C716AA-A470-4A76-9D04-82B547F53E30}" name="Column7521"/>
    <tableColumn id="7522" xr3:uid="{1BCACB76-4E57-49D2-B8A2-5A8E1CCFE0BC}" name="Column7522"/>
    <tableColumn id="7523" xr3:uid="{A6FBFCEB-6027-4951-91C9-37F4CAB48FCD}" name="Column7523"/>
    <tableColumn id="7524" xr3:uid="{3F11913D-B7C4-4859-8266-2C27D32FF3DA}" name="Column7524"/>
    <tableColumn id="7525" xr3:uid="{38D45C27-45B1-42FE-9AA8-FEB7B8EF991C}" name="Column7525"/>
    <tableColumn id="7526" xr3:uid="{2B45B8E8-9E50-4A1B-B6D9-62623F9FEAB0}" name="Column7526"/>
    <tableColumn id="7527" xr3:uid="{37810552-D26B-47EC-B315-7CE1A5840CB9}" name="Column7527"/>
    <tableColumn id="7528" xr3:uid="{4E5D6457-EDC1-47D3-985B-5423AFCD4D32}" name="Column7528"/>
    <tableColumn id="7529" xr3:uid="{9ED6F9B0-5FD5-4E60-B018-83797C6B4530}" name="Column7529"/>
    <tableColumn id="7530" xr3:uid="{393A5F73-FE8F-4043-ADF0-1A5DFCA110E7}" name="Column7530"/>
    <tableColumn id="7531" xr3:uid="{F62FADAF-8286-4FD7-B9C0-68E93D094E9A}" name="Column7531"/>
    <tableColumn id="7532" xr3:uid="{9D3F2566-5751-4BA5-935E-2A18C423109A}" name="Column7532"/>
    <tableColumn id="7533" xr3:uid="{6F3E95FC-C8C2-4019-B93D-03D83DD248E7}" name="Column7533"/>
    <tableColumn id="7534" xr3:uid="{F9D8594C-E864-4B43-85AA-87283A1D5CDA}" name="Column7534"/>
    <tableColumn id="7535" xr3:uid="{F0E915A9-81C0-411E-8C0B-8846E7B2673E}" name="Column7535"/>
    <tableColumn id="7536" xr3:uid="{3FB91568-46C1-4D80-AFF4-846380C4D23F}" name="Column7536"/>
    <tableColumn id="7537" xr3:uid="{92DF0D0B-2172-4A29-83D7-48DA1B287153}" name="Column7537"/>
    <tableColumn id="7538" xr3:uid="{80A7D45E-5D9A-44FC-82B7-ACDDDA694B42}" name="Column7538"/>
    <tableColumn id="7539" xr3:uid="{BE110539-CF61-40E5-B68B-0F81AF72C4BD}" name="Column7539"/>
    <tableColumn id="7540" xr3:uid="{3066268C-C267-475C-819E-A9528FDD3823}" name="Column7540"/>
    <tableColumn id="7541" xr3:uid="{4161B922-188D-4390-A7A2-B36B31827588}" name="Column7541"/>
    <tableColumn id="7542" xr3:uid="{E7F70814-1B41-459E-A5DB-766BC6299DDC}" name="Column7542"/>
    <tableColumn id="7543" xr3:uid="{8FDEF59B-8F48-4B27-B31B-372FAE4B7FE6}" name="Column7543"/>
    <tableColumn id="7544" xr3:uid="{EB95B76C-8177-43A4-860E-57FB031EFB6F}" name="Column7544"/>
    <tableColumn id="7545" xr3:uid="{7BC3DBA2-6B1F-412E-83F3-04EAEAD29D6E}" name="Column7545"/>
    <tableColumn id="7546" xr3:uid="{8AB00CFC-94EC-40D1-A341-345F34A2AFD4}" name="Column7546"/>
    <tableColumn id="7547" xr3:uid="{3F12A552-0B30-462D-8E25-B60F64D7341D}" name="Column7547"/>
    <tableColumn id="7548" xr3:uid="{2A0CF26F-F716-43E2-8A57-DE1FD7DC2C32}" name="Column7548"/>
    <tableColumn id="7549" xr3:uid="{060180E9-A05D-4009-B674-B851372AC41E}" name="Column7549"/>
    <tableColumn id="7550" xr3:uid="{CDB82159-B352-4482-8CBD-CBCFECA4D91D}" name="Column7550"/>
    <tableColumn id="7551" xr3:uid="{F3C54384-2285-45BE-B182-22B1259D9C50}" name="Column7551"/>
    <tableColumn id="7552" xr3:uid="{D263FAAB-ECAD-48CB-9647-DE93906A93C4}" name="Column7552"/>
    <tableColumn id="7553" xr3:uid="{F9C5ED09-BF30-4C38-B042-B5D4597123EC}" name="Column7553"/>
    <tableColumn id="7554" xr3:uid="{17450EA0-811A-4657-BF90-A1CD98D34885}" name="Column7554"/>
    <tableColumn id="7555" xr3:uid="{10B51F22-9673-4A3B-8F34-0DA3ADA1DD2B}" name="Column7555"/>
    <tableColumn id="7556" xr3:uid="{CDBEE66C-18D6-4F2B-8DE7-F5A7EEEC6B23}" name="Column7556"/>
    <tableColumn id="7557" xr3:uid="{E5043840-CB71-4876-BA43-426ACC3DB0F4}" name="Column7557"/>
    <tableColumn id="7558" xr3:uid="{AA6F3B5B-0A60-4CB6-BB7C-89FB04D4D9C1}" name="Column7558"/>
    <tableColumn id="7559" xr3:uid="{578B9818-5D1A-4E72-AA62-78081E2D7B1F}" name="Column7559"/>
    <tableColumn id="7560" xr3:uid="{CC411FB8-000C-4A29-AC39-DD88DBC0C0D8}" name="Column7560"/>
    <tableColumn id="7561" xr3:uid="{EB524118-184E-4FB1-A1C9-6E4170AF13CA}" name="Column7561"/>
    <tableColumn id="7562" xr3:uid="{A00F56AC-7948-4C6E-96F2-30258017DC92}" name="Column7562"/>
    <tableColumn id="7563" xr3:uid="{391CDD82-EFB1-4B58-BC99-5AE22BE203CA}" name="Column7563"/>
    <tableColumn id="7564" xr3:uid="{9CB6E6A8-E4CD-4A80-9FD3-AB5ED1F5098E}" name="Column7564"/>
    <tableColumn id="7565" xr3:uid="{2E7EA61A-7DA5-4F1C-B55C-65B696B65C0C}" name="Column7565"/>
    <tableColumn id="7566" xr3:uid="{ABB35497-D4D2-45F8-8A50-B1265C19D4A7}" name="Column7566"/>
    <tableColumn id="7567" xr3:uid="{B49776B5-E6F2-47FB-86EE-8FB2A97BC584}" name="Column7567"/>
    <tableColumn id="7568" xr3:uid="{7EBE634C-08E9-46F7-AEEA-B28AE9408C91}" name="Column7568"/>
    <tableColumn id="7569" xr3:uid="{364CE067-4486-4E80-980B-A654FC75B9DD}" name="Column7569"/>
    <tableColumn id="7570" xr3:uid="{69DF6ECC-286A-487D-81C0-2D6C02C5F6C0}" name="Column7570"/>
    <tableColumn id="7571" xr3:uid="{25AEFC85-0DCB-4CEA-83C3-C5BAB6EA0BC1}" name="Column7571"/>
    <tableColumn id="7572" xr3:uid="{6FB6EEF8-6028-400C-A158-EB7D3E0A428A}" name="Column7572"/>
    <tableColumn id="7573" xr3:uid="{4125482F-F865-44BD-AB91-25EF8971F5B1}" name="Column7573"/>
    <tableColumn id="7574" xr3:uid="{C2D7BD0F-E826-46CE-8E20-944306D0482C}" name="Column7574"/>
    <tableColumn id="7575" xr3:uid="{0F0202F0-F678-46F6-BB20-5DCBD66C44E8}" name="Column7575"/>
    <tableColumn id="7576" xr3:uid="{23FBFE1C-CAFE-4D5F-9EDE-9B618518EB84}" name="Column7576"/>
    <tableColumn id="7577" xr3:uid="{AFFA4348-CA5F-414C-8536-F7D65B05095E}" name="Column7577"/>
    <tableColumn id="7578" xr3:uid="{ABFA9CC5-F617-41EE-8959-3AFC1C7AF00D}" name="Column7578"/>
    <tableColumn id="7579" xr3:uid="{38EA486F-ABAC-4916-838D-4981C37D66CB}" name="Column7579"/>
    <tableColumn id="7580" xr3:uid="{811F1C08-34D8-469D-85A4-813D0A343086}" name="Column7580"/>
    <tableColumn id="7581" xr3:uid="{24E1D67C-75CD-4D60-AC9F-8DCAD6C6F504}" name="Column7581"/>
    <tableColumn id="7582" xr3:uid="{CAD0BF18-2D96-4AC5-A8C9-573FF9F7DDCF}" name="Column7582"/>
    <tableColumn id="7583" xr3:uid="{F37194A0-F620-49F6-B1C3-FC57EE8E25C3}" name="Column7583"/>
    <tableColumn id="7584" xr3:uid="{B4C423FB-D641-4DE4-B2EB-F875457E800D}" name="Column7584"/>
    <tableColumn id="7585" xr3:uid="{2EA25FA7-6F29-405E-A2DC-7ED248EF46C2}" name="Column7585"/>
    <tableColumn id="7586" xr3:uid="{69C2B215-F81A-4926-9747-06AD21EC2B27}" name="Column7586"/>
    <tableColumn id="7587" xr3:uid="{F90E2ED7-50BD-4D9C-B28F-D8A858B0ACAB}" name="Column7587"/>
    <tableColumn id="7588" xr3:uid="{894CAB2F-994B-4C5B-A9CC-A5E9D09A5F00}" name="Column7588"/>
    <tableColumn id="7589" xr3:uid="{21983C39-8D7E-43EF-AC86-62BF74ACCA06}" name="Column7589"/>
    <tableColumn id="7590" xr3:uid="{BA809B1C-28F6-4734-A375-9421383BD6B3}" name="Column7590"/>
    <tableColumn id="7591" xr3:uid="{8F0F45B1-4441-4FBB-82EB-A2B5FDF2F11B}" name="Column7591"/>
    <tableColumn id="7592" xr3:uid="{40650CE3-6377-4C7D-9D8A-089C7EB474A5}" name="Column7592"/>
    <tableColumn id="7593" xr3:uid="{FC77E5A6-C3B3-4E51-AAC5-5EB43F8FE31B}" name="Column7593"/>
    <tableColumn id="7594" xr3:uid="{EE5C8F0C-2D40-47DF-9669-82DBD6544112}" name="Column7594"/>
    <tableColumn id="7595" xr3:uid="{553CAEB8-1B63-411D-B55D-0E0C766D9356}" name="Column7595"/>
    <tableColumn id="7596" xr3:uid="{31A2371D-DCDE-4E55-B403-22DD8E710CFC}" name="Column7596"/>
    <tableColumn id="7597" xr3:uid="{496051F6-9840-4D5F-BF9C-107685271FC1}" name="Column7597"/>
    <tableColumn id="7598" xr3:uid="{DCBFB962-3F59-4F47-9461-7C4859ADD1B4}" name="Column7598"/>
    <tableColumn id="7599" xr3:uid="{3E5D15DF-9AF5-414B-9224-22EA116F7E31}" name="Column7599"/>
    <tableColumn id="7600" xr3:uid="{FC2C94CB-865B-464C-A415-A553A1DCF99A}" name="Column7600"/>
    <tableColumn id="7601" xr3:uid="{1BF572E3-DAE3-4DD5-AA97-F4E2FE7C646C}" name="Column7601"/>
    <tableColumn id="7602" xr3:uid="{9CCC7B4F-C48E-4A4E-8CB7-0AED54A95DC6}" name="Column7602"/>
    <tableColumn id="7603" xr3:uid="{165DFCD3-9D24-4A39-8C5D-B332BF6AAFE2}" name="Column7603"/>
    <tableColumn id="7604" xr3:uid="{8C2A7511-747F-4926-AE90-D0469C4D4AE4}" name="Column7604"/>
    <tableColumn id="7605" xr3:uid="{E5DC1463-5F22-4EF3-A211-272392E180AF}" name="Column7605"/>
    <tableColumn id="7606" xr3:uid="{4CA57E7C-B6F8-4C25-BBF2-409C745FDA74}" name="Column7606"/>
    <tableColumn id="7607" xr3:uid="{B7626631-CA8F-40D5-93EE-3EF656B813EC}" name="Column7607"/>
    <tableColumn id="7608" xr3:uid="{356F9866-387B-4251-9160-A6979552E130}" name="Column7608"/>
    <tableColumn id="7609" xr3:uid="{1001BE36-A325-43A9-BBC6-0E8280A4ED48}" name="Column7609"/>
    <tableColumn id="7610" xr3:uid="{77B94173-560F-4875-8D0C-BC55052CBE8C}" name="Column7610"/>
    <tableColumn id="7611" xr3:uid="{5351E01C-8456-4711-88CB-BF933CA9A1FF}" name="Column7611"/>
    <tableColumn id="7612" xr3:uid="{AAB81A6B-7CF2-49CA-84B4-29BFD8DD1670}" name="Column7612"/>
    <tableColumn id="7613" xr3:uid="{3ACB9755-6005-44DC-AF0B-4117E0F7EE72}" name="Column7613"/>
    <tableColumn id="7614" xr3:uid="{19C6DB3E-908D-4959-9966-36F2CAB0BE3D}" name="Column7614"/>
    <tableColumn id="7615" xr3:uid="{ADCFE1FC-146E-4A0F-B19C-8E1F4B2AD08E}" name="Column7615"/>
    <tableColumn id="7616" xr3:uid="{536DFA13-6060-42B4-B60C-6425FE767A97}" name="Column7616"/>
    <tableColumn id="7617" xr3:uid="{9ACBBC0C-93D3-4F0E-9C9B-E91D6DCBA77D}" name="Column7617"/>
    <tableColumn id="7618" xr3:uid="{4AF4D910-E4AC-49E6-959C-02CD88768248}" name="Column7618"/>
    <tableColumn id="7619" xr3:uid="{105E572E-0383-4515-A302-023F77FDD8FE}" name="Column7619"/>
    <tableColumn id="7620" xr3:uid="{0D38F370-B267-4312-A263-9E1475C13DAC}" name="Column7620"/>
    <tableColumn id="7621" xr3:uid="{D5BDBF1D-D808-459D-AC1A-F27244F6AF7F}" name="Column7621"/>
    <tableColumn id="7622" xr3:uid="{4939CADE-5182-4373-9738-CED270B6F1CE}" name="Column7622"/>
    <tableColumn id="7623" xr3:uid="{731CF179-0A6D-4E61-8E09-0C342BBB87CA}" name="Column7623"/>
    <tableColumn id="7624" xr3:uid="{B0E1CA8E-E520-4BFD-993D-DE1E2231F70C}" name="Column7624"/>
    <tableColumn id="7625" xr3:uid="{09164F22-935B-4C7C-84C3-1049C3959C31}" name="Column7625"/>
    <tableColumn id="7626" xr3:uid="{B3C6B3F5-30DA-43D9-B7AF-830DCFDB972C}" name="Column7626"/>
    <tableColumn id="7627" xr3:uid="{B1C669D3-78DF-46F1-B567-982D7DE9B51A}" name="Column7627"/>
    <tableColumn id="7628" xr3:uid="{E854CD6D-99D2-4C1A-BF9B-A0A69BC270BF}" name="Column7628"/>
    <tableColumn id="7629" xr3:uid="{A25EB0C9-44BF-4CA0-A0C0-6EB05D1890B8}" name="Column7629"/>
    <tableColumn id="7630" xr3:uid="{C3ACBF92-4A77-4E85-A576-01252042F4FC}" name="Column7630"/>
    <tableColumn id="7631" xr3:uid="{A9D7CC82-C528-4F8D-A993-C42E31F550C7}" name="Column7631"/>
    <tableColumn id="7632" xr3:uid="{B2E33E06-7742-4F9F-8B37-127FBB998F98}" name="Column7632"/>
    <tableColumn id="7633" xr3:uid="{68F014B2-3F65-440D-B4EA-DDE87BCB9054}" name="Column7633"/>
    <tableColumn id="7634" xr3:uid="{1BE3C192-AEF5-4F7A-A8EA-F2995B5AED4E}" name="Column7634"/>
    <tableColumn id="7635" xr3:uid="{42E35D7F-BB3B-4BD5-8F80-96E3113CFCFB}" name="Column7635"/>
    <tableColumn id="7636" xr3:uid="{7B42C386-7E84-414D-8E17-C49C4C555A12}" name="Column7636"/>
    <tableColumn id="7637" xr3:uid="{3B078F05-E856-4B6E-BF9C-2F87C2F8E56F}" name="Column7637"/>
    <tableColumn id="7638" xr3:uid="{C6F02BEE-4D4F-4AFF-A15F-F5B0535DF4E0}" name="Column7638"/>
    <tableColumn id="7639" xr3:uid="{91193B3B-9D04-4370-8ABF-4567F1D93AEB}" name="Column7639"/>
    <tableColumn id="7640" xr3:uid="{A72A1E64-CEE0-4C3D-BFCB-55DDEF6E34B1}" name="Column7640"/>
    <tableColumn id="7641" xr3:uid="{24ADDCDC-D54B-4758-B27E-6EA170CB5690}" name="Column7641"/>
    <tableColumn id="7642" xr3:uid="{DD50E326-9490-474F-B354-A714F4E18A78}" name="Column7642"/>
    <tableColumn id="7643" xr3:uid="{F9C96C4D-885A-4A88-933D-A75DC89E1801}" name="Column7643"/>
    <tableColumn id="7644" xr3:uid="{17FD2168-1C4D-42AC-9FD5-9F3B7FE49128}" name="Column7644"/>
    <tableColumn id="7645" xr3:uid="{0672792C-F861-4ECA-9A24-6344D3E77C6C}" name="Column7645"/>
    <tableColumn id="7646" xr3:uid="{9C9F646E-A875-44EB-8A09-D611CEF8EA41}" name="Column7646"/>
    <tableColumn id="7647" xr3:uid="{4E41946F-A968-48E8-9EC2-E04BD19AF019}" name="Column7647"/>
    <tableColumn id="7648" xr3:uid="{9C1A2734-EDCE-4387-8B88-9E10CC36A4F6}" name="Column7648"/>
    <tableColumn id="7649" xr3:uid="{8489173F-EF45-4ACC-88FC-3AE797C2FD0B}" name="Column7649"/>
    <tableColumn id="7650" xr3:uid="{677BD09D-3B61-4BF8-94B5-80E12A9A4592}" name="Column7650"/>
    <tableColumn id="7651" xr3:uid="{D88934FF-5E09-4D45-98BE-5CC0411B158C}" name="Column7651"/>
    <tableColumn id="7652" xr3:uid="{E2629DCC-57C3-4F7B-B825-D4ED65BC027D}" name="Column7652"/>
    <tableColumn id="7653" xr3:uid="{0C9A6596-734F-4F92-9A9E-233265B40086}" name="Column7653"/>
    <tableColumn id="7654" xr3:uid="{16E6561F-F9EC-45A6-B0E6-1C21A77E33FB}" name="Column7654"/>
    <tableColumn id="7655" xr3:uid="{1667EE07-B5CF-4066-B9FF-E42EFD28A4EF}" name="Column7655"/>
    <tableColumn id="7656" xr3:uid="{BD97D9CD-AE62-463C-92CD-EBC7CAC58B09}" name="Column7656"/>
    <tableColumn id="7657" xr3:uid="{FD11DC30-DB24-4C70-ABDC-A1255F59409C}" name="Column7657"/>
    <tableColumn id="7658" xr3:uid="{0795F30B-0298-46C5-B06B-0764D7762D5C}" name="Column7658"/>
    <tableColumn id="7659" xr3:uid="{F38E9922-70C1-4FDD-97D2-B22321D25890}" name="Column7659"/>
    <tableColumn id="7660" xr3:uid="{24996600-06F3-4894-BD14-3BA47C8ADE15}" name="Column7660"/>
    <tableColumn id="7661" xr3:uid="{8C9AE8CB-96D9-4D89-9E10-740665277DA1}" name="Column7661"/>
    <tableColumn id="7662" xr3:uid="{8E459ADC-7B67-4CF6-9FF9-525C88E1328F}" name="Column7662"/>
    <tableColumn id="7663" xr3:uid="{A8DBD220-6AC5-4661-9DA9-FF21A34D909D}" name="Column7663"/>
    <tableColumn id="7664" xr3:uid="{AA4BB41C-63C2-47AE-8315-4034DF9FF59B}" name="Column7664"/>
    <tableColumn id="7665" xr3:uid="{80686C34-DFF1-40D7-8FA1-6EC6E40CFB9E}" name="Column7665"/>
    <tableColumn id="7666" xr3:uid="{760C674F-0905-4A1F-851C-6DB09AB49829}" name="Column7666"/>
    <tableColumn id="7667" xr3:uid="{8E3C091C-311E-405B-8123-E49A27679491}" name="Column7667"/>
    <tableColumn id="7668" xr3:uid="{3804E4EC-BB07-4107-9FF4-11ADF91E8063}" name="Column7668"/>
    <tableColumn id="7669" xr3:uid="{5E3BD358-F287-4755-86F8-1CCBB30CFE12}" name="Column7669"/>
    <tableColumn id="7670" xr3:uid="{70CBFAC6-0539-48DC-BB7E-07F0DA8945C5}" name="Column7670"/>
    <tableColumn id="7671" xr3:uid="{873EA59D-50D4-44DA-9028-FA075BD57D68}" name="Column7671"/>
    <tableColumn id="7672" xr3:uid="{E786FBFC-9487-4A22-BEF1-D7DD6ED22AB8}" name="Column7672"/>
    <tableColumn id="7673" xr3:uid="{171C97B7-4D8C-4EE8-BAAF-6DFADF3AE664}" name="Column7673"/>
    <tableColumn id="7674" xr3:uid="{E73649B9-161E-4370-8215-D1A7CBCB9B8C}" name="Column7674"/>
    <tableColumn id="7675" xr3:uid="{BA7B95BE-74F4-43BE-9D8F-A2AA53A07FA5}" name="Column7675"/>
    <tableColumn id="7676" xr3:uid="{D70486A6-CEDC-4588-8325-A7148DBC727C}" name="Column7676"/>
    <tableColumn id="7677" xr3:uid="{700ADF1A-FE52-4110-ACC2-4C7AABBB6795}" name="Column7677"/>
    <tableColumn id="7678" xr3:uid="{85B07F59-8463-4176-A598-CA57D2CAFF85}" name="Column7678"/>
    <tableColumn id="7679" xr3:uid="{A3AD16C1-602D-48B4-A38B-818C3FB67084}" name="Column7679"/>
    <tableColumn id="7680" xr3:uid="{1D42C141-105D-4CE0-A94E-DF28F49302AE}" name="Column7680"/>
    <tableColumn id="7681" xr3:uid="{54CBD329-6011-435D-B618-B0347CA0F56F}" name="Column7681"/>
    <tableColumn id="7682" xr3:uid="{1D3CEBA6-8583-4AAB-BEFE-4BCCB6388B0B}" name="Column7682"/>
    <tableColumn id="7683" xr3:uid="{6D6E42B6-3C8D-4CAC-B769-4BCDB0D70A4A}" name="Column7683"/>
    <tableColumn id="7684" xr3:uid="{A894539A-4FC7-4DA6-B541-F8C07A5CF8F9}" name="Column7684"/>
    <tableColumn id="7685" xr3:uid="{A34CDBF5-D346-4BE2-AC8F-A812A1C94544}" name="Column7685"/>
    <tableColumn id="7686" xr3:uid="{C068BC25-A83C-4CBA-AD76-62994442E734}" name="Column7686"/>
    <tableColumn id="7687" xr3:uid="{4EE70750-BE1F-489B-9F3D-1B56D20EA0A4}" name="Column7687"/>
    <tableColumn id="7688" xr3:uid="{58C09A32-7FDB-44B3-82F8-EC41D1A94CD7}" name="Column7688"/>
    <tableColumn id="7689" xr3:uid="{85A237FA-31BD-4CEB-8BAC-3957711527D7}" name="Column7689"/>
    <tableColumn id="7690" xr3:uid="{821C8829-8BB7-4F03-B160-CC54E3920386}" name="Column7690"/>
    <tableColumn id="7691" xr3:uid="{D977E841-D0B4-49B3-83A3-186D53E65ED7}" name="Column7691"/>
    <tableColumn id="7692" xr3:uid="{0D0EC068-3201-41DF-858C-315D06E3F97A}" name="Column7692"/>
    <tableColumn id="7693" xr3:uid="{4AE02238-6A12-4EBC-8268-D75DC77B6549}" name="Column7693"/>
    <tableColumn id="7694" xr3:uid="{3D7CD2A7-8C54-4CBC-895E-1D4BA9C28FCF}" name="Column7694"/>
    <tableColumn id="7695" xr3:uid="{DE6663AB-B7F6-4C2D-BF23-E067B12CB228}" name="Column7695"/>
    <tableColumn id="7696" xr3:uid="{3D79734C-CBEB-4D44-B74B-F19E5EB8AE51}" name="Column7696"/>
    <tableColumn id="7697" xr3:uid="{F5C2C92A-6227-489F-8469-4A25835F2DAF}" name="Column7697"/>
    <tableColumn id="7698" xr3:uid="{F4A91961-3EF0-476E-B1D7-7C407D31274B}" name="Column7698"/>
    <tableColumn id="7699" xr3:uid="{3CA805D8-AA3C-44BC-A3AD-0BC3ED9D0875}" name="Column7699"/>
    <tableColumn id="7700" xr3:uid="{3C177D1A-D25D-4620-935A-B5735FC3B65E}" name="Column7700"/>
    <tableColumn id="7701" xr3:uid="{1CF98919-9865-4F97-B9D8-04CCAEF28404}" name="Column7701"/>
    <tableColumn id="7702" xr3:uid="{61F618D2-BD12-4357-AA2D-165CAC62E4AF}" name="Column7702"/>
    <tableColumn id="7703" xr3:uid="{C7FA4166-C449-46CB-991D-8D4BAA5D495E}" name="Column7703"/>
    <tableColumn id="7704" xr3:uid="{FCF8AD90-1188-4BF4-9576-F6505384C4DD}" name="Column7704"/>
    <tableColumn id="7705" xr3:uid="{09262A2B-0E0C-4C4B-BDC6-1195373743F7}" name="Column7705"/>
    <tableColumn id="7706" xr3:uid="{13546F53-7E33-4D12-B9EF-E686A38E7848}" name="Column7706"/>
    <tableColumn id="7707" xr3:uid="{9724DFEF-2C65-4830-A90B-881A3618A93D}" name="Column7707"/>
    <tableColumn id="7708" xr3:uid="{3D848EB4-1642-4E66-AE9D-F549130AB710}" name="Column7708"/>
    <tableColumn id="7709" xr3:uid="{55DF627C-2CC2-4B1A-9FC6-D44737ECF82D}" name="Column7709"/>
    <tableColumn id="7710" xr3:uid="{8AF3B146-7F0C-4E33-AACD-8FD56D183392}" name="Column7710"/>
    <tableColumn id="7711" xr3:uid="{3F45DB9D-31E7-4D5E-A8E1-BA0258CFACB7}" name="Column7711"/>
    <tableColumn id="7712" xr3:uid="{CBEFF810-C7E1-4238-94FC-EEBDC41805BC}" name="Column7712"/>
    <tableColumn id="7713" xr3:uid="{A722C1DD-DFCA-4D92-B4DC-C041FD124C3D}" name="Column7713"/>
    <tableColumn id="7714" xr3:uid="{EE53FF58-82A6-4AEC-82CB-859B4F893B3D}" name="Column7714"/>
    <tableColumn id="7715" xr3:uid="{C659479D-2E6F-44B6-A343-021654EA9E0F}" name="Column7715"/>
    <tableColumn id="7716" xr3:uid="{00DEFDD9-4EF1-4141-9A48-BC9147CEFC36}" name="Column7716"/>
    <tableColumn id="7717" xr3:uid="{A1361E72-F5FE-494D-BF4F-844C8A1345BD}" name="Column7717"/>
    <tableColumn id="7718" xr3:uid="{2748D6D5-1613-466B-8390-E9600BC666B7}" name="Column7718"/>
    <tableColumn id="7719" xr3:uid="{A18D674A-BD06-4288-8C79-C3EA6F59658C}" name="Column7719"/>
    <tableColumn id="7720" xr3:uid="{4E3F7DF9-B72C-4159-87D1-BF9251DB843F}" name="Column7720"/>
    <tableColumn id="7721" xr3:uid="{36C9C226-7111-4143-BDA4-89A829A63233}" name="Column7721"/>
    <tableColumn id="7722" xr3:uid="{6530FAB5-25BA-4BB7-B968-115C2AC0A813}" name="Column7722"/>
    <tableColumn id="7723" xr3:uid="{4C164CE6-CEE1-4632-8FB8-4CD5D600BB3E}" name="Column7723"/>
    <tableColumn id="7724" xr3:uid="{D6AAC2BE-A165-471C-A436-C40176B12C48}" name="Column7724"/>
    <tableColumn id="7725" xr3:uid="{79AA2E25-5C5B-43F1-996B-DFDED1D9323E}" name="Column7725"/>
    <tableColumn id="7726" xr3:uid="{61D16DAF-3A37-43AB-B87D-B7D6A6FD5C69}" name="Column7726"/>
    <tableColumn id="7727" xr3:uid="{4ED99670-7B8F-4D39-AE4D-B3CAF7128CA8}" name="Column7727"/>
    <tableColumn id="7728" xr3:uid="{A2021F8E-30E8-4F5C-85BD-12226EAB4FEA}" name="Column7728"/>
    <tableColumn id="7729" xr3:uid="{8F1B22E7-3BE9-4E73-88EA-8491948E2957}" name="Column7729"/>
    <tableColumn id="7730" xr3:uid="{7BB7AAA3-6765-4208-AEF9-1460021767CD}" name="Column7730"/>
    <tableColumn id="7731" xr3:uid="{A740863F-6DE6-42DC-9CCF-023198D4F768}" name="Column7731"/>
    <tableColumn id="7732" xr3:uid="{76FEA83F-37BD-4CBD-9196-64BBD139C89E}" name="Column7732"/>
    <tableColumn id="7733" xr3:uid="{5D982C40-E80D-4D07-B862-5624F48C9A9E}" name="Column7733"/>
    <tableColumn id="7734" xr3:uid="{7ECA30B9-3478-4E7A-862F-FE9025013246}" name="Column7734"/>
    <tableColumn id="7735" xr3:uid="{1CA20C10-14B2-4743-9106-DA367C95D6EA}" name="Column7735"/>
    <tableColumn id="7736" xr3:uid="{4ED934F4-A0CD-4EB6-8E82-1A0C4806610D}" name="Column7736"/>
    <tableColumn id="7737" xr3:uid="{4DF84A1F-7F48-440E-8BC2-BD1C0CC8C7F8}" name="Column7737"/>
    <tableColumn id="7738" xr3:uid="{9FC1D9C8-39DB-492D-B7A4-72528835162B}" name="Column7738"/>
    <tableColumn id="7739" xr3:uid="{19BCCAB6-A477-48C3-96F2-E179777CC36C}" name="Column7739"/>
    <tableColumn id="7740" xr3:uid="{10CC4883-97D0-43FB-A887-108711540482}" name="Column7740"/>
    <tableColumn id="7741" xr3:uid="{A6C9121D-086D-4B67-BD37-C3211D64BDB7}" name="Column7741"/>
    <tableColumn id="7742" xr3:uid="{C989B923-DEDA-48E7-96E3-940C23636DE2}" name="Column7742"/>
    <tableColumn id="7743" xr3:uid="{6438F29F-1C30-463B-AB98-86294FDE730C}" name="Column7743"/>
    <tableColumn id="7744" xr3:uid="{E7D3A071-BE1F-4849-B391-38E6D4785F38}" name="Column7744"/>
    <tableColumn id="7745" xr3:uid="{3F1DD8B2-2FC5-4E15-AEA1-5CDB884FB1A0}" name="Column7745"/>
    <tableColumn id="7746" xr3:uid="{6F4B1D46-FD57-4BD3-A071-1F8EF3E77EC1}" name="Column7746"/>
    <tableColumn id="7747" xr3:uid="{7BB155DC-189B-408F-A8F9-03A30D694BBF}" name="Column7747"/>
    <tableColumn id="7748" xr3:uid="{629C0766-B564-4B07-B95C-0902B4724352}" name="Column7748"/>
    <tableColumn id="7749" xr3:uid="{9BCEFAD5-EFF1-4D6A-BD69-827D79E2E807}" name="Column7749"/>
    <tableColumn id="7750" xr3:uid="{EF552A88-8ECA-40E1-AA63-FEF9B84FBEAD}" name="Column7750"/>
    <tableColumn id="7751" xr3:uid="{0E4D81D7-95BD-467D-AAD7-0831A579C23B}" name="Column7751"/>
    <tableColumn id="7752" xr3:uid="{C917927C-0C64-434E-BA69-7C2F6E6E1AA3}" name="Column7752"/>
    <tableColumn id="7753" xr3:uid="{7B327C9B-B27F-4EB8-8D07-601F58860BF9}" name="Column7753"/>
    <tableColumn id="7754" xr3:uid="{7B1D6222-7CB9-4624-AA6D-E38257D1C382}" name="Column7754"/>
    <tableColumn id="7755" xr3:uid="{D0A544D1-BBFE-4E70-B061-80EA686528E0}" name="Column7755"/>
    <tableColumn id="7756" xr3:uid="{304B678E-67DE-4199-97E9-D667FD5AD0BF}" name="Column7756"/>
    <tableColumn id="7757" xr3:uid="{05E1BF8C-9BEA-4023-87F6-2952BD65275B}" name="Column7757"/>
    <tableColumn id="7758" xr3:uid="{20AFAD7B-04D7-4209-B59F-481268E2852C}" name="Column7758"/>
    <tableColumn id="7759" xr3:uid="{4CC2BD87-5159-4E7D-B38A-EFEC200F68EB}" name="Column7759"/>
    <tableColumn id="7760" xr3:uid="{2911C246-7763-4DBD-9B4C-12C974B8228D}" name="Column7760"/>
    <tableColumn id="7761" xr3:uid="{AEDA2786-9E06-48E9-905A-E2BCBADC58AE}" name="Column7761"/>
    <tableColumn id="7762" xr3:uid="{E367E2EC-4857-4689-8A17-32EA180734FD}" name="Column7762"/>
    <tableColumn id="7763" xr3:uid="{100F998B-FBDD-4204-946D-6F7BBA0C7BDC}" name="Column7763"/>
    <tableColumn id="7764" xr3:uid="{8CF9B59A-D527-46BA-A6E7-F3D6DF97BA4A}" name="Column7764"/>
    <tableColumn id="7765" xr3:uid="{9D40DB4B-8895-4CDA-B537-DA4A3740C4D5}" name="Column7765"/>
    <tableColumn id="7766" xr3:uid="{91C33DC0-EE87-4E2B-86F8-3C0E97EF9B66}" name="Column7766"/>
    <tableColumn id="7767" xr3:uid="{01392998-DAE0-4979-BC65-AAF91AFF9431}" name="Column7767"/>
    <tableColumn id="7768" xr3:uid="{BD4ED766-F715-446A-A22B-27C6FD51CC48}" name="Column7768"/>
    <tableColumn id="7769" xr3:uid="{AB8109EA-BB82-493D-AA02-9CA127947821}" name="Column7769"/>
    <tableColumn id="7770" xr3:uid="{DF9EFCAF-08F4-4F93-B542-306A2BC33085}" name="Column7770"/>
    <tableColumn id="7771" xr3:uid="{77681C07-6103-406F-8ADB-555E6A297ECD}" name="Column7771"/>
    <tableColumn id="7772" xr3:uid="{AA91CA84-7F96-45E6-B08E-26153A08BAA5}" name="Column7772"/>
    <tableColumn id="7773" xr3:uid="{F03F9335-D160-4241-9CE8-A521EF8EEA72}" name="Column7773"/>
    <tableColumn id="7774" xr3:uid="{1ADD6892-FC71-4845-AEFC-28B545AFA14A}" name="Column7774"/>
    <tableColumn id="7775" xr3:uid="{B5AEEFF7-70C1-4496-B8A8-97E5FF3523F9}" name="Column7775"/>
    <tableColumn id="7776" xr3:uid="{ABDC4EF6-CBCA-4249-A7FD-6809A14B54D9}" name="Column7776"/>
    <tableColumn id="7777" xr3:uid="{E409DD92-219D-48B1-A0A2-56C802E8DB1A}" name="Column7777"/>
    <tableColumn id="7778" xr3:uid="{CAB3C24C-BBEF-4E97-A55A-1A0D51901150}" name="Column7778"/>
    <tableColumn id="7779" xr3:uid="{31F97DDA-352B-4A7D-A6CB-50F2DDD040E6}" name="Column7779"/>
    <tableColumn id="7780" xr3:uid="{9665D0B4-DEC5-44D2-AF15-64C0D9221594}" name="Column7780"/>
    <tableColumn id="7781" xr3:uid="{ED441112-D3BF-49A6-AE7A-970752BBFC75}" name="Column7781"/>
    <tableColumn id="7782" xr3:uid="{3E3CE599-BC9C-4733-B7EC-CD95D5FEBDD0}" name="Column7782"/>
    <tableColumn id="7783" xr3:uid="{D280B924-521B-4917-B35B-2303D72D273D}" name="Column7783"/>
    <tableColumn id="7784" xr3:uid="{924C5403-5C65-4D71-9E87-DFBEE84D2753}" name="Column7784"/>
    <tableColumn id="7785" xr3:uid="{26589818-2504-4262-B3A9-E597581CE243}" name="Column7785"/>
    <tableColumn id="7786" xr3:uid="{87457B8D-F8A3-44BF-8DB3-AF24CCF33665}" name="Column7786"/>
    <tableColumn id="7787" xr3:uid="{55C486F7-A8C9-4BCE-8DAB-3417D0A10A51}" name="Column7787"/>
    <tableColumn id="7788" xr3:uid="{CB963E2C-6E6B-4B78-8BB0-5B38C16654E6}" name="Column7788"/>
    <tableColumn id="7789" xr3:uid="{E005873A-D40F-46D0-AC9A-1A79840565E4}" name="Column7789"/>
    <tableColumn id="7790" xr3:uid="{2676A698-BF1E-4D6B-9C1D-6F2C11F93C6A}" name="Column7790"/>
    <tableColumn id="7791" xr3:uid="{EEB99CB9-8A7E-4DC4-A334-FD92109260AB}" name="Column7791"/>
    <tableColumn id="7792" xr3:uid="{D31AC9DA-FEC7-4B73-A908-3C90E82F692A}" name="Column7792"/>
    <tableColumn id="7793" xr3:uid="{3B6BE0EB-A5C6-4E8A-BCCD-8627C985FB8A}" name="Column7793"/>
    <tableColumn id="7794" xr3:uid="{0238CFCE-D90B-44D6-9B63-F02D165FBF80}" name="Column7794"/>
    <tableColumn id="7795" xr3:uid="{BA3BA0C1-71F5-4119-90E1-8C8C0D519953}" name="Column7795"/>
    <tableColumn id="7796" xr3:uid="{E74DC02F-89BE-4304-8ABB-D76A234C47D2}" name="Column7796"/>
    <tableColumn id="7797" xr3:uid="{4DCAE72E-F5E6-4EEA-9D0D-1000E7A203BE}" name="Column7797"/>
    <tableColumn id="7798" xr3:uid="{627E5DB5-9B1B-45C8-83DA-0368853E6D58}" name="Column7798"/>
    <tableColumn id="7799" xr3:uid="{46D788EC-F538-4EF6-B5DE-C3D416A2B132}" name="Column7799"/>
    <tableColumn id="7800" xr3:uid="{4C959F37-D8EA-4296-A376-A2377AD651A3}" name="Column7800"/>
    <tableColumn id="7801" xr3:uid="{38142533-4D8F-454A-A076-B948E23BBAE4}" name="Column7801"/>
    <tableColumn id="7802" xr3:uid="{03891AC2-FAFC-41F6-86D4-4309F9C3F790}" name="Column7802"/>
    <tableColumn id="7803" xr3:uid="{1A25AC69-D0CE-4C50-B2E7-6AA1684DA2D5}" name="Column7803"/>
    <tableColumn id="7804" xr3:uid="{FDD37F8A-0D14-46B7-AC38-B03441D213D9}" name="Column7804"/>
    <tableColumn id="7805" xr3:uid="{A12461E2-0FC5-4CC6-9EA9-3CFDC0646287}" name="Column7805"/>
    <tableColumn id="7806" xr3:uid="{19AE46C1-FE1D-497F-AC54-CF065E507C02}" name="Column7806"/>
    <tableColumn id="7807" xr3:uid="{F8FE26B7-8FB9-4ACE-8A97-ABF3083ABCF0}" name="Column7807"/>
    <tableColumn id="7808" xr3:uid="{472374C2-1CD6-4731-8600-D4ED1E6B115E}" name="Column7808"/>
    <tableColumn id="7809" xr3:uid="{80B5F011-C08E-4DC2-89B7-0B06CBEF9B3C}" name="Column7809"/>
    <tableColumn id="7810" xr3:uid="{F0939475-EF8C-4303-9FDE-9FD4DC8080E0}" name="Column7810"/>
    <tableColumn id="7811" xr3:uid="{DC913615-372B-4F33-8844-7E1A6BB041AA}" name="Column7811"/>
    <tableColumn id="7812" xr3:uid="{6D62C746-5896-4505-9944-9DD38BDBC163}" name="Column7812"/>
    <tableColumn id="7813" xr3:uid="{CDE94EEB-55E7-4BD4-8850-9BC4F2500D92}" name="Column7813"/>
    <tableColumn id="7814" xr3:uid="{D73B8652-E8DC-4059-8A75-7D79011E831D}" name="Column7814"/>
    <tableColumn id="7815" xr3:uid="{B0A1AA2A-A7B9-42B5-BA55-513BA4EFCC7B}" name="Column7815"/>
    <tableColumn id="7816" xr3:uid="{35B939FF-0C83-4DB5-80EF-1ED0FDFF88BB}" name="Column7816"/>
    <tableColumn id="7817" xr3:uid="{710CC9B5-3E6E-42AC-B8AA-4A13B62635C7}" name="Column7817"/>
    <tableColumn id="7818" xr3:uid="{E666922E-15BA-4151-8463-8D7990C1D9CA}" name="Column7818"/>
    <tableColumn id="7819" xr3:uid="{9D115700-18EE-4357-BE98-B16CC5FDF435}" name="Column7819"/>
    <tableColumn id="7820" xr3:uid="{F87F77D0-2990-4926-A3CD-D808D3D11D38}" name="Column7820"/>
    <tableColumn id="7821" xr3:uid="{717E3E53-6B3E-4CC6-8280-5D380507C4CF}" name="Column7821"/>
    <tableColumn id="7822" xr3:uid="{DBF3A11D-1C4A-4A91-9665-724A5B0ABD6C}" name="Column7822"/>
    <tableColumn id="7823" xr3:uid="{58D7F727-62CA-4AF6-9E10-3726BAE1D374}" name="Column7823"/>
    <tableColumn id="7824" xr3:uid="{9C0B09A5-DE17-476A-9560-A0FED8B6F03F}" name="Column7824"/>
    <tableColumn id="7825" xr3:uid="{3860F7BB-D004-4B2D-BDE5-90FBBFD7303A}" name="Column7825"/>
    <tableColumn id="7826" xr3:uid="{CF71378E-A3E0-48E4-A124-9A1403570A46}" name="Column7826"/>
    <tableColumn id="7827" xr3:uid="{F89B834D-68AD-434D-A775-7C035E69D755}" name="Column7827"/>
    <tableColumn id="7828" xr3:uid="{327B1FF1-6F8D-45D6-827E-EFFA35A69856}" name="Column7828"/>
    <tableColumn id="7829" xr3:uid="{2BE8AA69-67D0-4BAB-983D-4393249694D0}" name="Column7829"/>
    <tableColumn id="7830" xr3:uid="{EF325B00-D704-45C4-8A57-D66AAC94DB0E}" name="Column7830"/>
    <tableColumn id="7831" xr3:uid="{4E63EE36-648D-4F18-8123-23219BB958B9}" name="Column7831"/>
    <tableColumn id="7832" xr3:uid="{D5CA3053-726F-44B5-B048-D9E003808C4E}" name="Column7832"/>
    <tableColumn id="7833" xr3:uid="{6D03167E-96C2-49C9-BB3A-2474217BD64F}" name="Column7833"/>
    <tableColumn id="7834" xr3:uid="{B06A2BD5-EFD6-4DBB-BFFF-C15712FD1904}" name="Column7834"/>
    <tableColumn id="7835" xr3:uid="{E255C6B3-0289-4B06-917D-8F0374DE731E}" name="Column7835"/>
    <tableColumn id="7836" xr3:uid="{37BFF1D3-D265-4ADD-9620-B4C56054ED6F}" name="Column7836"/>
    <tableColumn id="7837" xr3:uid="{C44768E3-6419-400A-B232-5BE4DD4BCD15}" name="Column7837"/>
    <tableColumn id="7838" xr3:uid="{D19BAF16-5194-4B44-BA4A-0FCD333B4D6F}" name="Column7838"/>
    <tableColumn id="7839" xr3:uid="{486CA10C-7D18-4DDA-8170-05F48C1692A2}" name="Column7839"/>
    <tableColumn id="7840" xr3:uid="{199FCECF-9D4E-4BE6-88B3-4E2B663493E7}" name="Column7840"/>
    <tableColumn id="7841" xr3:uid="{7B3FF391-8B4B-403A-8123-7255564799C9}" name="Column7841"/>
    <tableColumn id="7842" xr3:uid="{DADACC41-7C2B-449D-8135-A227BC35ED0E}" name="Column7842"/>
    <tableColumn id="7843" xr3:uid="{B31B2521-6A7D-49F2-9911-27357B870091}" name="Column7843"/>
    <tableColumn id="7844" xr3:uid="{7357FA99-C8A7-469B-80FA-4A5C05A89AC7}" name="Column7844"/>
    <tableColumn id="7845" xr3:uid="{253972A0-197D-442F-A8AE-B17007A1E993}" name="Column7845"/>
    <tableColumn id="7846" xr3:uid="{59014ABC-176C-4247-A387-CCAD718A41DF}" name="Column7846"/>
    <tableColumn id="7847" xr3:uid="{3186EF2B-EB48-493A-B3FD-A0EB53246309}" name="Column7847"/>
    <tableColumn id="7848" xr3:uid="{BCF88A4A-264D-449C-ACBA-E68FF80D1836}" name="Column7848"/>
    <tableColumn id="7849" xr3:uid="{CD2C65B9-6533-42E6-874D-D8003EFC8ECD}" name="Column7849"/>
    <tableColumn id="7850" xr3:uid="{AB3CCFEE-B3EE-44DA-A407-F5528A903604}" name="Column7850"/>
    <tableColumn id="7851" xr3:uid="{3DD66957-203A-43F5-BC43-37DB3778E0D7}" name="Column7851"/>
    <tableColumn id="7852" xr3:uid="{7CF80FD8-443F-4DEC-9744-C32F2F6ED020}" name="Column7852"/>
    <tableColumn id="7853" xr3:uid="{FCAAA769-1373-4C03-8AA7-78441DAB0316}" name="Column7853"/>
    <tableColumn id="7854" xr3:uid="{212BB39C-40A7-4BD6-BF71-446A26D97016}" name="Column7854"/>
    <tableColumn id="7855" xr3:uid="{C71B22AA-1109-44D6-BEB6-F34A587212EB}" name="Column7855"/>
    <tableColumn id="7856" xr3:uid="{8694C72D-7E58-4D56-8E66-397A6A27FE31}" name="Column7856"/>
    <tableColumn id="7857" xr3:uid="{AFE4D41F-981F-4795-ABB4-15E1C0129C9C}" name="Column7857"/>
    <tableColumn id="7858" xr3:uid="{4473E2A0-1438-422F-8788-19F42D2C64AE}" name="Column7858"/>
    <tableColumn id="7859" xr3:uid="{0260268E-1B1F-4BA1-955F-321564D49DCA}" name="Column7859"/>
    <tableColumn id="7860" xr3:uid="{0CAF8A68-0A2D-4D9B-B0F7-DCFCAF95C648}" name="Column7860"/>
    <tableColumn id="7861" xr3:uid="{24A048B7-1152-449D-8E82-E07BDA04CFC8}" name="Column7861"/>
    <tableColumn id="7862" xr3:uid="{380ECA94-6E15-49BC-8D72-37778DA47D1F}" name="Column7862"/>
    <tableColumn id="7863" xr3:uid="{286963E9-822B-4EE7-B8BE-589C82B7BA35}" name="Column7863"/>
    <tableColumn id="7864" xr3:uid="{957890BC-FB21-4C5F-B427-12185A0A69B3}" name="Column7864"/>
    <tableColumn id="7865" xr3:uid="{FB512A87-7FA8-4E0D-B062-3819F200AF7C}" name="Column7865"/>
    <tableColumn id="7866" xr3:uid="{A7509ACB-07CD-41E8-A096-E424DD5B40FA}" name="Column7866"/>
    <tableColumn id="7867" xr3:uid="{6713C78E-9A39-49EF-A0F4-DD3838FB65D7}" name="Column7867"/>
    <tableColumn id="7868" xr3:uid="{CF574A2B-E11B-41C9-8BC7-F84011142C48}" name="Column7868"/>
    <tableColumn id="7869" xr3:uid="{C929B00A-04B3-427A-80F7-2FA04E304803}" name="Column7869"/>
    <tableColumn id="7870" xr3:uid="{E397993B-E36A-499B-B8BD-2FD146C45346}" name="Column7870"/>
    <tableColumn id="7871" xr3:uid="{76989443-45E4-46F4-93DA-AA457BA51D7C}" name="Column7871"/>
    <tableColumn id="7872" xr3:uid="{6A2E6F22-F6FD-44BC-8883-D8A24CFB3F5C}" name="Column7872"/>
    <tableColumn id="7873" xr3:uid="{665DC55A-5D40-4F26-97C3-B062F4F06EE1}" name="Column7873"/>
    <tableColumn id="7874" xr3:uid="{6E159A7B-B462-49A8-BF09-60069E764C6C}" name="Column7874"/>
    <tableColumn id="7875" xr3:uid="{0F14CF51-BE36-4F9A-8A00-5C4623F72ECA}" name="Column7875"/>
    <tableColumn id="7876" xr3:uid="{C1FF5147-FF52-47B3-8B4D-D33671AC289E}" name="Column7876"/>
    <tableColumn id="7877" xr3:uid="{E7EDF197-8D49-44B4-AC44-9A8566041B8A}" name="Column7877"/>
    <tableColumn id="7878" xr3:uid="{AEF78EA0-787E-44B4-AE29-A618C4D9E702}" name="Column7878"/>
    <tableColumn id="7879" xr3:uid="{D4157BCC-E1A2-4691-A478-43B7569CC4AF}" name="Column7879"/>
    <tableColumn id="7880" xr3:uid="{659249DF-A9EA-4309-AD4B-1229DA5B46AB}" name="Column7880"/>
    <tableColumn id="7881" xr3:uid="{300427E8-9203-475F-8C0D-D3813472789E}" name="Column7881"/>
    <tableColumn id="7882" xr3:uid="{2212C95F-B4DD-4E4F-936D-AD78545DBB71}" name="Column7882"/>
    <tableColumn id="7883" xr3:uid="{8EBB308F-3EFB-4571-A683-CF7E27AAC632}" name="Column7883"/>
    <tableColumn id="7884" xr3:uid="{11A49823-C8E4-42A0-8CBD-648BB1EE94AC}" name="Column7884"/>
    <tableColumn id="7885" xr3:uid="{D45A31BC-4717-4020-9A8D-CC55B89E2F36}" name="Column7885"/>
    <tableColumn id="7886" xr3:uid="{2D64DE44-3552-4433-B74D-F75483B8D551}" name="Column7886"/>
    <tableColumn id="7887" xr3:uid="{D711E37E-E26F-4ECD-83B8-57633F0A69C5}" name="Column7887"/>
    <tableColumn id="7888" xr3:uid="{EB79AB1E-8FB9-4FD3-8D75-9F033D898EB7}" name="Column7888"/>
    <tableColumn id="7889" xr3:uid="{ED118396-BD8A-4D50-A773-2C7B3383904D}" name="Column7889"/>
    <tableColumn id="7890" xr3:uid="{D50735C4-5313-498E-A4C7-0AEC4C90A143}" name="Column7890"/>
    <tableColumn id="7891" xr3:uid="{046CC26C-3D1D-496F-9D1B-2E6FAF733C71}" name="Column7891"/>
    <tableColumn id="7892" xr3:uid="{824DF680-AF1B-4C93-BDA1-79CC8F217DE7}" name="Column7892"/>
    <tableColumn id="7893" xr3:uid="{460D6767-78EB-4D91-9210-CA327BDE9DF7}" name="Column7893"/>
    <tableColumn id="7894" xr3:uid="{7BC7EE55-00CB-4A9B-BD1F-3EE2595593C2}" name="Column7894"/>
    <tableColumn id="7895" xr3:uid="{F83A7FEF-E013-481B-83B3-FE479BF7618E}" name="Column7895"/>
    <tableColumn id="7896" xr3:uid="{7F993614-BAC7-47C1-BE91-18F55C9F04C9}" name="Column7896"/>
    <tableColumn id="7897" xr3:uid="{DEB4C035-88B4-452A-A410-8B0BC3445A3F}" name="Column7897"/>
    <tableColumn id="7898" xr3:uid="{83A5198E-2A7F-4D00-92D5-33BA380D3F96}" name="Column7898"/>
    <tableColumn id="7899" xr3:uid="{55E2CFCC-5055-4A20-9CA2-EC91EC154C45}" name="Column7899"/>
    <tableColumn id="7900" xr3:uid="{7506E8AD-9C85-4370-ACFC-7DF95B695D0A}" name="Column7900"/>
    <tableColumn id="7901" xr3:uid="{0AC5726E-9A17-41EF-80DC-F3433BD75EF0}" name="Column7901"/>
    <tableColumn id="7902" xr3:uid="{E2893DC0-A8C1-428D-BCDF-5E7A0F49F87F}" name="Column7902"/>
    <tableColumn id="7903" xr3:uid="{8B296D78-6DE4-4E3F-8DF8-32B5D2695473}" name="Column7903"/>
    <tableColumn id="7904" xr3:uid="{7DE048AD-E9FD-4045-B703-AADC4BD20D95}" name="Column7904"/>
    <tableColumn id="7905" xr3:uid="{5FF34D07-307F-43E6-B5DA-FCA6DCECE995}" name="Column7905"/>
    <tableColumn id="7906" xr3:uid="{638C3892-9C23-4291-AED4-1DD2E374A109}" name="Column7906"/>
    <tableColumn id="7907" xr3:uid="{DBB9B898-68ED-49DB-BDE2-4F16DFAA9E85}" name="Column7907"/>
    <tableColumn id="7908" xr3:uid="{163FE6B5-2AA2-4FEA-AC7B-331CB16F7A27}" name="Column7908"/>
    <tableColumn id="7909" xr3:uid="{54E3BD0E-F2FB-4F1E-93C6-34668A073B1F}" name="Column7909"/>
    <tableColumn id="7910" xr3:uid="{38945789-EA93-4BB9-80D3-65F46A2BA086}" name="Column7910"/>
    <tableColumn id="7911" xr3:uid="{8B3A890E-76E7-4603-A3C2-B7D86EC7F720}" name="Column7911"/>
    <tableColumn id="7912" xr3:uid="{325C245B-79D2-4D50-AECE-9692722DD8E2}" name="Column7912"/>
    <tableColumn id="7913" xr3:uid="{65126DBA-3677-45D3-A437-06886DDE3672}" name="Column7913"/>
    <tableColumn id="7914" xr3:uid="{0F9E1B29-C04F-4C42-8CAD-AB056B605D92}" name="Column7914"/>
    <tableColumn id="7915" xr3:uid="{00BE1086-EC56-4CAE-A5BF-C9353FFC8EC6}" name="Column7915"/>
    <tableColumn id="7916" xr3:uid="{6A036BCD-67F6-4DDD-B509-F1F830488A4D}" name="Column7916"/>
    <tableColumn id="7917" xr3:uid="{337B31A9-63FC-4E79-8058-40F9A16F75E1}" name="Column7917"/>
    <tableColumn id="7918" xr3:uid="{FDA4235E-056F-46D1-8673-3DD123AEBA29}" name="Column7918"/>
    <tableColumn id="7919" xr3:uid="{933A31BC-42E9-4CC6-AB09-EE64E6A47A3B}" name="Column7919"/>
    <tableColumn id="7920" xr3:uid="{09E5AB72-181A-4EE0-B82D-44EA84011A5C}" name="Column7920"/>
    <tableColumn id="7921" xr3:uid="{746A178D-900F-40BF-B0AF-924002ADB0BE}" name="Column7921"/>
    <tableColumn id="7922" xr3:uid="{AE330453-F495-4B55-B4C6-BCD9360CE73D}" name="Column7922"/>
    <tableColumn id="7923" xr3:uid="{5276A9DE-F6DE-4A16-9D09-76D78F99244C}" name="Column7923"/>
    <tableColumn id="7924" xr3:uid="{487D9ADB-3270-42F1-8A98-02FBD164DECF}" name="Column7924"/>
    <tableColumn id="7925" xr3:uid="{71F47A84-915E-4C83-BB1F-C2AD766ECD92}" name="Column7925"/>
    <tableColumn id="7926" xr3:uid="{C1333479-D028-49D8-99A6-A84E631B22E3}" name="Column7926"/>
    <tableColumn id="7927" xr3:uid="{968C1A66-7FA6-423F-B939-D455CC318427}" name="Column7927"/>
    <tableColumn id="7928" xr3:uid="{08A66192-3AA3-426D-BBF0-881DE873F64F}" name="Column7928"/>
    <tableColumn id="7929" xr3:uid="{E23E5914-E1B0-4473-BAF3-27401F9D98DC}" name="Column7929"/>
    <tableColumn id="7930" xr3:uid="{2D890BB0-BF4D-4920-A15D-159AFC9E475D}" name="Column7930"/>
    <tableColumn id="7931" xr3:uid="{94A2AFB4-824A-4119-B39F-4CA0DC13DF6B}" name="Column7931"/>
    <tableColumn id="7932" xr3:uid="{E3E6C4AD-BFF3-4697-8C70-93F734146C62}" name="Column7932"/>
    <tableColumn id="7933" xr3:uid="{1B79AAEB-0369-4C1E-9438-24F03D10B4DA}" name="Column7933"/>
    <tableColumn id="7934" xr3:uid="{2663A732-9C8C-48D0-9BD3-E75B2FA16950}" name="Column7934"/>
    <tableColumn id="7935" xr3:uid="{DEBF3DF6-17C3-4220-8EEE-55F1B278B47C}" name="Column7935"/>
    <tableColumn id="7936" xr3:uid="{205EF19F-CA4B-4FC0-AACA-CFEB0A622B1A}" name="Column7936"/>
    <tableColumn id="7937" xr3:uid="{6A149429-1C31-4FDF-9703-E8F26491E436}" name="Column7937"/>
    <tableColumn id="7938" xr3:uid="{80597DC7-D637-4B3F-BFFA-3BEE81C8B3A2}" name="Column7938"/>
    <tableColumn id="7939" xr3:uid="{DADD5FBB-0AF7-49F0-AB6D-985CE895A4BF}" name="Column7939"/>
    <tableColumn id="7940" xr3:uid="{60E03845-6809-46DE-B9F2-F6DDAFAB7B19}" name="Column7940"/>
    <tableColumn id="7941" xr3:uid="{8F999C38-DE74-4423-B156-22AC13EEB7B2}" name="Column7941"/>
    <tableColumn id="7942" xr3:uid="{7FFFDC27-9C7A-41FB-83E3-7DB4A81974EC}" name="Column7942"/>
    <tableColumn id="7943" xr3:uid="{8A0F0C8D-F6B8-40ED-A774-601600E4F59B}" name="Column7943"/>
    <tableColumn id="7944" xr3:uid="{48C13003-36CD-4375-9F61-5D1A1E8D7281}" name="Column7944"/>
    <tableColumn id="7945" xr3:uid="{E61E2AE3-B794-4F3A-B83A-1CE642374CFF}" name="Column7945"/>
    <tableColumn id="7946" xr3:uid="{B6D381FA-7093-4C15-B7C7-6BBAB886283F}" name="Column7946"/>
    <tableColumn id="7947" xr3:uid="{4DD0D92D-4D05-4F89-8D92-2AC5E71A2892}" name="Column7947"/>
    <tableColumn id="7948" xr3:uid="{DC572085-B41E-4581-AFFB-1EDFD7493813}" name="Column7948"/>
    <tableColumn id="7949" xr3:uid="{98F7FDA4-CD39-4C91-B035-45025CD143EC}" name="Column7949"/>
    <tableColumn id="7950" xr3:uid="{254EA1ED-96C9-40D0-804C-2AB40DAD326B}" name="Column7950"/>
    <tableColumn id="7951" xr3:uid="{FA69BE4C-644D-4AB9-9779-0CAEC2E0433C}" name="Column7951"/>
    <tableColumn id="7952" xr3:uid="{E2AE8E31-787A-42FB-BD0F-BF9539A68699}" name="Column7952"/>
    <tableColumn id="7953" xr3:uid="{512ABD42-7E28-4748-866F-6463621ED891}" name="Column7953"/>
    <tableColumn id="7954" xr3:uid="{20A47AF6-C342-4FAA-B7A1-C403974A9602}" name="Column7954"/>
    <tableColumn id="7955" xr3:uid="{B5931D50-D2B5-403B-9D7F-6EBD82CEED25}" name="Column7955"/>
    <tableColumn id="7956" xr3:uid="{ADDD69B4-6035-48C7-973B-F138CBEA9670}" name="Column7956"/>
    <tableColumn id="7957" xr3:uid="{5E490812-729A-4A2E-BECF-5BE347A6F3EB}" name="Column7957"/>
    <tableColumn id="7958" xr3:uid="{115D0CD2-40BF-40C8-A9D0-C2063D65A683}" name="Column7958"/>
    <tableColumn id="7959" xr3:uid="{F9E46733-6F1B-4A59-B6E3-1DFD3727B2AB}" name="Column7959"/>
    <tableColumn id="7960" xr3:uid="{389108D0-45CA-4024-BF1A-671534DD1FCE}" name="Column7960"/>
    <tableColumn id="7961" xr3:uid="{76429A67-3266-4924-ACD5-B1805403E7DD}" name="Column7961"/>
    <tableColumn id="7962" xr3:uid="{D1AF0374-BF55-4B6D-AC45-047F076ED565}" name="Column7962"/>
    <tableColumn id="7963" xr3:uid="{7FFF907D-30EE-4A92-A9F2-501469F95BB2}" name="Column7963"/>
    <tableColumn id="7964" xr3:uid="{43BA8C5D-E4D2-47F4-88D2-28333D1781A4}" name="Column7964"/>
    <tableColumn id="7965" xr3:uid="{DC0A90BA-88CF-4160-A1F5-E57417D8A0D4}" name="Column7965"/>
    <tableColumn id="7966" xr3:uid="{EB5C2491-5CDA-4026-AF1E-322337D99A63}" name="Column7966"/>
    <tableColumn id="7967" xr3:uid="{546FBECD-58CE-4288-8C62-D29407941491}" name="Column7967"/>
    <tableColumn id="7968" xr3:uid="{0F11EA6E-529D-4FDF-A73F-5070AC3FD54F}" name="Column7968"/>
    <tableColumn id="7969" xr3:uid="{E7A4B01A-3D32-4BC6-AF84-2210C881878B}" name="Column7969"/>
    <tableColumn id="7970" xr3:uid="{9BF1D93D-E5F9-43A5-843B-83426E3981FC}" name="Column7970"/>
    <tableColumn id="7971" xr3:uid="{F0A87023-0119-40C0-9869-8C4F96FE2FBA}" name="Column7971"/>
    <tableColumn id="7972" xr3:uid="{48935B70-CB38-4D66-87B1-5D65CC713C05}" name="Column7972"/>
    <tableColumn id="7973" xr3:uid="{171917D4-95D8-4E24-A53D-F3085B1C4952}" name="Column7973"/>
    <tableColumn id="7974" xr3:uid="{F977EBD9-385E-4AC9-9E78-51AEC81122A4}" name="Column7974"/>
    <tableColumn id="7975" xr3:uid="{E153F349-C862-4EF9-93B8-5E81C1E00959}" name="Column7975"/>
    <tableColumn id="7976" xr3:uid="{E1800C28-0496-4472-BB06-E6132167B905}" name="Column7976"/>
    <tableColumn id="7977" xr3:uid="{948FBB5B-0178-422D-A747-82A11A640234}" name="Column7977"/>
    <tableColumn id="7978" xr3:uid="{1249F59F-4FE2-45E9-B502-16B79923EB5D}" name="Column7978"/>
    <tableColumn id="7979" xr3:uid="{01A6E1ED-A5AA-45B8-A4EE-93A503C93BD6}" name="Column7979"/>
    <tableColumn id="7980" xr3:uid="{8843E735-65B0-4AE7-B1C1-01623A592680}" name="Column7980"/>
    <tableColumn id="7981" xr3:uid="{055F88D4-94E4-447B-9DEC-E9190AB882F8}" name="Column7981"/>
    <tableColumn id="7982" xr3:uid="{02B69807-0505-46DA-B7E7-21015A5AED0D}" name="Column7982"/>
    <tableColumn id="7983" xr3:uid="{3536506D-2D82-4E9A-8AF4-625F95B77AB6}" name="Column7983"/>
    <tableColumn id="7984" xr3:uid="{11D34F23-C4DB-41DF-BE65-C6204F1AF16C}" name="Column7984"/>
    <tableColumn id="7985" xr3:uid="{B6D8F7C2-B365-434E-B520-10DBC2534400}" name="Column7985"/>
    <tableColumn id="7986" xr3:uid="{C4DBCB4A-46B3-437B-84A3-BF54FA70EF1E}" name="Column7986"/>
    <tableColumn id="7987" xr3:uid="{0C74E0E7-486D-472E-A26D-B00162FB9F72}" name="Column7987"/>
    <tableColumn id="7988" xr3:uid="{5E30AFB6-9E5E-4A27-81AC-453D8154492C}" name="Column7988"/>
    <tableColumn id="7989" xr3:uid="{C559EF6E-8285-4994-A79F-9DD9724AB15B}" name="Column7989"/>
    <tableColumn id="7990" xr3:uid="{B3F21B6A-7CD9-4709-8050-1D13B4EACC30}" name="Column7990"/>
    <tableColumn id="7991" xr3:uid="{2DD24F65-9269-4A03-85F2-62C1FFCAC521}" name="Column7991"/>
    <tableColumn id="7992" xr3:uid="{3DA52840-2ABB-4F67-8765-D67C36D3B58A}" name="Column7992"/>
    <tableColumn id="7993" xr3:uid="{3EE252F3-42B6-4E9C-8B1C-6E33ED3566EA}" name="Column7993"/>
    <tableColumn id="7994" xr3:uid="{08B526DE-C4DB-436E-A597-83C0E9F6CE04}" name="Column7994"/>
    <tableColumn id="7995" xr3:uid="{54A4707D-C731-4E2C-9237-8D4CFB48BC54}" name="Column7995"/>
    <tableColumn id="7996" xr3:uid="{F1E7F666-8986-4D56-B7FB-66E9F04F5CDE}" name="Column7996"/>
    <tableColumn id="7997" xr3:uid="{6C085A6F-ACC4-4C52-A417-DA1CFAF863CF}" name="Column7997"/>
    <tableColumn id="7998" xr3:uid="{304CB3D4-1E0C-4B2D-B4F1-A30AF3AD0FAE}" name="Column7998"/>
    <tableColumn id="7999" xr3:uid="{49D5522B-BFFA-48F3-93A2-915194630F27}" name="Column7999"/>
    <tableColumn id="8000" xr3:uid="{8865806B-56CA-4A59-A55F-DC6B744A2991}" name="Column8000"/>
    <tableColumn id="8001" xr3:uid="{A9499022-BD79-4FA7-999D-7DE46CF1C6E5}" name="Column8001"/>
    <tableColumn id="8002" xr3:uid="{AABD7AFE-BC8A-4C4F-BF8E-80DAE8BC38CF}" name="Column8002"/>
    <tableColumn id="8003" xr3:uid="{DD30597E-0A08-45F7-9A82-B95B787E28B6}" name="Column8003"/>
    <tableColumn id="8004" xr3:uid="{90C6F93B-A7EE-4F53-9B1C-F58CFA3B62A0}" name="Column8004"/>
    <tableColumn id="8005" xr3:uid="{F02DE1D6-B1AA-4C59-908F-27CA1767BCE8}" name="Column8005"/>
    <tableColumn id="8006" xr3:uid="{1EFC28CB-2704-468B-8FB4-6825A2810F92}" name="Column8006"/>
    <tableColumn id="8007" xr3:uid="{ABCBD750-926C-4F50-916F-D6BD090D50B3}" name="Column8007"/>
    <tableColumn id="8008" xr3:uid="{BF0E39D3-153C-47B5-8BFF-73A70A97204D}" name="Column8008"/>
    <tableColumn id="8009" xr3:uid="{3A8BD357-E9CB-4555-A1A9-9D781DE6BA2F}" name="Column8009"/>
    <tableColumn id="8010" xr3:uid="{8E5D398E-6C6C-4606-9801-F10ADB421B93}" name="Column8010"/>
    <tableColumn id="8011" xr3:uid="{21438B1A-CC3D-4982-9F49-68D8AE71538B}" name="Column8011"/>
    <tableColumn id="8012" xr3:uid="{0E6927E9-4834-45CE-9E20-8DD16E01A699}" name="Column8012"/>
    <tableColumn id="8013" xr3:uid="{AAF7C98A-F39E-4DC7-A876-1DB5B7EDAAD7}" name="Column8013"/>
    <tableColumn id="8014" xr3:uid="{9AB6C267-083C-4360-916A-A8FB87DA2785}" name="Column8014"/>
    <tableColumn id="8015" xr3:uid="{EF25BFF4-61A2-4CF5-A79A-98A17D1AF095}" name="Column8015"/>
    <tableColumn id="8016" xr3:uid="{B3F0D0B0-D7E2-4939-9C2A-20DEB188C2D2}" name="Column8016"/>
    <tableColumn id="8017" xr3:uid="{341C2118-6D68-4F17-BA88-4B155B9FAEC1}" name="Column8017"/>
    <tableColumn id="8018" xr3:uid="{DAF26081-1F07-4CD4-9C76-03E4ECB51956}" name="Column8018"/>
    <tableColumn id="8019" xr3:uid="{31887DC6-F67A-4C3A-9FA1-8E6C708765F4}" name="Column8019"/>
    <tableColumn id="8020" xr3:uid="{D73FAF50-D946-4AB3-B631-3A6793C84FCE}" name="Column8020"/>
    <tableColumn id="8021" xr3:uid="{207FB15C-5FA9-42AB-9FAC-7D1A4ED66AA9}" name="Column8021"/>
    <tableColumn id="8022" xr3:uid="{988BB4F4-D1BF-4730-AF88-264E6E46BB48}" name="Column8022"/>
    <tableColumn id="8023" xr3:uid="{A1B9E199-3287-429C-B70F-F23686AA66B2}" name="Column8023"/>
    <tableColumn id="8024" xr3:uid="{42209C88-7A42-463B-B883-B477940B196C}" name="Column8024"/>
    <tableColumn id="8025" xr3:uid="{8274334B-5A82-4915-8555-D622CDBB177A}" name="Column8025"/>
    <tableColumn id="8026" xr3:uid="{236E41D2-6C27-4D85-AC1C-B53D4B0FE442}" name="Column8026"/>
    <tableColumn id="8027" xr3:uid="{342CEBAF-04C9-4896-8ACD-05BB20870046}" name="Column8027"/>
    <tableColumn id="8028" xr3:uid="{64DE001F-8483-4C26-9B64-059B4602C6F2}" name="Column8028"/>
    <tableColumn id="8029" xr3:uid="{C748BC25-45C9-40C0-85AE-A1021F35872E}" name="Column8029"/>
    <tableColumn id="8030" xr3:uid="{3AAD5423-C5A9-4CAE-9F65-DC8D13AE4BB2}" name="Column8030"/>
    <tableColumn id="8031" xr3:uid="{F05A9F59-9F8F-4BBC-A2D3-BE5A67A1D529}" name="Column8031"/>
    <tableColumn id="8032" xr3:uid="{9D9EC5CD-214F-4C0C-AE26-67C3358E8E2F}" name="Column8032"/>
    <tableColumn id="8033" xr3:uid="{80D3B3BF-B7F6-4E33-ACBF-4A1921F481D9}" name="Column8033"/>
    <tableColumn id="8034" xr3:uid="{BD47810D-5143-4699-9EFF-77114A5E80CA}" name="Column8034"/>
    <tableColumn id="8035" xr3:uid="{FFCB8FB3-0241-469B-9DA4-47D865FDA49C}" name="Column8035"/>
    <tableColumn id="8036" xr3:uid="{4A891CE9-017D-49CA-98C8-4C4FC9B5CC74}" name="Column8036"/>
    <tableColumn id="8037" xr3:uid="{0D51656B-F7EF-46E0-AB33-E16A7CB8006C}" name="Column8037"/>
    <tableColumn id="8038" xr3:uid="{5A468D20-3F15-4397-92E6-419C43B97807}" name="Column8038"/>
    <tableColumn id="8039" xr3:uid="{98027884-D765-4275-B43C-B5780A79FFD7}" name="Column8039"/>
    <tableColumn id="8040" xr3:uid="{CADC15D5-82FC-436E-A40D-08367974833F}" name="Column8040"/>
    <tableColumn id="8041" xr3:uid="{49B43E1C-DF10-49BB-B9C5-2C28C9304C31}" name="Column8041"/>
    <tableColumn id="8042" xr3:uid="{B120DAB9-9BB2-48B4-BD12-434F75B3DE44}" name="Column8042"/>
    <tableColumn id="8043" xr3:uid="{DFE1526A-6311-4E33-BCC5-40C479DD5195}" name="Column8043"/>
    <tableColumn id="8044" xr3:uid="{F3EBBBC8-7E0E-4F20-921D-81A3F3BF67C7}" name="Column8044"/>
    <tableColumn id="8045" xr3:uid="{563AEF90-E6D0-4026-8D20-C2E27DF72CBE}" name="Column8045"/>
    <tableColumn id="8046" xr3:uid="{8BD1A3A8-C122-4DC2-843F-85C9DE546C8B}" name="Column8046"/>
    <tableColumn id="8047" xr3:uid="{7F159063-A1DA-4946-B754-0FF121262397}" name="Column8047"/>
    <tableColumn id="8048" xr3:uid="{DAE969AB-4F96-4B27-8A99-D22C593A677B}" name="Column8048"/>
    <tableColumn id="8049" xr3:uid="{C79032F3-6958-42D6-AB30-968DFF166B0A}" name="Column8049"/>
    <tableColumn id="8050" xr3:uid="{5A32B749-F323-4930-95F5-0E6E14CD94F8}" name="Column8050"/>
    <tableColumn id="8051" xr3:uid="{86D0D27B-444B-4F7F-A457-9F209F917454}" name="Column8051"/>
    <tableColumn id="8052" xr3:uid="{97CE4384-3398-4714-8195-8982A3ADF0ED}" name="Column8052"/>
    <tableColumn id="8053" xr3:uid="{0785BA11-6FC8-4AA2-A550-91497E134F14}" name="Column8053"/>
    <tableColumn id="8054" xr3:uid="{47715825-6D90-40DE-B8FE-36B905FE2D34}" name="Column8054"/>
    <tableColumn id="8055" xr3:uid="{1055612D-A62E-42DF-8BE4-44CCC819467E}" name="Column8055"/>
    <tableColumn id="8056" xr3:uid="{D051DFED-9294-4F4A-8EFC-D1862F6724ED}" name="Column8056"/>
    <tableColumn id="8057" xr3:uid="{B30F2732-6F34-4DE2-BB85-162FA8C28833}" name="Column8057"/>
    <tableColumn id="8058" xr3:uid="{3785438B-331F-44C4-8AB2-43B771BB7E29}" name="Column8058"/>
    <tableColumn id="8059" xr3:uid="{7355FEF5-A2CA-475B-9C88-84DA5388AE7C}" name="Column8059"/>
    <tableColumn id="8060" xr3:uid="{4C6DAEC8-8220-4A4A-9203-7F7C77869A89}" name="Column8060"/>
    <tableColumn id="8061" xr3:uid="{DBD72862-0F80-4848-A119-C89666E316C7}" name="Column8061"/>
    <tableColumn id="8062" xr3:uid="{EC5AF96E-1CD0-4784-853C-0C1106797F5A}" name="Column8062"/>
    <tableColumn id="8063" xr3:uid="{05EB2FBB-6944-4B6C-BC11-1638803696E1}" name="Column8063"/>
    <tableColumn id="8064" xr3:uid="{23CD562C-E3E9-4A5B-9BAE-A37F240B998B}" name="Column8064"/>
    <tableColumn id="8065" xr3:uid="{342C087A-213B-4235-A7C9-2D889A58D3D3}" name="Column8065"/>
    <tableColumn id="8066" xr3:uid="{8A30AA56-051D-49DD-A1EA-3F56078322C0}" name="Column8066"/>
    <tableColumn id="8067" xr3:uid="{46FD4EFA-6889-4146-9A03-408C7E5E6B91}" name="Column8067"/>
    <tableColumn id="8068" xr3:uid="{ABA22921-0531-4BE1-A533-95BD85051B70}" name="Column8068"/>
    <tableColumn id="8069" xr3:uid="{E80B0945-4B38-4F09-9FDC-336B4C04BA9F}" name="Column8069"/>
    <tableColumn id="8070" xr3:uid="{14A536B8-FE23-4F88-9FCB-5AB1E5E71F0E}" name="Column8070"/>
    <tableColumn id="8071" xr3:uid="{AE0EB42F-F80E-445E-BA50-A7A2212DD712}" name="Column8071"/>
    <tableColumn id="8072" xr3:uid="{7E8C0004-91D4-4461-9820-B5BA279FF6FC}" name="Column8072"/>
    <tableColumn id="8073" xr3:uid="{59B979E1-72CB-4F26-BF4C-EC5914B51060}" name="Column8073"/>
    <tableColumn id="8074" xr3:uid="{FCB4C423-F78A-4650-B88B-52C1BC7AEC06}" name="Column8074"/>
    <tableColumn id="8075" xr3:uid="{110650BC-996D-4B1A-8354-84E1D7280F07}" name="Column8075"/>
    <tableColumn id="8076" xr3:uid="{746B3338-97E7-49DA-8BBC-2F4469F1EB66}" name="Column8076"/>
    <tableColumn id="8077" xr3:uid="{3A934156-1C7C-4723-BAD1-A9DE2BE782D9}" name="Column8077"/>
    <tableColumn id="8078" xr3:uid="{76D34A19-86DC-4DC1-A78F-DF7F8DB94362}" name="Column8078"/>
    <tableColumn id="8079" xr3:uid="{2D090EB7-01B8-4282-8D10-B5D5EE3A52D8}" name="Column8079"/>
    <tableColumn id="8080" xr3:uid="{28F14A81-5962-4AF1-B3EF-1EC12508B341}" name="Column8080"/>
    <tableColumn id="8081" xr3:uid="{B4B30A3C-22BB-4813-A0E3-AF8218761CA7}" name="Column8081"/>
    <tableColumn id="8082" xr3:uid="{9BE91AD3-3DBF-47D1-92AB-33777E5DDB79}" name="Column8082"/>
    <tableColumn id="8083" xr3:uid="{E08F9F1E-8F57-4C4B-8CA8-D1B1956ED291}" name="Column8083"/>
    <tableColumn id="8084" xr3:uid="{4DD2233D-393B-4680-9847-888FFB661E84}" name="Column8084"/>
    <tableColumn id="8085" xr3:uid="{E1B070A1-3CBD-4D3A-99A5-A62008A05557}" name="Column8085"/>
    <tableColumn id="8086" xr3:uid="{A0118769-4F20-40E0-BDD6-B357EFFA4250}" name="Column8086"/>
    <tableColumn id="8087" xr3:uid="{FE06FFF9-6ACF-482A-BEC7-C20391377603}" name="Column8087"/>
    <tableColumn id="8088" xr3:uid="{3CC7EF07-1051-42BD-B3FE-D0D9F4842C53}" name="Column8088"/>
    <tableColumn id="8089" xr3:uid="{0ED1ED91-2907-4D2C-87D3-FAB6277396F1}" name="Column8089"/>
    <tableColumn id="8090" xr3:uid="{F59049C5-6B02-4A8C-AE49-6D13D6F852DC}" name="Column8090"/>
    <tableColumn id="8091" xr3:uid="{9CAD6B79-032B-477B-BACE-BE87B8A8C260}" name="Column8091"/>
    <tableColumn id="8092" xr3:uid="{04FB59F6-102D-4E8D-860D-EB4D5C7FAE54}" name="Column8092"/>
    <tableColumn id="8093" xr3:uid="{BCBE1B26-5954-4243-B5B6-0D0F561F9D2F}" name="Column8093"/>
    <tableColumn id="8094" xr3:uid="{C88DE27E-F887-47DF-B25F-79BAAD31E825}" name="Column8094"/>
    <tableColumn id="8095" xr3:uid="{2D6A4F40-2EA0-4105-9BE8-497E29B6EFE9}" name="Column8095"/>
    <tableColumn id="8096" xr3:uid="{D54A7EC5-0A9A-4119-B9D1-E55BC2C536B0}" name="Column8096"/>
    <tableColumn id="8097" xr3:uid="{EA0A4F65-F9C0-483F-9D3B-F5A817A31161}" name="Column8097"/>
    <tableColumn id="8098" xr3:uid="{88CF382C-B356-451A-97B7-811477B47A42}" name="Column8098"/>
    <tableColumn id="8099" xr3:uid="{5EE0B19A-8700-45C4-A965-B95F378B8F6F}" name="Column8099"/>
    <tableColumn id="8100" xr3:uid="{04193B6E-6D09-4125-A301-D048B5DF79DC}" name="Column8100"/>
    <tableColumn id="8101" xr3:uid="{5504E258-A7DC-49EF-9A7B-49B5D37EE394}" name="Column8101"/>
    <tableColumn id="8102" xr3:uid="{EDACE13E-0854-438D-AC23-A1921089D01D}" name="Column8102"/>
    <tableColumn id="8103" xr3:uid="{38AD86F3-EED3-4809-A6CE-9E171B042C5D}" name="Column8103"/>
    <tableColumn id="8104" xr3:uid="{EB3C28E5-9D15-4BC7-8A91-62F000F97140}" name="Column8104"/>
    <tableColumn id="8105" xr3:uid="{7A767AFF-0D7B-4726-BC65-ADF0CCE4E639}" name="Column8105"/>
    <tableColumn id="8106" xr3:uid="{DF4D4D60-269F-4F2B-8045-D6D628828E5A}" name="Column8106"/>
    <tableColumn id="8107" xr3:uid="{F8868DA2-0BC9-4056-BB73-0B2A6C0D201C}" name="Column8107"/>
    <tableColumn id="8108" xr3:uid="{28B748DA-D014-425B-9C7A-F45462E75000}" name="Column8108"/>
    <tableColumn id="8109" xr3:uid="{20BF0478-5EC8-41DA-8E21-FED7FD71760A}" name="Column8109"/>
    <tableColumn id="8110" xr3:uid="{F749D52A-F4B8-4269-B1C9-C427D2518937}" name="Column8110"/>
    <tableColumn id="8111" xr3:uid="{AC2CB1BA-492F-46CD-BC87-F9CF532C7C55}" name="Column8111"/>
    <tableColumn id="8112" xr3:uid="{7F692DFE-9124-42FB-BA05-C66D3B0459D4}" name="Column8112"/>
    <tableColumn id="8113" xr3:uid="{3EBCD80B-93BD-4BE8-AA80-979624FE5DA5}" name="Column8113"/>
    <tableColumn id="8114" xr3:uid="{875DFE2B-E0B7-4909-9383-4CAA64A4CAA8}" name="Column8114"/>
    <tableColumn id="8115" xr3:uid="{1D65BDF2-288A-4A18-A918-591E4FB009C3}" name="Column8115"/>
    <tableColumn id="8116" xr3:uid="{9187F127-44B1-4C24-8861-F041BA54001A}" name="Column8116"/>
    <tableColumn id="8117" xr3:uid="{EA30A525-CBDB-4E32-8E3A-0D6E7E21681E}" name="Column8117"/>
    <tableColumn id="8118" xr3:uid="{65F1228F-1372-43DE-A510-83CD6B2B7053}" name="Column8118"/>
    <tableColumn id="8119" xr3:uid="{33774A1E-2E57-47F0-A0BC-1FEF8C662CF5}" name="Column8119"/>
    <tableColumn id="8120" xr3:uid="{C7BF6A8F-B27D-46EF-8AA9-5AE0318E9926}" name="Column8120"/>
    <tableColumn id="8121" xr3:uid="{C3FFBE57-100E-46D4-B9C6-A1CDB36C40E3}" name="Column8121"/>
    <tableColumn id="8122" xr3:uid="{9B3E0161-3542-4537-8534-2107133AF394}" name="Column8122"/>
    <tableColumn id="8123" xr3:uid="{999435AB-0596-42C8-AC4F-C4DF3A1EFF8B}" name="Column8123"/>
    <tableColumn id="8124" xr3:uid="{3672759A-8866-4C7A-9FCF-989B0427E308}" name="Column8124"/>
    <tableColumn id="8125" xr3:uid="{2C948438-0277-4C6A-BF6D-F92481FE4EBC}" name="Column8125"/>
    <tableColumn id="8126" xr3:uid="{E75040CD-06DF-4FBC-8E60-13692AB8F255}" name="Column8126"/>
    <tableColumn id="8127" xr3:uid="{4D0B2B72-76B1-4C34-9A37-84D00336DA05}" name="Column8127"/>
    <tableColumn id="8128" xr3:uid="{4BE501D3-799E-41F1-904D-01554D94A7A6}" name="Column8128"/>
    <tableColumn id="8129" xr3:uid="{29C42153-1885-442D-A0B7-9277C82C9ABD}" name="Column8129"/>
    <tableColumn id="8130" xr3:uid="{6524EB13-1E42-4340-B08F-245C6E1071B5}" name="Column8130"/>
    <tableColumn id="8131" xr3:uid="{DADDAE00-1679-46DC-911A-AC8D21912CEA}" name="Column8131"/>
    <tableColumn id="8132" xr3:uid="{4740651C-BCA2-4C8A-99F4-A3BAA659AA4F}" name="Column8132"/>
    <tableColumn id="8133" xr3:uid="{B39774E8-27EF-41B8-99D8-B4FABB9996A9}" name="Column8133"/>
    <tableColumn id="8134" xr3:uid="{38193961-FF97-4224-BA92-06545767FE2F}" name="Column8134"/>
    <tableColumn id="8135" xr3:uid="{E6A952A3-99D6-4C86-9ED0-D4F9FC4AEBB8}" name="Column8135"/>
    <tableColumn id="8136" xr3:uid="{8702F5AF-7D11-4E25-964C-AE590867A3AB}" name="Column8136"/>
    <tableColumn id="8137" xr3:uid="{D3D7E23E-4EC3-4332-95E5-9A2D9EC6266F}" name="Column8137"/>
    <tableColumn id="8138" xr3:uid="{B44D46CA-D8D1-4C7A-9D74-61D2374D7055}" name="Column8138"/>
    <tableColumn id="8139" xr3:uid="{F2B790D4-D59C-4B95-80FE-B7CC282B2BC7}" name="Column8139"/>
    <tableColumn id="8140" xr3:uid="{3113D11D-21A6-462F-9E55-2418E6279A13}" name="Column8140"/>
    <tableColumn id="8141" xr3:uid="{525D7FE6-F809-44BC-9F29-F87AAA22116B}" name="Column8141"/>
    <tableColumn id="8142" xr3:uid="{0E5697D5-619C-42DA-818F-CFB4946A5124}" name="Column8142"/>
    <tableColumn id="8143" xr3:uid="{31181671-67E1-49FD-9632-8F287451FDB4}" name="Column8143"/>
    <tableColumn id="8144" xr3:uid="{AE058185-FC00-461C-A908-C35D7C219AD8}" name="Column8144"/>
    <tableColumn id="8145" xr3:uid="{09DCDE52-52A2-466E-A532-4718DF465867}" name="Column8145"/>
    <tableColumn id="8146" xr3:uid="{CAFC5519-9B18-4AC9-95DB-86B53FCFD8C4}" name="Column8146"/>
    <tableColumn id="8147" xr3:uid="{99D241BF-5AC1-4CF8-8A45-9F75D999D91A}" name="Column8147"/>
    <tableColumn id="8148" xr3:uid="{F4555D0C-5CBC-449B-B2CD-F12C3529E33A}" name="Column8148"/>
    <tableColumn id="8149" xr3:uid="{6D581DC9-0A96-4F8D-B1C9-3CE9E761DF9E}" name="Column8149"/>
    <tableColumn id="8150" xr3:uid="{A858CFF8-7240-446F-BFC5-BB717D338C6B}" name="Column8150"/>
    <tableColumn id="8151" xr3:uid="{8239A232-1FA7-4F72-A062-4DEE30DE497C}" name="Column8151"/>
    <tableColumn id="8152" xr3:uid="{3EB313B6-6419-4244-A4B0-227D6F27089E}" name="Column8152"/>
    <tableColumn id="8153" xr3:uid="{A94EE79A-5900-441E-B40B-2622A65C5171}" name="Column8153"/>
    <tableColumn id="8154" xr3:uid="{4F78D9E0-E197-4937-9BB7-330774F7D9CE}" name="Column8154"/>
    <tableColumn id="8155" xr3:uid="{A80D7E44-E7EB-4EF7-B6FF-E43DC032EFC8}" name="Column8155"/>
    <tableColumn id="8156" xr3:uid="{71A3C10B-2160-4CA1-A483-5E7CEDD23E45}" name="Column8156"/>
    <tableColumn id="8157" xr3:uid="{7E2C88BF-4B4B-4BFE-A4DC-32AB829F0420}" name="Column8157"/>
    <tableColumn id="8158" xr3:uid="{2AE5E733-367A-46C7-8055-0451F8DD4AB3}" name="Column8158"/>
    <tableColumn id="8159" xr3:uid="{EA0DAFB6-7DB4-495A-9F6E-265CA0EDE1FE}" name="Column8159"/>
    <tableColumn id="8160" xr3:uid="{7EA56FEA-8872-41A7-A9D1-3CB665E2ECE1}" name="Column8160"/>
    <tableColumn id="8161" xr3:uid="{35B9FEAC-8A14-4A08-B052-EC60D279DB6E}" name="Column8161"/>
    <tableColumn id="8162" xr3:uid="{5E9718F0-4C33-4465-AD38-BCA992A09E88}" name="Column8162"/>
    <tableColumn id="8163" xr3:uid="{86D9C5CD-26AE-4E4D-8F00-4BE45948085C}" name="Column8163"/>
    <tableColumn id="8164" xr3:uid="{F9D22BE7-EB34-48FE-A909-BD3C81435E62}" name="Column8164"/>
    <tableColumn id="8165" xr3:uid="{51D24149-348D-413B-ADF7-5C0DDB409C80}" name="Column8165"/>
    <tableColumn id="8166" xr3:uid="{5BC31887-6B54-478B-A67D-DA7549E79821}" name="Column8166"/>
    <tableColumn id="8167" xr3:uid="{081D7B31-100B-4269-9750-F8BD769FB1AA}" name="Column8167"/>
    <tableColumn id="8168" xr3:uid="{C867C1BF-D7FE-48C8-8104-A5EC5E80525B}" name="Column8168"/>
    <tableColumn id="8169" xr3:uid="{006368E7-3034-4597-B273-5147E9B77596}" name="Column8169"/>
    <tableColumn id="8170" xr3:uid="{929790EB-6BBA-4410-AE44-47C6CC6425BA}" name="Column8170"/>
    <tableColumn id="8171" xr3:uid="{09229E60-0093-4CBD-81E2-51F0B1BBE51E}" name="Column8171"/>
    <tableColumn id="8172" xr3:uid="{3DE5FBFB-180E-4E6B-B8C0-B8E7E6475F0A}" name="Column8172"/>
    <tableColumn id="8173" xr3:uid="{35563BE2-90C7-4347-BE6F-3FDBE45C9911}" name="Column8173"/>
    <tableColumn id="8174" xr3:uid="{2FBB2C4F-F36D-4A9F-9D58-2862BD557B99}" name="Column8174"/>
    <tableColumn id="8175" xr3:uid="{3497EE3A-179F-411F-AE23-4FF48A699E13}" name="Column8175"/>
    <tableColumn id="8176" xr3:uid="{6D247B52-2D5F-48B4-BDBA-4D74A3BDFF32}" name="Column8176"/>
    <tableColumn id="8177" xr3:uid="{3ED1A5FC-9E98-45AF-ACB6-1CFB5B42F85E}" name="Column8177"/>
    <tableColumn id="8178" xr3:uid="{654B20ED-2D8F-44D5-8E02-6564573F069F}" name="Column8178"/>
    <tableColumn id="8179" xr3:uid="{BFCA4C30-9C68-4463-8E66-FA63E2922727}" name="Column8179"/>
    <tableColumn id="8180" xr3:uid="{478092C9-2854-4863-BBB8-BF831A0BCAEF}" name="Column8180"/>
    <tableColumn id="8181" xr3:uid="{D817E3B8-BBE4-4C0D-A337-E76E3B72BB93}" name="Column8181"/>
    <tableColumn id="8182" xr3:uid="{78669D8E-6FC9-4E77-8FC1-3E126B18F65E}" name="Column8182"/>
    <tableColumn id="8183" xr3:uid="{632F8CBE-1B17-4A7E-9E47-AC3A5EBFA3B0}" name="Column8183"/>
    <tableColumn id="8184" xr3:uid="{50C7EC5C-16FC-4C51-91B7-75C59F7EDC1A}" name="Column8184"/>
    <tableColumn id="8185" xr3:uid="{F8494C62-D1AB-4F3C-9D10-61E0C894CC2F}" name="Column8185"/>
    <tableColumn id="8186" xr3:uid="{81607B57-BEA3-4E50-9DA6-5ABBC21D9AE1}" name="Column8186"/>
    <tableColumn id="8187" xr3:uid="{77006B97-6E39-4962-BF76-4BA01DC5CAAC}" name="Column8187"/>
    <tableColumn id="8188" xr3:uid="{FA43D390-45B1-4562-A4BD-4CFDDDA48516}" name="Column8188"/>
    <tableColumn id="8189" xr3:uid="{24D312B1-92B1-4F7F-89B3-D0B9D43FFD92}" name="Column8189"/>
    <tableColumn id="8190" xr3:uid="{C5C27E62-4590-4404-81E9-A4F5D5E5CCB8}" name="Column8190"/>
    <tableColumn id="8191" xr3:uid="{F97E56D8-CA63-4F9F-BCBF-2C2E65321A47}" name="Column8191"/>
    <tableColumn id="8192" xr3:uid="{D6A3A5B8-FD9E-4997-8DF3-98727550BE42}" name="Column8192"/>
    <tableColumn id="8193" xr3:uid="{32962926-64C1-4E92-B4EF-D3E782C40EE7}" name="Column8193"/>
    <tableColumn id="8194" xr3:uid="{CEB55430-B882-4A7E-81ED-E1BCBF317050}" name="Column8194"/>
    <tableColumn id="8195" xr3:uid="{76CD1CDF-9A0D-47F3-B651-606FE3F046AE}" name="Column8195"/>
    <tableColumn id="8196" xr3:uid="{810AF9E2-28D3-4DE7-8CFF-824EA0E916D0}" name="Column8196"/>
    <tableColumn id="8197" xr3:uid="{331CFE4A-023B-4A06-BB42-1E57DE5B1BF3}" name="Column8197"/>
    <tableColumn id="8198" xr3:uid="{EBC229E1-C0F9-45E5-9791-E3A9393F8DB0}" name="Column8198"/>
    <tableColumn id="8199" xr3:uid="{DFDDD6A6-D5D8-40EA-ADDA-BAB49606550C}" name="Column8199"/>
    <tableColumn id="8200" xr3:uid="{6F267875-A1F4-48FF-B20B-97E7A5B43949}" name="Column8200"/>
    <tableColumn id="8201" xr3:uid="{CE801B65-23D1-4574-A86E-F11B068B958A}" name="Column8201"/>
    <tableColumn id="8202" xr3:uid="{E6CFDFC8-4171-4B00-83A6-02552D8FB8FF}" name="Column8202"/>
    <tableColumn id="8203" xr3:uid="{56CC518C-C189-443C-AC7F-C38485C9AAE1}" name="Column8203"/>
    <tableColumn id="8204" xr3:uid="{F0091498-641F-45A4-948F-5C82129B9A8C}" name="Column8204"/>
    <tableColumn id="8205" xr3:uid="{38FD9E21-F4D4-49D0-A81C-6B043FDFD3BF}" name="Column8205"/>
    <tableColumn id="8206" xr3:uid="{2D5726A5-B2AA-4C8F-A20A-8D3BC177D8CD}" name="Column8206"/>
    <tableColumn id="8207" xr3:uid="{1A345DD3-D3EC-40BC-AAEA-AC3D4B9BF038}" name="Column8207"/>
    <tableColumn id="8208" xr3:uid="{CB64ACE3-0E72-4AC8-9AF6-9A546239A3C3}" name="Column8208"/>
    <tableColumn id="8209" xr3:uid="{FA098F61-A53D-49EC-83CC-EDFBA9BCB679}" name="Column8209"/>
    <tableColumn id="8210" xr3:uid="{D2162F7E-E37A-48D0-BC9A-FD94EF89A0FE}" name="Column8210"/>
    <tableColumn id="8211" xr3:uid="{65D2F17B-828C-4344-B0D3-D8D60BEE8838}" name="Column8211"/>
    <tableColumn id="8212" xr3:uid="{45AA7DC6-A0FF-47D5-B18C-FF8195357C53}" name="Column8212"/>
    <tableColumn id="8213" xr3:uid="{DD141C72-5416-4FF0-89C9-BED542EF6B7B}" name="Column8213"/>
    <tableColumn id="8214" xr3:uid="{39F07DC8-E110-4E10-9FD3-A8088ACE028C}" name="Column8214"/>
    <tableColumn id="8215" xr3:uid="{AB4798AD-4627-4E4A-AA20-143B51B96373}" name="Column8215"/>
    <tableColumn id="8216" xr3:uid="{E626E838-1787-47CD-972B-699BBE387538}" name="Column8216"/>
    <tableColumn id="8217" xr3:uid="{89DFE8F4-4F96-47A4-BD22-0E320C1E4FAD}" name="Column8217"/>
    <tableColumn id="8218" xr3:uid="{6B2BB04F-9C11-4B17-9201-77F98045DA75}" name="Column8218"/>
    <tableColumn id="8219" xr3:uid="{B45CDF4F-552F-4BD7-8C9D-9AE407321A60}" name="Column8219"/>
    <tableColumn id="8220" xr3:uid="{089F9D2F-C2F0-4E29-B11F-28DF3C94541A}" name="Column8220"/>
    <tableColumn id="8221" xr3:uid="{7BB0867D-658A-4074-A520-C58725AA64FC}" name="Column8221"/>
    <tableColumn id="8222" xr3:uid="{51C7C671-463B-4DDB-A760-5DDA3C2974E0}" name="Column8222"/>
    <tableColumn id="8223" xr3:uid="{E50D12A0-D5C5-4808-A926-0B96850AABFE}" name="Column8223"/>
    <tableColumn id="8224" xr3:uid="{567F10AF-0393-4A81-972A-4C4F8E776733}" name="Column8224"/>
    <tableColumn id="8225" xr3:uid="{107BA7FF-BCD2-4889-B8AD-CB7DFE7BE8AA}" name="Column8225"/>
    <tableColumn id="8226" xr3:uid="{7FFB2620-3084-403D-95E3-08EE76B9DEFF}" name="Column8226"/>
    <tableColumn id="8227" xr3:uid="{A5374A4B-A269-47E9-90C1-860DE1915454}" name="Column8227"/>
    <tableColumn id="8228" xr3:uid="{7E6AF779-3B9D-4951-83E7-DE8EAA4877C6}" name="Column8228"/>
    <tableColumn id="8229" xr3:uid="{F69CBDC2-3DDD-456F-B05C-165DC330DD7E}" name="Column8229"/>
    <tableColumn id="8230" xr3:uid="{5D34E8EB-470A-4F57-A653-A2652F5EC377}" name="Column8230"/>
    <tableColumn id="8231" xr3:uid="{15FE1DA4-F71E-4504-BA2E-5247E8D3FEE4}" name="Column8231"/>
    <tableColumn id="8232" xr3:uid="{80987A66-F718-4048-B52F-48B42BDCC5C5}" name="Column8232"/>
    <tableColumn id="8233" xr3:uid="{31A56048-AFA4-46A2-9235-5A4F4DBE9CD0}" name="Column8233"/>
    <tableColumn id="8234" xr3:uid="{44A671C8-4E53-4A36-B6BB-D832D8864AD2}" name="Column8234"/>
    <tableColumn id="8235" xr3:uid="{F56ABE1E-C382-42CB-AA59-E89E03964891}" name="Column8235"/>
    <tableColumn id="8236" xr3:uid="{906D3963-61FE-4615-9F72-E52730E50F6C}" name="Column8236"/>
    <tableColumn id="8237" xr3:uid="{ED4BA5FD-680F-4479-959B-E3E0B1356248}" name="Column8237"/>
    <tableColumn id="8238" xr3:uid="{1240223F-7A91-4651-B00B-40EBD7EA6C53}" name="Column8238"/>
    <tableColumn id="8239" xr3:uid="{647DECDB-AB74-4F80-B9E8-F3DCB480192A}" name="Column8239"/>
    <tableColumn id="8240" xr3:uid="{08DC097F-A396-4AEC-B097-197D68B519E9}" name="Column8240"/>
    <tableColumn id="8241" xr3:uid="{8CF8E952-5BEC-441C-964F-FAF9275A9D57}" name="Column8241"/>
    <tableColumn id="8242" xr3:uid="{4C978F1F-C841-4D7D-A228-F3EFAE92A64E}" name="Column8242"/>
    <tableColumn id="8243" xr3:uid="{BEFDE727-C3CA-464B-A6C5-5C1F51E3C260}" name="Column8243"/>
    <tableColumn id="8244" xr3:uid="{E2E7F9BB-A935-41A5-B7E2-14B2146F011C}" name="Column8244"/>
    <tableColumn id="8245" xr3:uid="{9277E8D2-ABBC-479A-9AFD-32BEBD149FB8}" name="Column8245"/>
    <tableColumn id="8246" xr3:uid="{51B878AC-6223-4BA1-B0A5-9F23247AD48E}" name="Column8246"/>
    <tableColumn id="8247" xr3:uid="{FC88D0B7-2623-4F88-88E8-9193526FACE5}" name="Column8247"/>
    <tableColumn id="8248" xr3:uid="{EA7A4EF4-8C1F-4A29-93E3-207A6001312F}" name="Column8248"/>
    <tableColumn id="8249" xr3:uid="{830D3908-E075-4009-B95F-073FEF44413F}" name="Column8249"/>
    <tableColumn id="8250" xr3:uid="{C7E8E06B-AA7F-44F4-B05D-419E95196444}" name="Column8250"/>
    <tableColumn id="8251" xr3:uid="{CED21735-55F8-4555-BA95-411BE690B78B}" name="Column8251"/>
    <tableColumn id="8252" xr3:uid="{85A8245E-CE8D-4E89-958F-1829501975C0}" name="Column8252"/>
    <tableColumn id="8253" xr3:uid="{0359B726-8B8F-4054-A12D-433B064C49D4}" name="Column8253"/>
    <tableColumn id="8254" xr3:uid="{E850D48F-2F2A-47BD-A205-B0582B0C475F}" name="Column8254"/>
    <tableColumn id="8255" xr3:uid="{406EF6ED-5F45-4540-83D6-2BB8A4BDBEAD}" name="Column8255"/>
    <tableColumn id="8256" xr3:uid="{62C2F749-ADC4-4F38-893E-185C69E7B6E2}" name="Column8256"/>
    <tableColumn id="8257" xr3:uid="{AEB8AC8B-F8E2-4F52-A103-37CBA0792F27}" name="Column8257"/>
    <tableColumn id="8258" xr3:uid="{C9F43478-455C-4F4B-BD5E-96ADA2E9BA61}" name="Column8258"/>
    <tableColumn id="8259" xr3:uid="{5F4C979A-7F5A-4546-895E-C23C15A201DF}" name="Column8259"/>
    <tableColumn id="8260" xr3:uid="{9735668F-36F8-4D02-BEF6-BAED95E33D9F}" name="Column8260"/>
    <tableColumn id="8261" xr3:uid="{A4CD0570-A921-4C11-8181-44F7E042AFA1}" name="Column8261"/>
    <tableColumn id="8262" xr3:uid="{79EAE50C-7F1D-4668-B45F-830927EF9C17}" name="Column8262"/>
    <tableColumn id="8263" xr3:uid="{536FC317-5204-4D3D-81BA-ECDBA93FE347}" name="Column8263"/>
    <tableColumn id="8264" xr3:uid="{F32E3422-6F51-4544-8AA2-F26490C2348B}" name="Column8264"/>
    <tableColumn id="8265" xr3:uid="{FDA41EC7-A524-448A-B489-6091D07CE059}" name="Column8265"/>
    <tableColumn id="8266" xr3:uid="{A487C976-C19A-431B-94E3-6B7831AFB95C}" name="Column8266"/>
    <tableColumn id="8267" xr3:uid="{FAA9D85B-E051-42D7-9F09-AD84FF7AA792}" name="Column8267"/>
    <tableColumn id="8268" xr3:uid="{AD55FF05-ABAE-44E1-AC80-AE7CF77478E9}" name="Column8268"/>
    <tableColumn id="8269" xr3:uid="{87762AE0-FC63-499A-887C-64A7292EE33D}" name="Column8269"/>
    <tableColumn id="8270" xr3:uid="{89D1089D-8BCA-4E1E-B882-035F516AE95A}" name="Column8270"/>
    <tableColumn id="8271" xr3:uid="{60F429FE-0A82-4C7D-9387-ADCD4221E623}" name="Column8271"/>
    <tableColumn id="8272" xr3:uid="{F179F587-8C24-4A30-9BEA-007558238363}" name="Column8272"/>
    <tableColumn id="8273" xr3:uid="{E49BCCCC-2190-45A6-A75F-F14B82013332}" name="Column8273"/>
    <tableColumn id="8274" xr3:uid="{95165D39-2737-4B97-BD6B-A264B4075509}" name="Column8274"/>
    <tableColumn id="8275" xr3:uid="{942A3EA6-80EE-4402-B979-637B09662DF6}" name="Column8275"/>
    <tableColumn id="8276" xr3:uid="{3BF98986-0496-4812-B54B-C26E5E32CE97}" name="Column8276"/>
    <tableColumn id="8277" xr3:uid="{1DBC7B30-CC5A-4859-8030-50E36D52B525}" name="Column8277"/>
    <tableColumn id="8278" xr3:uid="{B13236AC-6B99-4DD1-8922-7E6FBCF30474}" name="Column8278"/>
    <tableColumn id="8279" xr3:uid="{7AE8CA24-8723-473F-BC69-DA44E680D0EA}" name="Column8279"/>
    <tableColumn id="8280" xr3:uid="{177A1A21-B655-410E-A3F5-B00E0BEF25BC}" name="Column8280"/>
    <tableColumn id="8281" xr3:uid="{8814597E-AECC-40B5-BD33-85703257C1D4}" name="Column8281"/>
    <tableColumn id="8282" xr3:uid="{BCEE82E4-C8E2-4A37-8D1C-1CB739807EE8}" name="Column8282"/>
    <tableColumn id="8283" xr3:uid="{4A148FF3-E923-4EF9-ABCA-CAA24F98F579}" name="Column8283"/>
    <tableColumn id="8284" xr3:uid="{AD5CB025-B354-47E8-8CC3-EF34DD97BA2A}" name="Column8284"/>
    <tableColumn id="8285" xr3:uid="{397AE5D6-CF9C-4601-AE76-9BBA227C855C}" name="Column8285"/>
    <tableColumn id="8286" xr3:uid="{4C7AB23C-CE0B-4BAF-BEB4-C0A2DDA4B3DD}" name="Column8286"/>
    <tableColumn id="8287" xr3:uid="{3561F5DA-BF93-41CF-A328-5BB06816FFA7}" name="Column8287"/>
    <tableColumn id="8288" xr3:uid="{2953E2B8-8AF0-430D-88D5-192409946D62}" name="Column8288"/>
    <tableColumn id="8289" xr3:uid="{88FE89DC-CCA5-4140-AFF6-6B9AAAD5B804}" name="Column8289"/>
    <tableColumn id="8290" xr3:uid="{43796378-BA35-4584-8575-B17596F47E9D}" name="Column8290"/>
    <tableColumn id="8291" xr3:uid="{25BC2852-1636-491A-B73F-A7C30297CF56}" name="Column8291"/>
    <tableColumn id="8292" xr3:uid="{7A3BD5B2-66C8-452C-B465-29B52E2F2CF2}" name="Column8292"/>
    <tableColumn id="8293" xr3:uid="{5AC606EA-9332-4005-BD6E-5A7AC976B959}" name="Column8293"/>
    <tableColumn id="8294" xr3:uid="{94386718-CE7F-4593-B17D-3474C49C8717}" name="Column8294"/>
    <tableColumn id="8295" xr3:uid="{FD633B92-DF53-4D12-B826-815CDC84B75C}" name="Column8295"/>
    <tableColumn id="8296" xr3:uid="{C1B9AF84-BB60-4E73-8CAC-772B8F99D443}" name="Column8296"/>
    <tableColumn id="8297" xr3:uid="{296A158F-C0BE-4A36-B956-57D296D978FA}" name="Column8297"/>
    <tableColumn id="8298" xr3:uid="{9A62D2DA-0351-4D00-9044-3F6BBD5D267A}" name="Column8298"/>
    <tableColumn id="8299" xr3:uid="{60231911-4975-4069-A096-172FF0251415}" name="Column8299"/>
    <tableColumn id="8300" xr3:uid="{C9C4B661-A612-4470-BC2D-ADB6831BF6E3}" name="Column8300"/>
    <tableColumn id="8301" xr3:uid="{67495E0C-78A5-4D17-B800-2ADD7B9D2876}" name="Column8301"/>
    <tableColumn id="8302" xr3:uid="{7347BB06-8CA0-43F7-A8C6-9519A3940A93}" name="Column8302"/>
    <tableColumn id="8303" xr3:uid="{237029D4-473E-453E-9AF3-EFD5287A4794}" name="Column8303"/>
    <tableColumn id="8304" xr3:uid="{84E129D0-EC0B-41B7-AA58-3808D3C5BEBD}" name="Column8304"/>
    <tableColumn id="8305" xr3:uid="{20A7E425-7F5E-4825-A887-F3BBE898A4CF}" name="Column8305"/>
    <tableColumn id="8306" xr3:uid="{E4290F61-3CE9-433D-8AEE-AE47100D9E88}" name="Column8306"/>
    <tableColumn id="8307" xr3:uid="{DD92B995-01C4-4ADE-B83D-B64B835C99CE}" name="Column8307"/>
    <tableColumn id="8308" xr3:uid="{A057142C-6092-492B-85BB-594135625091}" name="Column8308"/>
    <tableColumn id="8309" xr3:uid="{B018FAA5-9C6B-41B4-A1FD-5A43CC85559D}" name="Column8309"/>
    <tableColumn id="8310" xr3:uid="{6EA6EB35-34C1-4D7E-B8A5-419BF4435D42}" name="Column8310"/>
    <tableColumn id="8311" xr3:uid="{4262CA5F-87BD-4313-ABD6-726D072D33D1}" name="Column8311"/>
    <tableColumn id="8312" xr3:uid="{307D5832-A93E-4389-ACA0-B11EEC68FD38}" name="Column8312"/>
    <tableColumn id="8313" xr3:uid="{6FE8BAC5-6147-4574-AD2B-87BCF18B03B8}" name="Column8313"/>
    <tableColumn id="8314" xr3:uid="{970ACE21-BB4E-4E98-B6DB-ACFD90C36DF7}" name="Column8314"/>
    <tableColumn id="8315" xr3:uid="{E674E804-9125-488D-89B2-DC80806A53D3}" name="Column8315"/>
    <tableColumn id="8316" xr3:uid="{6029E2E4-90DD-47BA-8411-C11252105C5E}" name="Column8316"/>
    <tableColumn id="8317" xr3:uid="{CC855133-7987-4255-BAC7-BEB7134CBB08}" name="Column8317"/>
    <tableColumn id="8318" xr3:uid="{E2C1B3E0-A3C9-45D0-9234-BE375E75844B}" name="Column8318"/>
    <tableColumn id="8319" xr3:uid="{F140EA76-E094-4F62-BDB9-529870DCC702}" name="Column8319"/>
    <tableColumn id="8320" xr3:uid="{399E1AC7-5770-4727-9FDB-9E65BE9761C7}" name="Column8320"/>
    <tableColumn id="8321" xr3:uid="{5E933998-C1FC-47A1-8979-D366B7A84660}" name="Column8321"/>
    <tableColumn id="8322" xr3:uid="{001B3E41-269E-4621-9C3D-A33E48AEBBED}" name="Column8322"/>
    <tableColumn id="8323" xr3:uid="{5BCAF85E-7C4D-4406-BF99-7143950729CA}" name="Column8323"/>
    <tableColumn id="8324" xr3:uid="{0E096C32-CCC2-413F-AED1-B9C79F5D0837}" name="Column8324"/>
    <tableColumn id="8325" xr3:uid="{5B0C4B9D-13EF-4BFB-9D0A-FAAAC2205B8E}" name="Column8325"/>
    <tableColumn id="8326" xr3:uid="{A84EBFB7-3DE6-46D2-8BE5-1E74C9FFBC2C}" name="Column8326"/>
    <tableColumn id="8327" xr3:uid="{D1E706AB-0881-408C-9892-37C7D07DB916}" name="Column8327"/>
    <tableColumn id="8328" xr3:uid="{B4AA0E2A-0C09-41E4-B1E8-B3BCD5AE31F1}" name="Column8328"/>
    <tableColumn id="8329" xr3:uid="{69C09766-9085-447D-9E41-174DC2B5D508}" name="Column8329"/>
    <tableColumn id="8330" xr3:uid="{BE3D5E38-7322-48F2-952D-57ECBA33986B}" name="Column8330"/>
    <tableColumn id="8331" xr3:uid="{608D8AC3-4F3A-4D21-B439-81968B8AE205}" name="Column8331"/>
    <tableColumn id="8332" xr3:uid="{7981DAC2-D503-4E4B-B644-83FDD98C2D04}" name="Column8332"/>
    <tableColumn id="8333" xr3:uid="{D2D14C71-E9F5-429C-92DF-75400F1103B4}" name="Column8333"/>
    <tableColumn id="8334" xr3:uid="{FB694473-B4FC-4D04-8843-B7874E5495D2}" name="Column8334"/>
    <tableColumn id="8335" xr3:uid="{EFE17FEF-003D-4230-86A8-3AE59ADB42BC}" name="Column8335"/>
    <tableColumn id="8336" xr3:uid="{181932F6-B2AA-49AD-A545-81697DF53BDD}" name="Column8336"/>
    <tableColumn id="8337" xr3:uid="{E865078C-10B7-459A-A027-CC78B57F88EA}" name="Column8337"/>
    <tableColumn id="8338" xr3:uid="{F1B59924-9EAD-4102-9F10-042B9037F291}" name="Column8338"/>
    <tableColumn id="8339" xr3:uid="{B3A9133D-7892-4818-8E77-78799F501325}" name="Column8339"/>
    <tableColumn id="8340" xr3:uid="{4FC55931-2B54-4CEC-8B14-5C651B0C0460}" name="Column8340"/>
    <tableColumn id="8341" xr3:uid="{28BA3BBA-EB09-4CBA-B078-260FF892AAA0}" name="Column8341"/>
    <tableColumn id="8342" xr3:uid="{8ECD3BDD-B305-4D45-9045-2DCD4AB2F8D0}" name="Column8342"/>
    <tableColumn id="8343" xr3:uid="{0551E965-12C0-4D96-B752-05BF04AD06E9}" name="Column8343"/>
    <tableColumn id="8344" xr3:uid="{34F92363-100C-4940-853B-7A4B6FCD9970}" name="Column8344"/>
    <tableColumn id="8345" xr3:uid="{AAF354B2-72CD-4EBE-AD4D-CA2D1E97FB07}" name="Column8345"/>
    <tableColumn id="8346" xr3:uid="{C514C82C-E99C-4DE0-9C67-80735BF8B04D}" name="Column8346"/>
    <tableColumn id="8347" xr3:uid="{9482E85F-42EC-49F2-80FE-C8B821E0B702}" name="Column8347"/>
    <tableColumn id="8348" xr3:uid="{5BF83088-1D55-44BB-8FC1-D568F389A4D1}" name="Column8348"/>
    <tableColumn id="8349" xr3:uid="{FD89BF5E-905E-4E34-83CE-2E1B318F80B7}" name="Column8349"/>
    <tableColumn id="8350" xr3:uid="{13EB1DC3-F998-4AF8-B4D3-2B8BF3892311}" name="Column8350"/>
    <tableColumn id="8351" xr3:uid="{7F663FED-C504-4841-B1A7-28EEC29682D6}" name="Column8351"/>
    <tableColumn id="8352" xr3:uid="{36AD1CEE-8357-4C0B-B949-1BC91C3A4F02}" name="Column8352"/>
    <tableColumn id="8353" xr3:uid="{CF108845-A02F-46C6-AE52-EC07AD9C143F}" name="Column8353"/>
    <tableColumn id="8354" xr3:uid="{2D7A587B-E111-4D27-AFC0-352A78EF6C08}" name="Column8354"/>
    <tableColumn id="8355" xr3:uid="{E35BB1DF-6646-4485-834F-90807D36F4AB}" name="Column8355"/>
    <tableColumn id="8356" xr3:uid="{80A1546F-CC04-4463-8E05-C6D6CD4DAC40}" name="Column8356"/>
    <tableColumn id="8357" xr3:uid="{813A1C1A-7970-4360-8826-1D8E5EB6E358}" name="Column8357"/>
    <tableColumn id="8358" xr3:uid="{A0BCF286-6681-4005-B837-963E614D93D0}" name="Column8358"/>
    <tableColumn id="8359" xr3:uid="{5C1C8446-DC57-43FA-B2F2-7DD6B38D9A42}" name="Column8359"/>
    <tableColumn id="8360" xr3:uid="{9CA4C1A2-0FDE-495E-907F-0187ECC91B43}" name="Column8360"/>
    <tableColumn id="8361" xr3:uid="{805E21F9-A60D-472F-85ED-56F5DD42B7EF}" name="Column8361"/>
    <tableColumn id="8362" xr3:uid="{857A5A4D-BEE9-4FEF-8DC4-032F4271477A}" name="Column8362"/>
    <tableColumn id="8363" xr3:uid="{E19FE598-F6C0-468C-A684-E0B2A8E74164}" name="Column8363"/>
    <tableColumn id="8364" xr3:uid="{BB281BA0-C6A3-49B1-A84B-A401EFB57C20}" name="Column8364"/>
    <tableColumn id="8365" xr3:uid="{0A0B4199-2A03-4548-ABD3-E6DFBE067831}" name="Column8365"/>
    <tableColumn id="8366" xr3:uid="{E0A98621-FCB4-44E4-AD65-60A3B030ABE0}" name="Column8366"/>
    <tableColumn id="8367" xr3:uid="{A9554EE4-D095-4D38-8B32-DE24E01B0D52}" name="Column8367"/>
    <tableColumn id="8368" xr3:uid="{89684B5D-B4A7-4EA3-B49B-F75F755C2AEF}" name="Column8368"/>
    <tableColumn id="8369" xr3:uid="{6D0A5A3E-594A-43B1-BA50-BBFCB58342B5}" name="Column8369"/>
    <tableColumn id="8370" xr3:uid="{5E2C731F-23EB-4228-B0F3-18D657DE1108}" name="Column8370"/>
    <tableColumn id="8371" xr3:uid="{8CFD3D3D-71D7-46C9-B151-C17CBA0A03AA}" name="Column8371"/>
    <tableColumn id="8372" xr3:uid="{F1C6597D-9F9B-484F-B587-5CE4F9F4BE77}" name="Column8372"/>
    <tableColumn id="8373" xr3:uid="{C5AEEAB5-F553-4949-92E6-BF1E29256F0F}" name="Column8373"/>
    <tableColumn id="8374" xr3:uid="{25F9F5E2-D283-44DA-85D6-557D51A80D7E}" name="Column8374"/>
    <tableColumn id="8375" xr3:uid="{0C1AB6F5-4201-49E3-AA1F-A9E9274B8322}" name="Column8375"/>
    <tableColumn id="8376" xr3:uid="{D420B090-C35E-422B-97E8-858B62F5EF65}" name="Column8376"/>
    <tableColumn id="8377" xr3:uid="{D46EF842-3415-4A3C-84B7-C9AE883629D6}" name="Column8377"/>
    <tableColumn id="8378" xr3:uid="{3F48DCB9-C540-475C-8B30-88E9E160E22C}" name="Column8378"/>
    <tableColumn id="8379" xr3:uid="{EE2D6222-AF2B-4B05-85EB-76E4CB38B31E}" name="Column8379"/>
    <tableColumn id="8380" xr3:uid="{156FEABD-4364-415F-BA40-1FF597528DF9}" name="Column8380"/>
    <tableColumn id="8381" xr3:uid="{69C65EA2-DF94-4673-B7CC-63748BC99904}" name="Column8381"/>
    <tableColumn id="8382" xr3:uid="{3E5CCEFB-3794-4130-9266-8E0F1CB94D3E}" name="Column8382"/>
    <tableColumn id="8383" xr3:uid="{A9B5E05E-77E2-4495-8B19-4BBE6FD1C840}" name="Column8383"/>
    <tableColumn id="8384" xr3:uid="{932F629F-214D-480E-9EBD-FA9D9D573E85}" name="Column8384"/>
    <tableColumn id="8385" xr3:uid="{F4DC423E-56FA-463B-861E-E4EF2FD2A391}" name="Column8385"/>
    <tableColumn id="8386" xr3:uid="{F0C09EDE-CE0E-49D4-AF71-D213A131C9D2}" name="Column8386"/>
    <tableColumn id="8387" xr3:uid="{7137F2A6-3300-4A3F-A2C7-0E64EA97092E}" name="Column8387"/>
    <tableColumn id="8388" xr3:uid="{85BAC2F6-D7B8-4591-9141-661CF6742853}" name="Column8388"/>
    <tableColumn id="8389" xr3:uid="{BE21DA48-58E3-4E8C-A7AF-F442C7353A50}" name="Column8389"/>
    <tableColumn id="8390" xr3:uid="{0D4DC603-DEAA-4174-BAD0-80AE694D67AB}" name="Column8390"/>
    <tableColumn id="8391" xr3:uid="{CD0B5BB6-FBE3-40A3-BCAD-BB058434D449}" name="Column8391"/>
    <tableColumn id="8392" xr3:uid="{19034277-C17A-42E6-B19B-C35A17A5F974}" name="Column8392"/>
    <tableColumn id="8393" xr3:uid="{DCA62506-D925-4F71-9824-BD42F4DDD5B4}" name="Column8393"/>
    <tableColumn id="8394" xr3:uid="{5A35E3E5-DE5B-4821-BD69-0353B9731FEF}" name="Column8394"/>
    <tableColumn id="8395" xr3:uid="{385C83A7-DB35-48C6-8C40-C9B3F1C91773}" name="Column8395"/>
    <tableColumn id="8396" xr3:uid="{7D84A5B6-8F7B-45D4-AECD-2A5898215B10}" name="Column8396"/>
    <tableColumn id="8397" xr3:uid="{EC98D1B6-F0DF-4C6E-AE77-DED946B39FDA}" name="Column8397"/>
    <tableColumn id="8398" xr3:uid="{D1DB09DF-AEAB-4DEB-BE2B-D12789226661}" name="Column8398"/>
    <tableColumn id="8399" xr3:uid="{3830736A-BD8C-4071-8DBF-D762A37772C2}" name="Column8399"/>
    <tableColumn id="8400" xr3:uid="{DFFDE69C-6DC0-4B5F-B6C6-6365EFC6D4AB}" name="Column8400"/>
    <tableColumn id="8401" xr3:uid="{8633C872-E20C-40F7-A68D-B116F6F6DB16}" name="Column8401"/>
    <tableColumn id="8402" xr3:uid="{E84BD0C7-8278-4D2C-9E53-DB99F6A6D3E4}" name="Column8402"/>
    <tableColumn id="8403" xr3:uid="{60698148-F85D-4974-A93B-9391698FC54F}" name="Column8403"/>
    <tableColumn id="8404" xr3:uid="{942F47D8-AF1F-4303-BEE5-B5AB9A3EECF0}" name="Column8404"/>
    <tableColumn id="8405" xr3:uid="{0A167A40-5DCF-4AF3-A5ED-8D9E0272BB2D}" name="Column8405"/>
    <tableColumn id="8406" xr3:uid="{8DC9C958-6FB1-4369-B251-5422889F9869}" name="Column8406"/>
    <tableColumn id="8407" xr3:uid="{7D09E8F7-863F-4C81-A8BD-72DB88F53A59}" name="Column8407"/>
    <tableColumn id="8408" xr3:uid="{4C9E378E-5C7C-420C-98C5-5F43722F6131}" name="Column8408"/>
    <tableColumn id="8409" xr3:uid="{42D5FFC3-149B-42A5-B11F-A658EC6625E6}" name="Column8409"/>
    <tableColumn id="8410" xr3:uid="{30C171E0-C5D5-44C6-8B92-4F92687F17F8}" name="Column8410"/>
    <tableColumn id="8411" xr3:uid="{D716F9AF-7562-4553-80C9-93B6FF9E64AB}" name="Column8411"/>
    <tableColumn id="8412" xr3:uid="{9060709A-3CEA-49BD-AECD-5A64A0F61736}" name="Column8412"/>
    <tableColumn id="8413" xr3:uid="{390208B9-556C-4E39-B4FE-E82984BB7F53}" name="Column8413"/>
    <tableColumn id="8414" xr3:uid="{1C298EB0-75ED-49BE-97AF-551ABD9CB2C9}" name="Column8414"/>
    <tableColumn id="8415" xr3:uid="{9DDD7B89-493A-43A2-B4E1-380284F566B5}" name="Column8415"/>
    <tableColumn id="8416" xr3:uid="{7C81AAEC-5638-4042-9176-68CE3D95AED9}" name="Column8416"/>
    <tableColumn id="8417" xr3:uid="{2FC8F3AC-1060-4FF0-9D18-49450086BC71}" name="Column8417"/>
    <tableColumn id="8418" xr3:uid="{0DB8CC89-37F0-4873-9FDC-47C6721A82AE}" name="Column8418"/>
    <tableColumn id="8419" xr3:uid="{93E6FA67-DCBC-429A-A97D-72ED20441408}" name="Column8419"/>
    <tableColumn id="8420" xr3:uid="{562BEF44-1138-4515-BD1B-0C3BC2A261A7}" name="Column8420"/>
    <tableColumn id="8421" xr3:uid="{0E38F3CA-0D2E-4D58-A6D2-09101968FBA9}" name="Column8421"/>
    <tableColumn id="8422" xr3:uid="{0B6CCEBB-4196-45F0-90A3-49570AFA2E34}" name="Column8422"/>
    <tableColumn id="8423" xr3:uid="{F608CDBD-6285-463C-A959-AF4317EB2185}" name="Column8423"/>
    <tableColumn id="8424" xr3:uid="{438EFDD6-D23A-482E-8971-6F09D5D10A15}" name="Column8424"/>
    <tableColumn id="8425" xr3:uid="{39944EAE-606C-4AC3-A961-A9A66E3760E8}" name="Column8425"/>
    <tableColumn id="8426" xr3:uid="{09E4E8F4-6EBB-41EF-B196-F1CAB15C6F4E}" name="Column8426"/>
    <tableColumn id="8427" xr3:uid="{DD6056DD-30FD-4031-A182-60C7BEB7D5A2}" name="Column8427"/>
    <tableColumn id="8428" xr3:uid="{8968C582-A9BA-4954-9329-F41C013E8ABD}" name="Column8428"/>
    <tableColumn id="8429" xr3:uid="{2B2F4890-B770-4CEF-A7C8-F71D4356F785}" name="Column8429"/>
    <tableColumn id="8430" xr3:uid="{0902CC0B-E572-4903-86FF-B63CAC578078}" name="Column8430"/>
    <tableColumn id="8431" xr3:uid="{18ADD752-8807-45CE-ACA3-194E94CE5DA5}" name="Column8431"/>
    <tableColumn id="8432" xr3:uid="{3959976E-075A-43F0-91F3-AB18B85516D5}" name="Column8432"/>
    <tableColumn id="8433" xr3:uid="{DC7DCCED-D100-4B2B-BEF0-47677AF9A942}" name="Column8433"/>
    <tableColumn id="8434" xr3:uid="{E4C132E3-8BAC-44D6-85D2-E800A0283D66}" name="Column8434"/>
    <tableColumn id="8435" xr3:uid="{CE869967-6870-4DA4-9D03-50F1270C6E8A}" name="Column8435"/>
    <tableColumn id="8436" xr3:uid="{B8BE5926-BA30-4063-94C6-C9934BEC24F7}" name="Column8436"/>
    <tableColumn id="8437" xr3:uid="{5529AB7D-50B8-46B1-9E66-04033B21A419}" name="Column8437"/>
    <tableColumn id="8438" xr3:uid="{D31DECAB-6D46-4848-A589-E390E00E4E53}" name="Column8438"/>
    <tableColumn id="8439" xr3:uid="{EA2A2CB4-EBDD-4A37-8C88-638A2C74CE7D}" name="Column8439"/>
    <tableColumn id="8440" xr3:uid="{863494E8-6132-475B-85C2-210907EF2C88}" name="Column8440"/>
    <tableColumn id="8441" xr3:uid="{874D7198-E66F-4E9C-BA5F-E5BC0EAFA943}" name="Column8441"/>
    <tableColumn id="8442" xr3:uid="{616737EF-35E4-450B-9C3D-BF3144DC1AB8}" name="Column8442"/>
    <tableColumn id="8443" xr3:uid="{35E5599F-C83A-4810-90B9-90FD581968CF}" name="Column8443"/>
    <tableColumn id="8444" xr3:uid="{769F7FA9-5447-40A3-BBE5-6BC1B25E2FD3}" name="Column8444"/>
    <tableColumn id="8445" xr3:uid="{72668FE8-A62F-4287-A489-7A7431B5D3B2}" name="Column8445"/>
    <tableColumn id="8446" xr3:uid="{2F2A7E89-B9D2-42FB-8A2E-7BE12AE716C8}" name="Column8446"/>
    <tableColumn id="8447" xr3:uid="{BEB94B16-1084-4C56-BD27-1D5E0404D968}" name="Column8447"/>
    <tableColumn id="8448" xr3:uid="{D1519ACA-E343-461A-B5E8-C057AF14A453}" name="Column8448"/>
    <tableColumn id="8449" xr3:uid="{96C9F984-2536-4B65-8A4A-CED32D972EEC}" name="Column8449"/>
    <tableColumn id="8450" xr3:uid="{5CF13E9E-4576-4A20-8456-D055D20CB6F8}" name="Column8450"/>
    <tableColumn id="8451" xr3:uid="{7F57443E-5B12-4762-96AC-160A31D6222C}" name="Column8451"/>
    <tableColumn id="8452" xr3:uid="{561FDBB5-6CB1-4C1D-B367-4F3086139E9B}" name="Column8452"/>
    <tableColumn id="8453" xr3:uid="{7DE36C94-9310-4EAB-8317-F9AB28914F55}" name="Column8453"/>
    <tableColumn id="8454" xr3:uid="{D4995CEC-B889-43AE-8A6E-E4CC4306911D}" name="Column8454"/>
    <tableColumn id="8455" xr3:uid="{70633AC3-F70C-4B94-8AE2-F86D4581B2B7}" name="Column8455"/>
    <tableColumn id="8456" xr3:uid="{A21DA13D-8680-48FB-9A3D-6AF98FAF0DD8}" name="Column8456"/>
    <tableColumn id="8457" xr3:uid="{16201D86-AD92-40D9-8290-29DC13FA9AF0}" name="Column8457"/>
    <tableColumn id="8458" xr3:uid="{F3FDE32E-99AF-40FA-820D-8DB27A96D1E6}" name="Column8458"/>
    <tableColumn id="8459" xr3:uid="{F6D04D69-A423-4B20-825D-65BA9943CB0D}" name="Column8459"/>
    <tableColumn id="8460" xr3:uid="{E43B7A0B-3991-4A36-9BE3-4D9515E2F56A}" name="Column8460"/>
    <tableColumn id="8461" xr3:uid="{382EFC46-39A9-4511-8A30-90C2E23E1052}" name="Column8461"/>
    <tableColumn id="8462" xr3:uid="{60DB2069-713C-4887-A9F5-B9489A45010B}" name="Column8462"/>
    <tableColumn id="8463" xr3:uid="{D49AC9FC-861B-4DBA-88B0-FFDC5F3842E4}" name="Column8463"/>
    <tableColumn id="8464" xr3:uid="{5FCF9A96-AE9E-4128-AFCE-99028AED9D4B}" name="Column8464"/>
    <tableColumn id="8465" xr3:uid="{673F1525-0DA6-4A5F-BFF3-2D2428DB0C08}" name="Column8465"/>
    <tableColumn id="8466" xr3:uid="{E43A1611-9029-4E53-9CDD-E9641ACD11E0}" name="Column8466"/>
    <tableColumn id="8467" xr3:uid="{A9098C80-1BCD-4868-B419-8DFBC0392153}" name="Column8467"/>
    <tableColumn id="8468" xr3:uid="{80EE6F54-0809-47A4-B0FB-B7BB2E7EA937}" name="Column8468"/>
    <tableColumn id="8469" xr3:uid="{5AAADA06-B7A7-44AF-A47F-2D36F8697BA4}" name="Column8469"/>
    <tableColumn id="8470" xr3:uid="{B6391233-4113-4A58-A8F6-71E947896886}" name="Column8470"/>
    <tableColumn id="8471" xr3:uid="{17E3A0E4-46EE-4C75-9915-BA1C6A3E2464}" name="Column8471"/>
    <tableColumn id="8472" xr3:uid="{5A905FCC-E335-43DD-B43E-EB0B70F2DB9F}" name="Column8472"/>
    <tableColumn id="8473" xr3:uid="{52A3FC7C-958D-4277-9900-4C6AD777D498}" name="Column8473"/>
    <tableColumn id="8474" xr3:uid="{05EB8EE1-A735-4A7D-AFE3-5C4B1FB53141}" name="Column8474"/>
    <tableColumn id="8475" xr3:uid="{0264844F-FF1C-42F5-A02F-20A340770633}" name="Column8475"/>
    <tableColumn id="8476" xr3:uid="{90D730DB-98E4-491A-A473-AA199763FF4A}" name="Column8476"/>
    <tableColumn id="8477" xr3:uid="{85526E7E-A981-4285-80F4-F43A12AD41B4}" name="Column8477"/>
    <tableColumn id="8478" xr3:uid="{D1CC5C5A-7885-4503-A71B-7E1ED364D9DF}" name="Column8478"/>
    <tableColumn id="8479" xr3:uid="{6FB6237F-524E-4951-A89B-D0820BC13654}" name="Column8479"/>
    <tableColumn id="8480" xr3:uid="{09390525-8B16-4155-8B54-1272560DED70}" name="Column8480"/>
    <tableColumn id="8481" xr3:uid="{533AE1E5-CFB9-4103-B927-9247674FEABE}" name="Column8481"/>
    <tableColumn id="8482" xr3:uid="{70DCE44D-3957-4B49-993C-83F98B01C60D}" name="Column8482"/>
    <tableColumn id="8483" xr3:uid="{756A98C0-E689-4B0E-877B-FEBFCA3C8D84}" name="Column8483"/>
    <tableColumn id="8484" xr3:uid="{B75D4D18-19AC-4047-B0CE-496EBCB4CF81}" name="Column8484"/>
    <tableColumn id="8485" xr3:uid="{0832A849-A289-4A1F-BBDA-ED13EF0DBF5C}" name="Column8485"/>
    <tableColumn id="8486" xr3:uid="{BDF6F7C7-98A6-44CE-9866-76F31FAD5069}" name="Column8486"/>
    <tableColumn id="8487" xr3:uid="{706BB799-4626-4212-A957-A91C8A0ED075}" name="Column8487"/>
    <tableColumn id="8488" xr3:uid="{CF6C6226-7847-431C-8016-DC235F0B9CDB}" name="Column8488"/>
    <tableColumn id="8489" xr3:uid="{C8BD2B1E-75A8-4C7D-B582-9D85FD620CAC}" name="Column8489"/>
    <tableColumn id="8490" xr3:uid="{79C50043-E1EF-4B5E-B979-CCAD36CF49B4}" name="Column8490"/>
    <tableColumn id="8491" xr3:uid="{BF148CAE-7CE4-4DC0-A007-CFDE2B78D1A4}" name="Column8491"/>
    <tableColumn id="8492" xr3:uid="{8AA31F34-9609-480F-A324-42488AE054E6}" name="Column8492"/>
    <tableColumn id="8493" xr3:uid="{42000FD4-0F91-4E98-ACEA-C5567519A721}" name="Column8493"/>
    <tableColumn id="8494" xr3:uid="{D960F2BD-1BCA-43A1-824A-CC0FDCBFCB9D}" name="Column8494"/>
    <tableColumn id="8495" xr3:uid="{5D79F6F1-BFB3-467A-9A5A-54FE14BA72F6}" name="Column8495"/>
    <tableColumn id="8496" xr3:uid="{0EE8A8C2-A2B0-42EA-B9B3-6D9F71BABF9D}" name="Column8496"/>
    <tableColumn id="8497" xr3:uid="{A62376C9-835C-4168-A20A-CECF55CC6A4E}" name="Column8497"/>
    <tableColumn id="8498" xr3:uid="{325B75D7-9331-474B-9AB1-29A8C2F65E0C}" name="Column8498"/>
    <tableColumn id="8499" xr3:uid="{0B7447A3-06B0-4C31-B051-14769DCAB72D}" name="Column8499"/>
    <tableColumn id="8500" xr3:uid="{45644FFF-A44D-4110-903E-2BAFEF1E024B}" name="Column8500"/>
    <tableColumn id="8501" xr3:uid="{6C4EF93D-AFB4-4C8B-AB2E-5E1B22389DC1}" name="Column8501"/>
    <tableColumn id="8502" xr3:uid="{0E999089-DC78-416A-898F-04EF4FCA418E}" name="Column8502"/>
    <tableColumn id="8503" xr3:uid="{BBCFAEA3-6952-428E-9BF7-FA8B08B5DFB5}" name="Column8503"/>
    <tableColumn id="8504" xr3:uid="{97BC60BE-B951-4E8B-8324-49B244C29DD4}" name="Column8504"/>
    <tableColumn id="8505" xr3:uid="{3DD53EB9-752D-4836-B60D-6C2E42AB67D5}" name="Column8505"/>
    <tableColumn id="8506" xr3:uid="{23925BDE-8AB1-449D-BCE3-E0CED3B559E4}" name="Column8506"/>
    <tableColumn id="8507" xr3:uid="{4C1ADE6F-B3AA-4B14-B91F-349976843963}" name="Column8507"/>
    <tableColumn id="8508" xr3:uid="{5E8668BD-885E-4DB4-B7C1-DCA0FCFCDBD8}" name="Column8508"/>
    <tableColumn id="8509" xr3:uid="{916D97BE-D5BA-4F13-8361-1FE3371EBBAC}" name="Column8509"/>
    <tableColumn id="8510" xr3:uid="{70A229B4-2765-41FD-AFDE-F1ADFC6F1975}" name="Column8510"/>
    <tableColumn id="8511" xr3:uid="{898736B0-D9FB-4719-9B87-E4DF63B59F3C}" name="Column8511"/>
    <tableColumn id="8512" xr3:uid="{F40DCE65-4413-49DC-BBF0-70664F5E2B7E}" name="Column8512"/>
    <tableColumn id="8513" xr3:uid="{64635574-60AC-491E-BA96-8ED2F792C5CD}" name="Column8513"/>
    <tableColumn id="8514" xr3:uid="{6BC6C720-C791-4B17-9498-58F863192D43}" name="Column8514"/>
    <tableColumn id="8515" xr3:uid="{D514CD48-381A-45CC-969C-8D20A684ECD2}" name="Column8515"/>
    <tableColumn id="8516" xr3:uid="{7C0129F6-460C-4246-B9FE-D823B168B6F0}" name="Column8516"/>
    <tableColumn id="8517" xr3:uid="{8B840DDD-ED61-4214-905C-B27FC5F605D0}" name="Column8517"/>
    <tableColumn id="8518" xr3:uid="{40D3F1AA-0F4D-4283-914E-8C4A7968FB26}" name="Column8518"/>
    <tableColumn id="8519" xr3:uid="{8177ED84-A38E-41CF-BA8A-BE0A913C8B02}" name="Column8519"/>
    <tableColumn id="8520" xr3:uid="{395F473E-2996-4E9E-9141-9FAA397D4B57}" name="Column8520"/>
    <tableColumn id="8521" xr3:uid="{97F254F5-32EC-44E6-889B-B8857F86B709}" name="Column8521"/>
    <tableColumn id="8522" xr3:uid="{B57B4E85-927F-4B13-912B-3AFEE5F48AAF}" name="Column8522"/>
    <tableColumn id="8523" xr3:uid="{98D96C1E-E303-4936-B4B6-19E0A57A6E5E}" name="Column8523"/>
    <tableColumn id="8524" xr3:uid="{EA843D3B-3703-4127-8D3E-11531CD8CC2B}" name="Column8524"/>
    <tableColumn id="8525" xr3:uid="{9D452DD4-C098-4695-BC66-9519D78B447E}" name="Column8525"/>
    <tableColumn id="8526" xr3:uid="{86F16B83-69C4-4AF9-BDC5-317E35110CFB}" name="Column8526"/>
    <tableColumn id="8527" xr3:uid="{B7CE0241-8947-4E2F-AEB8-4D3918A1C7D9}" name="Column8527"/>
    <tableColumn id="8528" xr3:uid="{200EDC85-37F0-4841-B506-8D4E80F97CA7}" name="Column8528"/>
    <tableColumn id="8529" xr3:uid="{4FDC0907-1286-4238-B44A-B383FFE43464}" name="Column8529"/>
    <tableColumn id="8530" xr3:uid="{48573038-FB9D-46AA-A4D5-2B9F65E58251}" name="Column8530"/>
    <tableColumn id="8531" xr3:uid="{8125AD97-C7A4-46E4-ACEF-E8D0FAC25192}" name="Column8531"/>
    <tableColumn id="8532" xr3:uid="{50D022DA-7644-434A-AFEB-25572E1BA39B}" name="Column8532"/>
    <tableColumn id="8533" xr3:uid="{8B8B1F15-225E-40D9-88CF-259E76B8A8AE}" name="Column8533"/>
    <tableColumn id="8534" xr3:uid="{816DDCAE-EF0F-410D-B336-7A40639B0A61}" name="Column8534"/>
    <tableColumn id="8535" xr3:uid="{8CF28CC6-B7A7-451A-9777-478996EBB375}" name="Column8535"/>
    <tableColumn id="8536" xr3:uid="{989097C3-1AA1-4AE3-AA3E-09F087023B35}" name="Column8536"/>
    <tableColumn id="8537" xr3:uid="{5579CB90-E1A0-4F9A-8FB1-3C8F22973507}" name="Column8537"/>
    <tableColumn id="8538" xr3:uid="{C7667F2B-D2D5-42E5-8A5D-553BABF86100}" name="Column8538"/>
    <tableColumn id="8539" xr3:uid="{791E6557-3BCE-4D59-BDC5-1DA9BE212C89}" name="Column8539"/>
    <tableColumn id="8540" xr3:uid="{35E1456C-A295-47F9-8106-C2B794D1E893}" name="Column8540"/>
    <tableColumn id="8541" xr3:uid="{5DF35B87-B175-4B2E-A221-C3F4816B07DB}" name="Column8541"/>
    <tableColumn id="8542" xr3:uid="{DFA1CD7D-0297-4900-8B4D-179A8C5AA403}" name="Column8542"/>
    <tableColumn id="8543" xr3:uid="{CFDA4A6C-846D-497E-A8C9-3CF5DCAA8F2F}" name="Column8543"/>
    <tableColumn id="8544" xr3:uid="{7AA3BCB0-F16D-41D5-A345-932EF8D0B285}" name="Column8544"/>
    <tableColumn id="8545" xr3:uid="{2D3D15C1-0AB1-40DE-AB80-30788D91D7A2}" name="Column8545"/>
    <tableColumn id="8546" xr3:uid="{6372D4E8-BEBC-4BE6-9A91-F8F35AD25BB2}" name="Column8546"/>
    <tableColumn id="8547" xr3:uid="{85306AB1-8B7F-4414-8F8D-B1153B6E1BD2}" name="Column8547"/>
    <tableColumn id="8548" xr3:uid="{B5C1B1F3-73B6-43F5-A281-5EF02B77A81D}" name="Column8548"/>
    <tableColumn id="8549" xr3:uid="{F1018422-6360-45DC-968A-078B9F210BB5}" name="Column8549"/>
    <tableColumn id="8550" xr3:uid="{7343285D-915E-4D4B-81F2-B101AC900006}" name="Column8550"/>
    <tableColumn id="8551" xr3:uid="{38A4C455-EC3B-40AF-A9ED-4B2B1843E1F0}" name="Column8551"/>
    <tableColumn id="8552" xr3:uid="{7BC925A5-8D17-4269-BEE2-060DC5E0140A}" name="Column8552"/>
    <tableColumn id="8553" xr3:uid="{8E9AC58D-80E1-4048-BC1C-B7CBF7D4BE39}" name="Column8553"/>
    <tableColumn id="8554" xr3:uid="{F290C089-56EC-4600-B9D8-6BBA002E393B}" name="Column8554"/>
    <tableColumn id="8555" xr3:uid="{84E9FECA-42E8-48C0-B093-C186A5A23C52}" name="Column8555"/>
    <tableColumn id="8556" xr3:uid="{ACC4C1B9-84E1-4E1D-8EC6-7F60FF32E244}" name="Column8556"/>
    <tableColumn id="8557" xr3:uid="{FDDD9C34-3BFA-4E50-A20E-99B342981DF3}" name="Column8557"/>
    <tableColumn id="8558" xr3:uid="{483F8253-9C4D-44D3-A86D-3AA1D093E9B9}" name="Column8558"/>
    <tableColumn id="8559" xr3:uid="{93D4796E-7197-4494-9BD5-2D3A5CE724D9}" name="Column8559"/>
    <tableColumn id="8560" xr3:uid="{462C6E7F-5E99-426E-9F7F-580E7E2B3D12}" name="Column8560"/>
    <tableColumn id="8561" xr3:uid="{5EB9393A-7317-41E5-A852-6DC79C9E43F1}" name="Column8561"/>
    <tableColumn id="8562" xr3:uid="{90932BA8-09A1-44DC-891D-4C8313BF3444}" name="Column8562"/>
    <tableColumn id="8563" xr3:uid="{49BCFE81-B6E8-40F3-84B5-3C8847B95838}" name="Column8563"/>
    <tableColumn id="8564" xr3:uid="{8502566A-7FB9-450C-A489-08705DA37C1A}" name="Column8564"/>
    <tableColumn id="8565" xr3:uid="{66227635-FF93-42FA-B5C6-FDCA6ABE6598}" name="Column8565"/>
    <tableColumn id="8566" xr3:uid="{C95B78F2-11F4-4278-B4A2-13244E66016B}" name="Column8566"/>
    <tableColumn id="8567" xr3:uid="{97CA51BB-4217-42CD-AF9D-7615D69C6D45}" name="Column8567"/>
    <tableColumn id="8568" xr3:uid="{1B8E3FED-3136-4F84-A695-2AFD8B1E4E05}" name="Column8568"/>
    <tableColumn id="8569" xr3:uid="{FC374E07-8653-410D-A45F-8FFD17C3D55C}" name="Column8569"/>
    <tableColumn id="8570" xr3:uid="{B24A9E5B-B6B8-4013-BBF5-97985F3FCFE9}" name="Column8570"/>
    <tableColumn id="8571" xr3:uid="{328F1783-E697-44CD-9C54-9743DA8AA510}" name="Column8571"/>
    <tableColumn id="8572" xr3:uid="{60961ED9-453E-4BF0-9ED6-1CA3BAD1CEAE}" name="Column8572"/>
    <tableColumn id="8573" xr3:uid="{401A466E-B4A5-4885-91B7-3325EF87EA7E}" name="Column8573"/>
    <tableColumn id="8574" xr3:uid="{0B1EBBBB-40D4-4638-A3CF-2A45398D6567}" name="Column8574"/>
    <tableColumn id="8575" xr3:uid="{8B826A78-BF3B-41A8-B921-677FD7D721DE}" name="Column8575"/>
    <tableColumn id="8576" xr3:uid="{367B2857-65B5-40F7-8358-6C23BC77C261}" name="Column8576"/>
    <tableColumn id="8577" xr3:uid="{6A54457C-873C-4FF0-A384-3C04E6CB23EA}" name="Column8577"/>
    <tableColumn id="8578" xr3:uid="{C61DA046-5ADA-4410-9560-5A675AFDE1BF}" name="Column8578"/>
    <tableColumn id="8579" xr3:uid="{778026CC-AE91-4383-8845-1B68A829E781}" name="Column8579"/>
    <tableColumn id="8580" xr3:uid="{97091299-7B9A-475A-8019-A8A84B93365B}" name="Column8580"/>
    <tableColumn id="8581" xr3:uid="{9B5BBCAE-40B3-43F5-852E-D2BC304DA88E}" name="Column8581"/>
    <tableColumn id="8582" xr3:uid="{0CF4D09C-13C9-46EA-BD5E-3F347E64D1F4}" name="Column8582"/>
    <tableColumn id="8583" xr3:uid="{30625435-C05C-4278-A68D-B4003B84B5EA}" name="Column8583"/>
    <tableColumn id="8584" xr3:uid="{AD5A0DA8-9954-431E-A035-E29BBE928E2C}" name="Column8584"/>
    <tableColumn id="8585" xr3:uid="{71565B63-E740-4F64-BED7-71723BE587DE}" name="Column8585"/>
    <tableColumn id="8586" xr3:uid="{F9DB1C15-07E7-4403-8C0F-0BDC20EC8967}" name="Column8586"/>
    <tableColumn id="8587" xr3:uid="{A5C65A2C-6DCF-4AC8-99EB-05C02534FC2F}" name="Column8587"/>
    <tableColumn id="8588" xr3:uid="{61DB4073-B6D1-461A-A06B-5130B11C68F0}" name="Column8588"/>
    <tableColumn id="8589" xr3:uid="{2A6E252A-EEA0-45F0-ABF8-D9D2648164C4}" name="Column8589"/>
    <tableColumn id="8590" xr3:uid="{CEDE506A-6385-455B-BD52-3FE0F650C04E}" name="Column8590"/>
    <tableColumn id="8591" xr3:uid="{FDF33DBD-1399-4EED-A87F-974580D41272}" name="Column8591"/>
    <tableColumn id="8592" xr3:uid="{FCA1D941-9AEF-49E1-B3B7-93F509119486}" name="Column8592"/>
    <tableColumn id="8593" xr3:uid="{0AC595A8-B53D-4C33-9916-75C28349CC5B}" name="Column8593"/>
    <tableColumn id="8594" xr3:uid="{772EDA99-0CA4-4435-9C86-48EAE1B6D2B4}" name="Column8594"/>
    <tableColumn id="8595" xr3:uid="{6608ED19-3332-4F8A-B645-688F0E605FA3}" name="Column8595"/>
    <tableColumn id="8596" xr3:uid="{03C0D673-99B7-4FDB-A544-A88C3B7DB0B8}" name="Column8596"/>
    <tableColumn id="8597" xr3:uid="{98DA1F81-8A43-4DFC-9960-CFDB6ECA4ED2}" name="Column8597"/>
    <tableColumn id="8598" xr3:uid="{2EC71363-FA67-4F59-8055-D3CE4A245C8E}" name="Column8598"/>
    <tableColumn id="8599" xr3:uid="{20F02E46-C773-4281-AF86-9E67AE6ED797}" name="Column8599"/>
    <tableColumn id="8600" xr3:uid="{C1D821CB-FD25-42C1-B7D1-3BBA87EAB28F}" name="Column8600"/>
    <tableColumn id="8601" xr3:uid="{9F2055FA-53F7-4B5A-92B2-236C53DAA74A}" name="Column8601"/>
    <tableColumn id="8602" xr3:uid="{5F9B063B-D7E2-41DC-8A14-F1463B3FBF07}" name="Column8602"/>
    <tableColumn id="8603" xr3:uid="{B5D60FE1-D256-43C9-8FAD-657C92B396A6}" name="Column8603"/>
    <tableColumn id="8604" xr3:uid="{B48D687F-346E-44E4-9F45-DCA33DDC9D51}" name="Column8604"/>
    <tableColumn id="8605" xr3:uid="{2DAF2FCB-DEC2-4579-A557-BC8F7FA2621C}" name="Column8605"/>
    <tableColumn id="8606" xr3:uid="{23E305BE-26E1-4D27-8600-E7F4B1E2F718}" name="Column8606"/>
    <tableColumn id="8607" xr3:uid="{2A45D1F7-749A-4649-BD41-84F1401626DF}" name="Column8607"/>
    <tableColumn id="8608" xr3:uid="{6D95B474-9BE6-4489-929E-366A28F4585F}" name="Column8608"/>
    <tableColumn id="8609" xr3:uid="{932B6930-1DE3-4DDC-81D5-A6A3CC363930}" name="Column8609"/>
    <tableColumn id="8610" xr3:uid="{1DACF29C-0941-4277-BFEE-F7966062205D}" name="Column8610"/>
    <tableColumn id="8611" xr3:uid="{3418F39E-0B80-4868-B852-E62DFB369618}" name="Column8611"/>
    <tableColumn id="8612" xr3:uid="{08808937-5ECA-4F1A-9333-252F189663B7}" name="Column8612"/>
    <tableColumn id="8613" xr3:uid="{B6A74A07-8386-4986-8B26-68952DDBE39B}" name="Column8613"/>
    <tableColumn id="8614" xr3:uid="{451CF853-0864-4058-9ADC-C8835399D44D}" name="Column8614"/>
    <tableColumn id="8615" xr3:uid="{E0DEDAF9-66C7-4B1D-B987-D02EE3CE2351}" name="Column8615"/>
    <tableColumn id="8616" xr3:uid="{7E950F4B-786B-4821-B6F9-705EDAD919BD}" name="Column8616"/>
    <tableColumn id="8617" xr3:uid="{38F8BBB5-F697-40CF-9E21-B6A1011534AC}" name="Column8617"/>
    <tableColumn id="8618" xr3:uid="{9E015CB5-D9AB-453B-9C75-20B6CCB6C95E}" name="Column8618"/>
    <tableColumn id="8619" xr3:uid="{6B74BCFE-0651-4B7C-B2E2-67A1A58AEDAD}" name="Column8619"/>
    <tableColumn id="8620" xr3:uid="{62D673C6-D9AF-4A7B-8612-4FA4BD404199}" name="Column8620"/>
    <tableColumn id="8621" xr3:uid="{266EA2F7-2A50-40D8-BEDE-788B0D5D6AED}" name="Column8621"/>
    <tableColumn id="8622" xr3:uid="{A83CB0BA-65E9-405B-BF3E-7E36F5BDF62D}" name="Column8622"/>
    <tableColumn id="8623" xr3:uid="{8D048C2B-99E3-4825-BB13-A3835380A82C}" name="Column8623"/>
    <tableColumn id="8624" xr3:uid="{DED20E87-7CC3-43FA-A6A6-79BE6D35D948}" name="Column8624"/>
    <tableColumn id="8625" xr3:uid="{CD6C98F7-2763-4788-B931-697FC2AA6ED8}" name="Column8625"/>
    <tableColumn id="8626" xr3:uid="{9B338282-16C4-4FF2-A8C8-8A63012A2AED}" name="Column8626"/>
    <tableColumn id="8627" xr3:uid="{93C0DB55-7BF4-4891-864D-715751DCC0C9}" name="Column8627"/>
    <tableColumn id="8628" xr3:uid="{6FB99A6C-ECF0-4578-AFCF-37F6023A6F2C}" name="Column8628"/>
    <tableColumn id="8629" xr3:uid="{5765207E-2356-430F-8278-FE50CD895F6C}" name="Column8629"/>
    <tableColumn id="8630" xr3:uid="{25520113-AB65-4E73-A4DA-E7E741E71092}" name="Column8630"/>
    <tableColumn id="8631" xr3:uid="{C88304BE-17FD-4F0A-B9FB-037D43E5C45B}" name="Column8631"/>
    <tableColumn id="8632" xr3:uid="{CDFF7B38-0CF9-4E2E-BCBC-C7120C9FC9DD}" name="Column8632"/>
    <tableColumn id="8633" xr3:uid="{41534316-27F9-4A37-BE45-42E990E547FE}" name="Column8633"/>
    <tableColumn id="8634" xr3:uid="{0AE1DDAD-568A-497E-899B-D27A493D0EAB}" name="Column8634"/>
    <tableColumn id="8635" xr3:uid="{93AAF257-B22A-4210-BAB2-A3BFE7F02884}" name="Column8635"/>
    <tableColumn id="8636" xr3:uid="{698AE47A-2ED3-4FC6-893D-199B589BF17A}" name="Column8636"/>
    <tableColumn id="8637" xr3:uid="{705BDB7F-D780-44E5-8090-ACDB784292F0}" name="Column8637"/>
    <tableColumn id="8638" xr3:uid="{19E7189C-843F-44D6-BCFD-1FCC69881F43}" name="Column8638"/>
    <tableColumn id="8639" xr3:uid="{A1A0D02D-9BA3-4621-8848-54EED6F55D83}" name="Column8639"/>
    <tableColumn id="8640" xr3:uid="{ED02F9E6-E175-4811-BDD9-E92F776C712C}" name="Column8640"/>
    <tableColumn id="8641" xr3:uid="{BDC027D8-9A39-49BE-9AD9-D2086977B079}" name="Column8641"/>
    <tableColumn id="8642" xr3:uid="{7EC6908A-9EFE-4154-8662-9B12096D3026}" name="Column8642"/>
    <tableColumn id="8643" xr3:uid="{377B07DC-72D9-40A8-8D3F-C3D8549DA258}" name="Column8643"/>
    <tableColumn id="8644" xr3:uid="{2AD4BA92-BB67-411E-9D43-F3090DEABC66}" name="Column8644"/>
    <tableColumn id="8645" xr3:uid="{C0A157D8-4ADC-4A4E-8303-348CEEFE46EF}" name="Column8645"/>
    <tableColumn id="8646" xr3:uid="{DD8FC90D-E0CD-4626-B86F-98C693926820}" name="Column8646"/>
    <tableColumn id="8647" xr3:uid="{A5F0E6DF-8412-43FC-A2BC-AF0A0F2CF569}" name="Column8647"/>
    <tableColumn id="8648" xr3:uid="{A49D6EDE-06D0-46E5-A929-3B206C56CDBA}" name="Column8648"/>
    <tableColumn id="8649" xr3:uid="{95DCB1A7-1814-4B95-BEDD-EC26EF63CA7B}" name="Column8649"/>
    <tableColumn id="8650" xr3:uid="{51ABE911-EA90-4EFE-9D51-AF28D0D9DCD5}" name="Column8650"/>
    <tableColumn id="8651" xr3:uid="{43F877D2-0532-46A8-982D-3808D060CB30}" name="Column8651"/>
    <tableColumn id="8652" xr3:uid="{FAA8E537-4A9A-4B0D-8674-3993E12AA669}" name="Column8652"/>
    <tableColumn id="8653" xr3:uid="{1C7A25F9-BF0F-46BF-82E4-E6179BA90C64}" name="Column8653"/>
    <tableColumn id="8654" xr3:uid="{1B9C1883-3C73-487E-8908-81C0D38E5324}" name="Column8654"/>
    <tableColumn id="8655" xr3:uid="{DE859C00-24F2-421B-903F-7F55B27F331B}" name="Column8655"/>
    <tableColumn id="8656" xr3:uid="{099146AA-ABA7-4ADE-BECC-45B1E209B584}" name="Column8656"/>
    <tableColumn id="8657" xr3:uid="{68685938-788F-44C9-9AF5-8EA9B09BB4FA}" name="Column8657"/>
    <tableColumn id="8658" xr3:uid="{866DC350-99CD-4E36-866D-5C6C12F50023}" name="Column8658"/>
    <tableColumn id="8659" xr3:uid="{35A56D16-3700-4DDA-AE08-30717CA8F566}" name="Column8659"/>
    <tableColumn id="8660" xr3:uid="{1AD7E11C-271B-42E8-BE16-1A28B96026D3}" name="Column8660"/>
    <tableColumn id="8661" xr3:uid="{E7E004BC-7FB3-4E4E-96D1-88535FB49CEE}" name="Column8661"/>
    <tableColumn id="8662" xr3:uid="{AD377383-ED4F-4333-9357-312B9AD165C8}" name="Column8662"/>
    <tableColumn id="8663" xr3:uid="{CBBBF88B-CD02-457F-8EA6-E6197B9D4D60}" name="Column8663"/>
    <tableColumn id="8664" xr3:uid="{33676618-688A-44AB-8054-C46F5D946F82}" name="Column8664"/>
    <tableColumn id="8665" xr3:uid="{F902C1C6-FAFD-4802-A5E4-2A6672F12CFE}" name="Column8665"/>
    <tableColumn id="8666" xr3:uid="{4B1DC6FB-E2AD-409C-B84F-9BD25441D6B6}" name="Column8666"/>
    <tableColumn id="8667" xr3:uid="{8FC30197-D18E-4644-B026-E3290D06371A}" name="Column8667"/>
    <tableColumn id="8668" xr3:uid="{2E2E0897-EA68-43DD-9DC1-6E16CCB691AB}" name="Column8668"/>
    <tableColumn id="8669" xr3:uid="{D8711C0C-CF11-44DA-B9BD-55129CF25659}" name="Column8669"/>
    <tableColumn id="8670" xr3:uid="{2400E7EA-9EF3-498C-A1A4-0C5B205C0FC5}" name="Column8670"/>
    <tableColumn id="8671" xr3:uid="{FE43F8EB-A932-4498-8C01-9777C17D2773}" name="Column8671"/>
    <tableColumn id="8672" xr3:uid="{3B50AE9B-3BE6-4BEB-95E0-49E9D80D6220}" name="Column8672"/>
    <tableColumn id="8673" xr3:uid="{85D9FA3F-5CEA-4B52-B3DF-98D2F38944D6}" name="Column8673"/>
    <tableColumn id="8674" xr3:uid="{F20CF7E0-70C7-465F-9750-9D94CFEE4924}" name="Column8674"/>
    <tableColumn id="8675" xr3:uid="{626AD4E3-7E6E-4D81-A7EF-AD57DD7AD63A}" name="Column8675"/>
    <tableColumn id="8676" xr3:uid="{F22D6C69-7C4F-4738-8718-18291608E11F}" name="Column8676"/>
    <tableColumn id="8677" xr3:uid="{CB24021F-3A28-4F5E-9683-432734F8A16C}" name="Column8677"/>
    <tableColumn id="8678" xr3:uid="{10A7F8B2-A98F-412E-B672-85DF49046657}" name="Column8678"/>
    <tableColumn id="8679" xr3:uid="{51CCE637-B4C1-454B-8557-0D88CCEFAAC7}" name="Column8679"/>
    <tableColumn id="8680" xr3:uid="{7A670CE5-24A1-4ABC-A55F-9172C66F043D}" name="Column8680"/>
    <tableColumn id="8681" xr3:uid="{B92AFBC5-1945-4990-8165-3785C1CEC09D}" name="Column8681"/>
    <tableColumn id="8682" xr3:uid="{22912C97-5212-41EF-9FA5-7E0560497576}" name="Column8682"/>
    <tableColumn id="8683" xr3:uid="{650BA83A-596E-47DC-9451-4F66D8FA127E}" name="Column8683"/>
    <tableColumn id="8684" xr3:uid="{306B53A0-5D9D-4FA2-8551-A5D325D3CB16}" name="Column8684"/>
    <tableColumn id="8685" xr3:uid="{EE791590-D275-4DD1-B8B9-51B4B281CA41}" name="Column8685"/>
    <tableColumn id="8686" xr3:uid="{6FFA1291-7D9B-4BED-AAAB-459FE1634FFB}" name="Column8686"/>
    <tableColumn id="8687" xr3:uid="{1FA2AF1A-1C03-4AD7-A430-2B9F6741E450}" name="Column8687"/>
    <tableColumn id="8688" xr3:uid="{5B881514-961D-4276-8AFB-AC8AD9B930A9}" name="Column8688"/>
    <tableColumn id="8689" xr3:uid="{7E010499-ECC2-4DD6-997F-AFBD3E4D47A4}" name="Column8689"/>
    <tableColumn id="8690" xr3:uid="{E5758F22-8E5E-4881-AD4A-D56EF50427E5}" name="Column8690"/>
    <tableColumn id="8691" xr3:uid="{902DB7DA-48F3-4458-8DAD-473FD0B06AF1}" name="Column8691"/>
    <tableColumn id="8692" xr3:uid="{A16551D3-F962-4045-BD2D-AA3FD5489FEA}" name="Column8692"/>
    <tableColumn id="8693" xr3:uid="{F81544FF-0CDE-4680-9247-FCAC61F7EE68}" name="Column8693"/>
    <tableColumn id="8694" xr3:uid="{C4F01544-50C1-41C2-B7F2-FCA7A127AC05}" name="Column8694"/>
    <tableColumn id="8695" xr3:uid="{F7F67E88-9FA6-42C6-9B6A-0A0623E29652}" name="Column8695"/>
    <tableColumn id="8696" xr3:uid="{024E3813-642A-48AC-913B-CA7604A8BFDA}" name="Column8696"/>
    <tableColumn id="8697" xr3:uid="{6B77B873-E259-4FC7-8D26-0011760A9911}" name="Column8697"/>
    <tableColumn id="8698" xr3:uid="{318F062C-89ED-451A-AE74-C7BBE79177A0}" name="Column8698"/>
    <tableColumn id="8699" xr3:uid="{74EAE9C2-20D0-4FC0-8182-26B6196B7006}" name="Column8699"/>
    <tableColumn id="8700" xr3:uid="{27C81E65-B2B9-4433-B9FD-4BE460056263}" name="Column8700"/>
    <tableColumn id="8701" xr3:uid="{B0CA071E-0350-43F9-9BCC-00E4A192BD2E}" name="Column8701"/>
    <tableColumn id="8702" xr3:uid="{6EEB64FC-78DF-462D-A449-EE7640B45E32}" name="Column8702"/>
    <tableColumn id="8703" xr3:uid="{AA7E3C71-402C-4429-AD4A-D672508F8D5E}" name="Column8703"/>
    <tableColumn id="8704" xr3:uid="{AAB6FA07-B0B7-4D6C-8E2E-984C15814829}" name="Column8704"/>
    <tableColumn id="8705" xr3:uid="{7571DFA9-6EF6-439C-909E-82E4C6D39C9A}" name="Column8705"/>
    <tableColumn id="8706" xr3:uid="{2DEAA28F-27CF-48A8-856D-145B0BDA19B2}" name="Column8706"/>
    <tableColumn id="8707" xr3:uid="{A38C9DA4-421E-4046-8A86-4D85B7CF743C}" name="Column8707"/>
    <tableColumn id="8708" xr3:uid="{2E735EC1-D219-4B8C-8182-A9B6B001A81A}" name="Column8708"/>
    <tableColumn id="8709" xr3:uid="{DA6F3228-359F-4779-8DA3-BF67E369DC13}" name="Column8709"/>
    <tableColumn id="8710" xr3:uid="{C07AFB8F-3CE9-4840-A867-A56E782043CB}" name="Column8710"/>
    <tableColumn id="8711" xr3:uid="{68680F89-E7E3-4EF4-9A1C-C98B89F286AE}" name="Column8711"/>
    <tableColumn id="8712" xr3:uid="{B18AF7E2-9142-42E6-B82B-056861793C10}" name="Column8712"/>
    <tableColumn id="8713" xr3:uid="{12236A35-1B27-47C4-9F38-1DEC3E40B28F}" name="Column8713"/>
    <tableColumn id="8714" xr3:uid="{A47E7EB2-80C3-4CF3-B45C-9EC95C2BD491}" name="Column8714"/>
    <tableColumn id="8715" xr3:uid="{6AA59273-924B-4C74-86EB-3FCA2C61EB59}" name="Column8715"/>
    <tableColumn id="8716" xr3:uid="{CE669FFE-422C-4442-B714-5672AA7BAB64}" name="Column8716"/>
    <tableColumn id="8717" xr3:uid="{5383DEF2-D764-4A1C-997E-6F891A491065}" name="Column8717"/>
    <tableColumn id="8718" xr3:uid="{320F38D0-B874-4571-9A5E-8FD704C9E27C}" name="Column8718"/>
    <tableColumn id="8719" xr3:uid="{CD594127-476F-4C4B-A238-A8D17E2D854F}" name="Column8719"/>
    <tableColumn id="8720" xr3:uid="{79E57F91-4F62-452B-B962-DA4CFB576EAA}" name="Column8720"/>
    <tableColumn id="8721" xr3:uid="{4F088FFF-D2EF-412D-8319-358115E877E0}" name="Column8721"/>
    <tableColumn id="8722" xr3:uid="{7715049D-B702-4254-AD77-24465A0DA8A3}" name="Column8722"/>
    <tableColumn id="8723" xr3:uid="{0C440B5E-B6B9-4839-8310-B5DA4CB7E6E7}" name="Column8723"/>
    <tableColumn id="8724" xr3:uid="{54C78DC2-E946-40FB-B220-77E2AED9EB48}" name="Column8724"/>
    <tableColumn id="8725" xr3:uid="{3F52AF8D-3D80-4EDD-9D86-BAC47A973B10}" name="Column8725"/>
    <tableColumn id="8726" xr3:uid="{405A81C8-E988-46ED-BA4B-968A4F424964}" name="Column8726"/>
    <tableColumn id="8727" xr3:uid="{E44CA1F7-9044-4736-AE83-1F7191109E3D}" name="Column8727"/>
    <tableColumn id="8728" xr3:uid="{2D15CECB-0A10-4A19-B981-B3E4156BA103}" name="Column8728"/>
    <tableColumn id="8729" xr3:uid="{D880A3BA-B043-4149-8164-3B86447ADF9F}" name="Column8729"/>
    <tableColumn id="8730" xr3:uid="{CB49A7FD-21C5-4B6C-A1DA-BD0CDDB505D2}" name="Column8730"/>
    <tableColumn id="8731" xr3:uid="{1E813C62-6560-4143-B87A-5E6E492A11DC}" name="Column8731"/>
    <tableColumn id="8732" xr3:uid="{8144F0B1-28AD-4806-89A4-1F48CD1BEE1B}" name="Column8732"/>
    <tableColumn id="8733" xr3:uid="{46DAA133-845C-4893-8B5A-47A23A506798}" name="Column8733"/>
    <tableColumn id="8734" xr3:uid="{266DC5FA-0D79-4EF2-BB16-A6A14B33E0D1}" name="Column8734"/>
    <tableColumn id="8735" xr3:uid="{9BC8D98E-E9C4-49ED-B48D-EDBAEAA0715F}" name="Column8735"/>
    <tableColumn id="8736" xr3:uid="{C12A6E89-44D4-4ED9-AB4B-7DF02641D7E5}" name="Column8736"/>
    <tableColumn id="8737" xr3:uid="{33F08A84-298F-465F-80A0-8731D03012BC}" name="Column8737"/>
    <tableColumn id="8738" xr3:uid="{499E35D4-C5CA-4F0C-BCDA-D9B47A40660E}" name="Column8738"/>
    <tableColumn id="8739" xr3:uid="{0390A7D0-8D09-4B8B-8A62-C80BAD935B68}" name="Column8739"/>
    <tableColumn id="8740" xr3:uid="{FA2D6EDA-C175-4430-AA9C-8CF7AC73FFB3}" name="Column8740"/>
    <tableColumn id="8741" xr3:uid="{EC9B087B-5E8E-4455-BB14-1A296D00C79B}" name="Column8741"/>
    <tableColumn id="8742" xr3:uid="{F1EAB352-CA28-43D3-B044-B75A849745BF}" name="Column8742"/>
    <tableColumn id="8743" xr3:uid="{9B57CF66-8CB5-40E0-81AA-02E09C177F2A}" name="Column8743"/>
    <tableColumn id="8744" xr3:uid="{FFFB728A-DF2A-4CB6-BA82-952E23D390E0}" name="Column8744"/>
    <tableColumn id="8745" xr3:uid="{BE6B0157-0B4B-446D-BDC8-0D2A3D6F0A1D}" name="Column8745"/>
    <tableColumn id="8746" xr3:uid="{225F0729-A563-4E11-9AFD-BC7893030D2D}" name="Column8746"/>
    <tableColumn id="8747" xr3:uid="{BC838AB0-1051-4F52-AC51-3BD2A0BB2AD6}" name="Column8747"/>
    <tableColumn id="8748" xr3:uid="{D5FB9CB9-94C1-427A-886C-F3CD02633C55}" name="Column8748"/>
    <tableColumn id="8749" xr3:uid="{F9FB732B-1435-4A2A-BA09-FA23C7EBB26E}" name="Column8749"/>
    <tableColumn id="8750" xr3:uid="{5FFF9724-E24E-4DCB-B843-7CAB8EE65011}" name="Column8750"/>
    <tableColumn id="8751" xr3:uid="{4C09423C-A39E-4CD0-9F60-B9149F67F4D5}" name="Column8751"/>
    <tableColumn id="8752" xr3:uid="{1DA6D4EF-AE89-4262-A922-97CB66BDED36}" name="Column8752"/>
    <tableColumn id="8753" xr3:uid="{0962F31E-BB3E-44A0-A7E1-3FCEA0A4A84F}" name="Column8753"/>
    <tableColumn id="8754" xr3:uid="{CE14A645-21F2-4459-BBFF-11A6DDB8E061}" name="Column8754"/>
    <tableColumn id="8755" xr3:uid="{DD60E819-B141-4E9E-8C16-A5F5DBA19265}" name="Column8755"/>
    <tableColumn id="8756" xr3:uid="{AADD4D84-B4F1-4EFB-BCE5-48D52C196E5F}" name="Column8756"/>
    <tableColumn id="8757" xr3:uid="{613EDE36-63D1-42D6-AB28-E649A8A4520F}" name="Column8757"/>
    <tableColumn id="8758" xr3:uid="{E7D90C41-A279-45BC-8658-CC9834131550}" name="Column8758"/>
    <tableColumn id="8759" xr3:uid="{C00C14DA-D1B1-42B2-A686-8D04288CFE71}" name="Column8759"/>
    <tableColumn id="8760" xr3:uid="{3BF047E9-545E-4EA8-A953-2450ACD5116E}" name="Column8760"/>
    <tableColumn id="8761" xr3:uid="{E30EEFDF-7A5B-42EE-9A02-4CB8E999D1D8}" name="Column8761"/>
    <tableColumn id="8762" xr3:uid="{F555B07B-AEB5-4FA3-A592-29158CAAA5E7}" name="Column8762"/>
    <tableColumn id="8763" xr3:uid="{56DD988E-141F-4209-A145-59493FA2AFEF}" name="Column8763"/>
    <tableColumn id="8764" xr3:uid="{33533497-69A0-41D1-979D-3B129B461431}" name="Column8764"/>
    <tableColumn id="8765" xr3:uid="{1F2EFD05-A47D-47AB-8D0B-325BC974FC66}" name="Column8765"/>
    <tableColumn id="8766" xr3:uid="{71C678E3-2904-4C3E-A7A8-7E1BA8A59858}" name="Column8766"/>
    <tableColumn id="8767" xr3:uid="{EA0DFF4A-B61A-49E3-8A91-6D7741C95451}" name="Column8767"/>
    <tableColumn id="8768" xr3:uid="{75B3F333-5A90-47A0-8C8A-46E8CA608AF2}" name="Column8768"/>
    <tableColumn id="8769" xr3:uid="{4787DBD0-6B70-413A-8B66-75F68033FCC6}" name="Column8769"/>
    <tableColumn id="8770" xr3:uid="{CDE8A48E-E7B1-4E6A-8AD5-A9C09D5ED38E}" name="Column8770"/>
    <tableColumn id="8771" xr3:uid="{67B6841E-3653-4599-B7D7-24A8C6D59562}" name="Column8771"/>
    <tableColumn id="8772" xr3:uid="{F7A8F30E-BC08-469C-A62F-90D08AD256FA}" name="Column8772"/>
    <tableColumn id="8773" xr3:uid="{772DF004-0732-4552-8A06-6744CCC706C6}" name="Column8773"/>
    <tableColumn id="8774" xr3:uid="{61CC4D74-EFAA-4B61-851F-0485E92DA120}" name="Column8774"/>
    <tableColumn id="8775" xr3:uid="{7915D311-61E7-41AF-BD1C-887F4A7A014D}" name="Column8775"/>
    <tableColumn id="8776" xr3:uid="{317282BB-527E-42B5-83BC-439E5FC7C2AE}" name="Column8776"/>
    <tableColumn id="8777" xr3:uid="{20260DFB-7AB7-480B-BD46-B7885723F8E8}" name="Column8777"/>
    <tableColumn id="8778" xr3:uid="{174C1632-4DB3-4807-A2EF-8CFEA8C871AE}" name="Column8778"/>
    <tableColumn id="8779" xr3:uid="{CBAB4EED-8497-4615-A04B-AE542EFCB1D4}" name="Column8779"/>
    <tableColumn id="8780" xr3:uid="{F6FEE242-5538-4B7F-A834-BAC8F2A438F4}" name="Column8780"/>
    <tableColumn id="8781" xr3:uid="{B14730BE-A328-42B5-9820-5E7C70C3305B}" name="Column8781"/>
    <tableColumn id="8782" xr3:uid="{B90154A5-B889-4B87-AA48-C6812D5E8303}" name="Column8782"/>
    <tableColumn id="8783" xr3:uid="{28E1169B-DE7D-4CC3-9906-A044755ED578}" name="Column8783"/>
    <tableColumn id="8784" xr3:uid="{8F6CA2F3-DA6E-453B-BD6A-485853BEE830}" name="Column8784"/>
    <tableColumn id="8785" xr3:uid="{3D07861D-177C-4DFE-86AF-3F6CE1AAB8A6}" name="Column8785"/>
    <tableColumn id="8786" xr3:uid="{A12BAF32-3F83-43B1-BF59-0262ADF55DE7}" name="Column8786"/>
    <tableColumn id="8787" xr3:uid="{6597CB38-70AD-459D-BD56-6DA5ACC95F29}" name="Column8787"/>
    <tableColumn id="8788" xr3:uid="{34EC794C-3719-444E-B9FF-9EF1105D34A3}" name="Column8788"/>
    <tableColumn id="8789" xr3:uid="{E5696370-2477-433D-AD26-F7D09F4E0DF2}" name="Column8789"/>
    <tableColumn id="8790" xr3:uid="{93679F29-EBCB-4394-B908-2E053D895FDC}" name="Column8790"/>
    <tableColumn id="8791" xr3:uid="{A7CFDFEC-C16C-41BF-99EB-79BBD1FEEC68}" name="Column8791"/>
    <tableColumn id="8792" xr3:uid="{A44B29FE-29F7-4A41-8E3F-B52940D91C7C}" name="Column8792"/>
    <tableColumn id="8793" xr3:uid="{C94273DD-0B69-4541-8D57-D75ED12E50A1}" name="Column8793"/>
    <tableColumn id="8794" xr3:uid="{45DB64F8-2756-4467-A700-5D3B9F97750B}" name="Column8794"/>
    <tableColumn id="8795" xr3:uid="{A5EA139E-F817-4355-8223-8A71600E5C87}" name="Column8795"/>
    <tableColumn id="8796" xr3:uid="{ACDF4E9E-D707-41C9-8C09-75FEA6A25045}" name="Column8796"/>
    <tableColumn id="8797" xr3:uid="{56BBC375-356E-4BD2-AA10-9F171D68E962}" name="Column8797"/>
    <tableColumn id="8798" xr3:uid="{E04B1D9A-2423-4C9C-9A6F-D98A74F3BD4C}" name="Column8798"/>
    <tableColumn id="8799" xr3:uid="{DA280F50-816E-43EF-BC89-89F446DFE87F}" name="Column8799"/>
    <tableColumn id="8800" xr3:uid="{E0BF9589-23B7-49DC-9864-227C281BC7FA}" name="Column8800"/>
    <tableColumn id="8801" xr3:uid="{4038E941-736D-44FB-81B4-2696750166FF}" name="Column8801"/>
    <tableColumn id="8802" xr3:uid="{2164E234-99C8-481B-BA59-654FC84DBDC9}" name="Column8802"/>
    <tableColumn id="8803" xr3:uid="{72B04F98-BE69-4878-87BB-198D96428307}" name="Column8803"/>
    <tableColumn id="8804" xr3:uid="{DC3E61B0-2C01-45CF-AD9A-EEBE25E9D80D}" name="Column8804"/>
    <tableColumn id="8805" xr3:uid="{3C8744B8-0A07-414E-ACD9-36ECFBEBC1E5}" name="Column8805"/>
    <tableColumn id="8806" xr3:uid="{81F2A979-625D-436D-9D86-C8AF3F31BA2E}" name="Column8806"/>
    <tableColumn id="8807" xr3:uid="{2F3561C9-E2D0-4F8A-97C8-6C7CE902B3EA}" name="Column8807"/>
    <tableColumn id="8808" xr3:uid="{90C34F53-2AB6-4DAB-9A21-D5B78BCA234E}" name="Column8808"/>
    <tableColumn id="8809" xr3:uid="{315694C9-5477-4785-80C8-DC2DA9F4D9C0}" name="Column8809"/>
    <tableColumn id="8810" xr3:uid="{B9AFD510-055C-46E3-B86B-48BCCF41CB6E}" name="Column8810"/>
    <tableColumn id="8811" xr3:uid="{68586BF5-9731-46A7-97FB-41E796006645}" name="Column8811"/>
    <tableColumn id="8812" xr3:uid="{ABEFDC60-4A20-46B6-AE04-F65DF14EAC7C}" name="Column8812"/>
    <tableColumn id="8813" xr3:uid="{18A639B0-FB7B-4AA8-B8C6-9A247923DECA}" name="Column8813"/>
    <tableColumn id="8814" xr3:uid="{D568D58F-1C87-43EE-8BF9-72663B892422}" name="Column8814"/>
    <tableColumn id="8815" xr3:uid="{8D5C72BC-9B55-4051-9998-BAA1566F0412}" name="Column8815"/>
    <tableColumn id="8816" xr3:uid="{E4F8BA8D-CAEB-4636-B98C-C53402D8BC98}" name="Column8816"/>
    <tableColumn id="8817" xr3:uid="{D895F089-0071-486F-B42E-E70C79667CC6}" name="Column8817"/>
    <tableColumn id="8818" xr3:uid="{9A831076-BF7A-4D57-9DC9-7AB61AEF10F2}" name="Column8818"/>
    <tableColumn id="8819" xr3:uid="{DB75C954-124A-4726-AC7C-50A670FD6597}" name="Column8819"/>
    <tableColumn id="8820" xr3:uid="{0F07B9D3-C7A4-4B64-A74F-3412924F4789}" name="Column8820"/>
    <tableColumn id="8821" xr3:uid="{CC638F8A-79E2-4017-BEF8-7E9E4F68848A}" name="Column8821"/>
    <tableColumn id="8822" xr3:uid="{ECA687AD-B6C1-4BA0-BF1D-805FFD623E0A}" name="Column8822"/>
    <tableColumn id="8823" xr3:uid="{04152767-7F3B-4BF0-B2EC-2E3484D0B426}" name="Column8823"/>
    <tableColumn id="8824" xr3:uid="{595687D9-346D-46F8-A52D-08859398441C}" name="Column8824"/>
    <tableColumn id="8825" xr3:uid="{43F6BF5C-5E98-41E0-AB54-B44242C18DE4}" name="Column8825"/>
    <tableColumn id="8826" xr3:uid="{3D3DECD1-B9BC-4EA0-AA60-B9A69458E494}" name="Column8826"/>
    <tableColumn id="8827" xr3:uid="{8A952029-AC29-48D8-BBD6-CCF6E6A2802F}" name="Column8827"/>
    <tableColumn id="8828" xr3:uid="{7EAEBE3C-D78C-461F-8485-09D3F59EEC28}" name="Column8828"/>
    <tableColumn id="8829" xr3:uid="{2D5E4A5E-1C6D-4BAB-BAF8-B28C5B7CE9BB}" name="Column8829"/>
    <tableColumn id="8830" xr3:uid="{C7E6637B-7037-40ED-8294-D1873A590717}" name="Column8830"/>
    <tableColumn id="8831" xr3:uid="{FBDACF10-88F6-4136-A4AC-8C6187ADDC16}" name="Column8831"/>
    <tableColumn id="8832" xr3:uid="{F18E47DD-04F4-4D5D-B933-CA11F456A2F5}" name="Column8832"/>
    <tableColumn id="8833" xr3:uid="{AE529160-8A80-4FCF-A546-DE1CA20DBF4E}" name="Column8833"/>
    <tableColumn id="8834" xr3:uid="{5107F9EA-0982-41FC-8B15-CC0AAC56FDFB}" name="Column8834"/>
    <tableColumn id="8835" xr3:uid="{0C250F4D-3610-4C99-A13F-E5B4DF5A7CCE}" name="Column8835"/>
    <tableColumn id="8836" xr3:uid="{4BDAA046-1279-42BA-82DC-E229BD5356B0}" name="Column8836"/>
    <tableColumn id="8837" xr3:uid="{EDD2AAAB-66E1-49D8-A685-E79FB236E40F}" name="Column8837"/>
    <tableColumn id="8838" xr3:uid="{A5FE35F1-EB1C-4DC6-B39E-2D1F64D71D63}" name="Column8838"/>
    <tableColumn id="8839" xr3:uid="{980FDE5D-6413-4414-A6BB-C484E5503751}" name="Column8839"/>
    <tableColumn id="8840" xr3:uid="{CF2D7935-7EDE-4E23-B912-E30900CD87E2}" name="Column8840"/>
    <tableColumn id="8841" xr3:uid="{2B6821FE-2D7D-41D5-96AD-E5A21015A2B0}" name="Column8841"/>
    <tableColumn id="8842" xr3:uid="{0E9AAD93-18BE-43C9-95E8-9AD2EC63D980}" name="Column8842"/>
    <tableColumn id="8843" xr3:uid="{B34D77FE-9060-4B26-A8AC-A16A11A39F4C}" name="Column8843"/>
    <tableColumn id="8844" xr3:uid="{1C707D31-8367-441A-B39E-5FD3B7D2CE77}" name="Column8844"/>
    <tableColumn id="8845" xr3:uid="{45E467DF-8FA3-42CD-8E06-87354EEFEED9}" name="Column8845"/>
    <tableColumn id="8846" xr3:uid="{380998F5-3697-4B58-9ED1-ACCC3647FE35}" name="Column8846"/>
    <tableColumn id="8847" xr3:uid="{85F5EAF7-BEA5-4BDD-885F-606E7E457B85}" name="Column8847"/>
    <tableColumn id="8848" xr3:uid="{9F8F3925-474D-4E0E-9CD6-47B67ACA03A5}" name="Column8848"/>
    <tableColumn id="8849" xr3:uid="{8A8F96EF-CF92-42EA-AB11-A94F87CDA62A}" name="Column8849"/>
    <tableColumn id="8850" xr3:uid="{5549B283-2DFD-4783-B07C-60DED67F9E94}" name="Column8850"/>
    <tableColumn id="8851" xr3:uid="{A7A1945D-6C48-4096-812C-197973726BCD}" name="Column8851"/>
    <tableColumn id="8852" xr3:uid="{FEE80656-D404-4BEB-8AE9-46CFE57F2C31}" name="Column8852"/>
    <tableColumn id="8853" xr3:uid="{28148619-5593-4C8B-BADE-2E4A0F231084}" name="Column8853"/>
    <tableColumn id="8854" xr3:uid="{9F4877FC-5D47-43B5-8A71-C522576571A5}" name="Column8854"/>
    <tableColumn id="8855" xr3:uid="{5E1DCE71-E5BE-471B-9C8C-0939B37EA2C4}" name="Column8855"/>
    <tableColumn id="8856" xr3:uid="{ACAC5E2C-91FB-4ACA-88DD-A2CF6B3B839C}" name="Column8856"/>
    <tableColumn id="8857" xr3:uid="{821FB74A-E25F-4E4F-9D1D-02328F5AA4AB}" name="Column8857"/>
    <tableColumn id="8858" xr3:uid="{7B83F5BB-F83D-4A86-9701-DC092B8103D4}" name="Column8858"/>
    <tableColumn id="8859" xr3:uid="{B40BE240-2814-45F4-83FA-9E41F6FE28FE}" name="Column8859"/>
    <tableColumn id="8860" xr3:uid="{6AD37BB9-2CC1-4349-8551-198CFB1C32D6}" name="Column8860"/>
    <tableColumn id="8861" xr3:uid="{94A9B070-45CF-467C-A191-216B02702036}" name="Column8861"/>
    <tableColumn id="8862" xr3:uid="{06001E55-68B7-4AE3-9CBA-8C11A5793B46}" name="Column8862"/>
    <tableColumn id="8863" xr3:uid="{44AD6F35-E520-4CD0-B99B-84160E35972C}" name="Column8863"/>
    <tableColumn id="8864" xr3:uid="{55CFD68B-8353-4BDC-8FAC-1332CEB7D424}" name="Column8864"/>
    <tableColumn id="8865" xr3:uid="{4D11196B-651D-4AFC-BC7A-99FEE20B6B9B}" name="Column8865"/>
    <tableColumn id="8866" xr3:uid="{CB27ACCD-F670-4922-8662-1CE27A82FA48}" name="Column8866"/>
    <tableColumn id="8867" xr3:uid="{DB8F7C69-A0CF-46B7-A4A5-2373EB52A3E4}" name="Column8867"/>
    <tableColumn id="8868" xr3:uid="{0044FEC3-3125-428F-B7BA-3503EBCA375D}" name="Column8868"/>
    <tableColumn id="8869" xr3:uid="{D820A416-A632-4622-ABE0-306EE9F2D83C}" name="Column8869"/>
    <tableColumn id="8870" xr3:uid="{71BCDFC0-DFE7-4B77-A273-8CA206C43153}" name="Column8870"/>
    <tableColumn id="8871" xr3:uid="{E49DD920-BF51-443C-B7A7-A8C034C08257}" name="Column8871"/>
    <tableColumn id="8872" xr3:uid="{60053D21-9D8E-4E9E-80DE-8CEE5D4AD2AF}" name="Column8872"/>
    <tableColumn id="8873" xr3:uid="{1A63BFDE-AB3D-4CAA-964A-35142F7B4613}" name="Column8873"/>
    <tableColumn id="8874" xr3:uid="{945C582E-A730-4546-8051-D176F3273AC6}" name="Column8874"/>
    <tableColumn id="8875" xr3:uid="{12CA5364-921B-46F4-AAA0-14EC4BD3342F}" name="Column8875"/>
    <tableColumn id="8876" xr3:uid="{FBE51ABE-DC3E-4D8C-A85E-97286F97A4E4}" name="Column8876"/>
    <tableColumn id="8877" xr3:uid="{0B52DDC4-B9CB-4EC3-84A7-963B7EE8EB81}" name="Column8877"/>
    <tableColumn id="8878" xr3:uid="{4E4624DA-808A-43B6-9445-EA0C2C73DA07}" name="Column8878"/>
    <tableColumn id="8879" xr3:uid="{5C8E0201-4045-4B08-9613-4D7BDC0531F7}" name="Column8879"/>
    <tableColumn id="8880" xr3:uid="{181ED43D-71ED-40E8-98E0-3674A3C5DF62}" name="Column8880"/>
    <tableColumn id="8881" xr3:uid="{36DA586E-CF69-4E66-B8F9-63A2809DA5C7}" name="Column8881"/>
    <tableColumn id="8882" xr3:uid="{C4865BE4-03CC-4AF0-8AB1-3411651445D5}" name="Column8882"/>
    <tableColumn id="8883" xr3:uid="{F04A11F1-B10A-4594-A6C6-3E2D9B6463AF}" name="Column8883"/>
    <tableColumn id="8884" xr3:uid="{168D8DC3-1EB7-4501-893C-7E08B5F95975}" name="Column8884"/>
    <tableColumn id="8885" xr3:uid="{EC17373B-1529-4D69-B002-3D0B789F7BD3}" name="Column8885"/>
    <tableColumn id="8886" xr3:uid="{199CB341-0F70-4FAC-9EBD-751ACE314B75}" name="Column8886"/>
    <tableColumn id="8887" xr3:uid="{3C8A972C-EE3C-4862-8824-4C58E1C75973}" name="Column8887"/>
    <tableColumn id="8888" xr3:uid="{75500EEA-7D51-495D-A49B-E4F0CC3B6790}" name="Column8888"/>
    <tableColumn id="8889" xr3:uid="{DDE29338-C90F-40E8-9889-E962186E8211}" name="Column8889"/>
    <tableColumn id="8890" xr3:uid="{D88C8501-F82D-4067-99D8-14C00E2D30AB}" name="Column8890"/>
    <tableColumn id="8891" xr3:uid="{065C7777-F246-490F-AB06-8A42E8B8EB7E}" name="Column8891"/>
    <tableColumn id="8892" xr3:uid="{7AE12344-0785-4252-B169-BC6174934D51}" name="Column8892"/>
    <tableColumn id="8893" xr3:uid="{77090D97-77B3-446C-BCED-981917A22CE4}" name="Column8893"/>
    <tableColumn id="8894" xr3:uid="{F3B5BBC1-A6BF-45A9-9680-9B3D7E051358}" name="Column8894"/>
    <tableColumn id="8895" xr3:uid="{F3009F07-761F-4D9D-BFD9-C85E3A57502E}" name="Column8895"/>
    <tableColumn id="8896" xr3:uid="{612053C8-F020-4E08-B08B-CC5DB111295E}" name="Column8896"/>
    <tableColumn id="8897" xr3:uid="{1FC5C02B-D4DA-426C-AAD7-D6BF7D648E66}" name="Column8897"/>
    <tableColumn id="8898" xr3:uid="{5A48F59A-471B-4EF1-AF96-DC8DD8FCD3E8}" name="Column8898"/>
    <tableColumn id="8899" xr3:uid="{D9BC36CE-1CA5-481E-8E78-E8FBF658A8CC}" name="Column8899"/>
    <tableColumn id="8900" xr3:uid="{DF99D392-B085-411E-B57C-E50F9E513E53}" name="Column8900"/>
    <tableColumn id="8901" xr3:uid="{5AC82EEC-D8DD-4A95-BAC1-9D8C35970459}" name="Column8901"/>
    <tableColumn id="8902" xr3:uid="{84818A15-6F78-466F-9EC5-11BA4C77F20C}" name="Column8902"/>
    <tableColumn id="8903" xr3:uid="{46AF9869-3859-463E-8234-1BCF6582B636}" name="Column8903"/>
    <tableColumn id="8904" xr3:uid="{473BC0E5-2998-49A0-96B2-52579781143D}" name="Column8904"/>
    <tableColumn id="8905" xr3:uid="{F27DB174-30C8-4D0C-A1D8-543F21CBE554}" name="Column8905"/>
    <tableColumn id="8906" xr3:uid="{24C9DA02-C429-48DA-9FDB-69C67FDB46F4}" name="Column8906"/>
    <tableColumn id="8907" xr3:uid="{BA2651B9-5EC3-4A03-9389-B0FD0709439D}" name="Column8907"/>
    <tableColumn id="8908" xr3:uid="{E4DF7CA4-E76B-4005-9398-EF9C9EE53CF8}" name="Column8908"/>
    <tableColumn id="8909" xr3:uid="{0CBAA0E5-F96D-4C7A-886B-EE9DF6E86226}" name="Column8909"/>
    <tableColumn id="8910" xr3:uid="{C0B1B34A-B0D5-4C92-BBCB-3538F90EB078}" name="Column8910"/>
    <tableColumn id="8911" xr3:uid="{06BFF34A-6CD2-4133-AF9C-A00EAECDC179}" name="Column8911"/>
    <tableColumn id="8912" xr3:uid="{DEE0B912-1474-47FE-9D90-66CB1E8FA684}" name="Column8912"/>
    <tableColumn id="8913" xr3:uid="{93A9DB88-A901-4E13-86C6-13B5137390DE}" name="Column8913"/>
    <tableColumn id="8914" xr3:uid="{2B9D279C-B3F2-47EF-884C-A90588A5E9CA}" name="Column8914"/>
    <tableColumn id="8915" xr3:uid="{9AC944D2-A278-4326-8DA2-026F1FCE46B6}" name="Column8915"/>
    <tableColumn id="8916" xr3:uid="{4A540611-356C-43A2-80AC-EA7DDA53B6F0}" name="Column8916"/>
    <tableColumn id="8917" xr3:uid="{6A152B77-2F15-497B-AD62-D83065F233DF}" name="Column8917"/>
    <tableColumn id="8918" xr3:uid="{CEB2B2DC-8528-44BA-B13B-EFE630C886F0}" name="Column8918"/>
    <tableColumn id="8919" xr3:uid="{A4F55F1E-2D6C-4766-A6D5-FC752B76CA64}" name="Column8919"/>
    <tableColumn id="8920" xr3:uid="{F3754DD4-BAEF-41A0-9508-1E874A74B05C}" name="Column8920"/>
    <tableColumn id="8921" xr3:uid="{A65E135E-CE51-4743-914E-C19C8094B4C9}" name="Column8921"/>
    <tableColumn id="8922" xr3:uid="{164C7587-9963-4590-A51C-DDE760D856A9}" name="Column8922"/>
    <tableColumn id="8923" xr3:uid="{321EB6DB-70F5-4094-B4D6-D2E2A9588494}" name="Column8923"/>
    <tableColumn id="8924" xr3:uid="{469B50A2-3974-4389-AC47-18FA7ADF92CC}" name="Column8924"/>
    <tableColumn id="8925" xr3:uid="{6AE21775-3E45-44F6-887C-9C9AE41753C2}" name="Column8925"/>
    <tableColumn id="8926" xr3:uid="{96AA78CA-AD66-4C11-9961-ECA7CC0FC7E1}" name="Column8926"/>
    <tableColumn id="8927" xr3:uid="{7B72FE66-6328-474B-B51C-C627B728CF71}" name="Column8927"/>
    <tableColumn id="8928" xr3:uid="{B102904B-1F4B-44DA-BD2C-D6B2488A6E68}" name="Column8928"/>
    <tableColumn id="8929" xr3:uid="{6E414BC9-65C3-4EFC-9F58-D7BE498490EA}" name="Column8929"/>
    <tableColumn id="8930" xr3:uid="{C73B3236-2DC2-475D-A1E8-B13543E9C049}" name="Column8930"/>
    <tableColumn id="8931" xr3:uid="{FA9ABA73-D99A-44E8-AFC6-9A303D177F1E}" name="Column8931"/>
    <tableColumn id="8932" xr3:uid="{7703F45B-CB1C-4AE5-A73A-A6A93CBF2717}" name="Column8932"/>
    <tableColumn id="8933" xr3:uid="{4A035203-29C8-40F2-9BF5-F9F0B0904A12}" name="Column8933"/>
    <tableColumn id="8934" xr3:uid="{B2D55D51-03B4-4342-BD43-682D09D88FFB}" name="Column8934"/>
    <tableColumn id="8935" xr3:uid="{876A36D9-1F1C-44C7-BE54-CFD18A63EC89}" name="Column8935"/>
    <tableColumn id="8936" xr3:uid="{3BAF29C4-A53C-40FF-AF57-DBD0D6B1E9D2}" name="Column8936"/>
    <tableColumn id="8937" xr3:uid="{5D1624D4-CEF4-4E79-AAF8-51B30CC3EE1D}" name="Column8937"/>
    <tableColumn id="8938" xr3:uid="{9A075831-A712-4593-94AD-869CFDC5FB09}" name="Column8938"/>
    <tableColumn id="8939" xr3:uid="{3AEA7073-60BC-4FD4-A0C7-F7E127894462}" name="Column8939"/>
    <tableColumn id="8940" xr3:uid="{01301F77-FAF5-4D2E-A59B-F396FF718540}" name="Column8940"/>
    <tableColumn id="8941" xr3:uid="{D7D5E05A-EA4B-4E1A-A87A-0013BC5D9590}" name="Column8941"/>
    <tableColumn id="8942" xr3:uid="{9A7F9C38-8007-4938-9973-A632A952B251}" name="Column8942"/>
    <tableColumn id="8943" xr3:uid="{964CA676-4614-4243-BB55-FD37AA8A9C9E}" name="Column8943"/>
    <tableColumn id="8944" xr3:uid="{A4C2734A-0D04-4007-94D4-43E31FD318D5}" name="Column8944"/>
    <tableColumn id="8945" xr3:uid="{526B6BE4-836D-40DC-988E-A19AF00BA0E3}" name="Column8945"/>
    <tableColumn id="8946" xr3:uid="{BDBD2F60-D879-4062-98A9-8FFCC3052D9C}" name="Column8946"/>
    <tableColumn id="8947" xr3:uid="{61F002DA-36D5-45EA-AB54-B10CBAFDDCAA}" name="Column8947"/>
    <tableColumn id="8948" xr3:uid="{5007F348-77C1-4D7E-8F69-D96B55A32AA7}" name="Column8948"/>
    <tableColumn id="8949" xr3:uid="{7F34F28D-26B2-4DC6-B0D6-E39036316371}" name="Column8949"/>
    <tableColumn id="8950" xr3:uid="{865D12C8-6033-41AB-A5BB-60A5149D647F}" name="Column8950"/>
    <tableColumn id="8951" xr3:uid="{C82423A0-AB09-43F3-97DC-46BA0034A6F5}" name="Column8951"/>
    <tableColumn id="8952" xr3:uid="{B976E920-5BAC-411C-9B1F-DD56DC1470B9}" name="Column8952"/>
    <tableColumn id="8953" xr3:uid="{0BD403DE-CE39-4D2F-BB0F-0F6FC6B2E93C}" name="Column8953"/>
    <tableColumn id="8954" xr3:uid="{9F549572-6D8F-4080-BE0A-260DCA3956C6}" name="Column8954"/>
    <tableColumn id="8955" xr3:uid="{C77A0D45-BB9E-4810-B7CE-584119CA859C}" name="Column8955"/>
    <tableColumn id="8956" xr3:uid="{53B9718C-5AA3-435F-8B21-87ADA41B2EAF}" name="Column8956"/>
    <tableColumn id="8957" xr3:uid="{1C77F8FF-88D3-45B1-95E5-40455D185C19}" name="Column8957"/>
    <tableColumn id="8958" xr3:uid="{0B9117A9-E78E-4248-90B8-161F2085CE54}" name="Column8958"/>
    <tableColumn id="8959" xr3:uid="{234A389D-5207-424D-ACB2-9041F2D17E56}" name="Column8959"/>
    <tableColumn id="8960" xr3:uid="{884E9994-BF5E-4155-9260-DD377C25068D}" name="Column8960"/>
    <tableColumn id="8961" xr3:uid="{82359E2A-EF86-4D48-A6F9-7752754722AA}" name="Column8961"/>
    <tableColumn id="8962" xr3:uid="{1F7FB8DF-37C2-4EFE-ADAB-0078CE05FF61}" name="Column8962"/>
    <tableColumn id="8963" xr3:uid="{85272369-3B21-49C8-B989-643024B9A386}" name="Column8963"/>
    <tableColumn id="8964" xr3:uid="{EA7A983C-646F-47FC-AC0E-9BF34BE7EC72}" name="Column8964"/>
    <tableColumn id="8965" xr3:uid="{C6A2837F-8D93-4DE7-BB02-5DF25E413A7C}" name="Column8965"/>
    <tableColumn id="8966" xr3:uid="{34C081A3-8BD2-4C71-8AF1-917CD1FB6A58}" name="Column8966"/>
    <tableColumn id="8967" xr3:uid="{8BF149C8-280A-4983-8136-C724A922EC70}" name="Column8967"/>
    <tableColumn id="8968" xr3:uid="{0F435661-EAAD-4D6B-BE7E-5096EDC26D32}" name="Column8968"/>
    <tableColumn id="8969" xr3:uid="{39C76AD7-66DF-419C-B06F-D85181CC4570}" name="Column8969"/>
    <tableColumn id="8970" xr3:uid="{74997053-B320-4118-9ADB-33BA2C6C800B}" name="Column8970"/>
    <tableColumn id="8971" xr3:uid="{299E5BF4-DAC0-4EEA-8083-75FDE991100E}" name="Column8971"/>
    <tableColumn id="8972" xr3:uid="{A3D79F5E-1690-4AFF-8EDD-460ED2846E07}" name="Column8972"/>
    <tableColumn id="8973" xr3:uid="{5F859F88-C98D-4A5D-8FC9-7D2F9125F188}" name="Column8973"/>
    <tableColumn id="8974" xr3:uid="{D5B46318-7A62-4192-B638-4D51B6ACD372}" name="Column8974"/>
    <tableColumn id="8975" xr3:uid="{81C34B8A-5831-4B9D-B728-B8A970EA2CD6}" name="Column8975"/>
    <tableColumn id="8976" xr3:uid="{AEF2372F-4E1B-4B8C-915A-1F71C1B8500F}" name="Column8976"/>
    <tableColumn id="8977" xr3:uid="{B1F2C0EA-2EE6-4E3F-AD67-9D8DC350966A}" name="Column8977"/>
    <tableColumn id="8978" xr3:uid="{4A933A20-8F90-442E-BD7F-7F13865E52D0}" name="Column8978"/>
    <tableColumn id="8979" xr3:uid="{FA8CDC38-31D5-4048-A407-1A446F3511CF}" name="Column8979"/>
    <tableColumn id="8980" xr3:uid="{EF94736C-C36C-4F40-A1C3-2818C874AE5E}" name="Column8980"/>
    <tableColumn id="8981" xr3:uid="{3D617AF4-BAB6-49A6-87F7-59FDF111D029}" name="Column8981"/>
    <tableColumn id="8982" xr3:uid="{03781825-8508-4BA2-8A49-5A5B6257C2C6}" name="Column8982"/>
    <tableColumn id="8983" xr3:uid="{0263DD01-3545-4D8B-B256-6797448EA521}" name="Column8983"/>
    <tableColumn id="8984" xr3:uid="{D4898A21-05A6-4CE6-9624-489BE7DC3012}" name="Column8984"/>
    <tableColumn id="8985" xr3:uid="{E19FCE93-AFA3-47F3-A12B-E4609160B6E9}" name="Column8985"/>
    <tableColumn id="8986" xr3:uid="{EA67D026-94E1-4133-AC6C-7D4A7A6366F0}" name="Column8986"/>
    <tableColumn id="8987" xr3:uid="{5216A8EA-AAC0-4E33-8827-3E2ABC7A6688}" name="Column8987"/>
    <tableColumn id="8988" xr3:uid="{4BB1E26C-40F9-428D-BD8B-31CF95778D71}" name="Column8988"/>
    <tableColumn id="8989" xr3:uid="{B7CC63EE-F4EA-4469-891F-011FF99910B0}" name="Column8989"/>
    <tableColumn id="8990" xr3:uid="{D92FAA58-E81C-46EA-96D2-A3DEDA610FFD}" name="Column8990"/>
    <tableColumn id="8991" xr3:uid="{82535B96-158C-4E8B-8108-43359AD5EA37}" name="Column8991"/>
    <tableColumn id="8992" xr3:uid="{FD80B509-DF8A-4F92-B086-7AADD6CF70BF}" name="Column8992"/>
    <tableColumn id="8993" xr3:uid="{976BE97E-BE4C-4F13-AA4B-5ED97A3831D5}" name="Column8993"/>
    <tableColumn id="8994" xr3:uid="{68DB6250-DDF8-42C4-AD8F-C025709E8535}" name="Column8994"/>
    <tableColumn id="8995" xr3:uid="{B79DE029-89A3-46BF-81F3-AD23318BA6C2}" name="Column8995"/>
    <tableColumn id="8996" xr3:uid="{707DD858-0A11-4CA0-BA2E-4BA955C2D3D1}" name="Column8996"/>
    <tableColumn id="8997" xr3:uid="{AFC692E8-0EC9-498E-BD9D-E199FB807857}" name="Column8997"/>
    <tableColumn id="8998" xr3:uid="{5746E956-E90D-49FA-8259-4591545C3D7A}" name="Column8998"/>
    <tableColumn id="8999" xr3:uid="{9F12A2AA-E265-4BF7-B5DE-EC19FB6E410C}" name="Column8999"/>
    <tableColumn id="9000" xr3:uid="{A1A376D2-9380-4CD1-8911-1FC675F4777A}" name="Column9000"/>
    <tableColumn id="9001" xr3:uid="{C5670E71-2DD4-4F5E-BD16-09E6FB516C51}" name="Column9001"/>
    <tableColumn id="9002" xr3:uid="{78B5E274-8CDB-4EB3-AB58-E22481BA712C}" name="Column9002"/>
    <tableColumn id="9003" xr3:uid="{147DE1E7-8453-4A37-98D4-0C9036EBCD24}" name="Column9003"/>
    <tableColumn id="9004" xr3:uid="{7C5C2900-7CB6-4EB8-8031-0417A4491939}" name="Column9004"/>
    <tableColumn id="9005" xr3:uid="{ADC30DD6-6B42-4D57-8C39-9E53CAF2473F}" name="Column9005"/>
    <tableColumn id="9006" xr3:uid="{E11D4768-F58F-4529-941B-9AAE2EEE6C1E}" name="Column9006"/>
    <tableColumn id="9007" xr3:uid="{D97CA40E-3566-4B1A-8B43-53FEF21DD435}" name="Column9007"/>
    <tableColumn id="9008" xr3:uid="{AD63B05E-117F-4425-94CF-B3077C5EB389}" name="Column9008"/>
    <tableColumn id="9009" xr3:uid="{4430391A-5A20-4824-ACD8-94A6812CA842}" name="Column9009"/>
    <tableColumn id="9010" xr3:uid="{E7990BC0-19A3-4387-8854-35A4AB58B92C}" name="Column9010"/>
    <tableColumn id="9011" xr3:uid="{27867F21-241B-4CE7-8B23-BE934041E47E}" name="Column9011"/>
    <tableColumn id="9012" xr3:uid="{2D579038-74F0-46AF-8C7E-16B2059CEE7C}" name="Column9012"/>
    <tableColumn id="9013" xr3:uid="{8E44DCAE-F6D2-418A-8D14-D715E7808CBB}" name="Column9013"/>
    <tableColumn id="9014" xr3:uid="{3AB1FF2C-CE15-4DC7-8EEC-0E6D9ED037AC}" name="Column9014"/>
    <tableColumn id="9015" xr3:uid="{F96599FF-C552-4883-BF86-CF11C6FB6DFA}" name="Column9015"/>
    <tableColumn id="9016" xr3:uid="{6F5B4F4E-54C3-45C2-970E-316912A72D70}" name="Column9016"/>
    <tableColumn id="9017" xr3:uid="{697D82F8-50BA-4467-9846-5A96EF2C10E8}" name="Column9017"/>
    <tableColumn id="9018" xr3:uid="{6A309722-D9FC-46DC-A758-F584E198851C}" name="Column9018"/>
    <tableColumn id="9019" xr3:uid="{2DE5B514-7641-4C02-A2D8-5071361F061D}" name="Column9019"/>
    <tableColumn id="9020" xr3:uid="{DB57008B-B364-480E-B385-736C159049C0}" name="Column9020"/>
    <tableColumn id="9021" xr3:uid="{0EAF9A94-47A7-4FEB-AFCF-C210AC5E5526}" name="Column9021"/>
    <tableColumn id="9022" xr3:uid="{92D5F4C5-9BC1-4873-9E26-98644EA538BD}" name="Column9022"/>
    <tableColumn id="9023" xr3:uid="{C5483551-F4F5-4221-9773-BC4BF5BE4C2D}" name="Column9023"/>
    <tableColumn id="9024" xr3:uid="{A1265AD2-9CE3-48B2-990C-B375176E1C1A}" name="Column9024"/>
    <tableColumn id="9025" xr3:uid="{801E0784-27D9-426A-BF8F-73A23FBCBEBA}" name="Column9025"/>
    <tableColumn id="9026" xr3:uid="{DC653D1A-5D55-4693-AA0A-02BB1A8442F0}" name="Column9026"/>
    <tableColumn id="9027" xr3:uid="{E0EDE63F-1487-4E25-B50D-CF6D0CC50819}" name="Column9027"/>
    <tableColumn id="9028" xr3:uid="{9AB2E568-227C-4F94-A156-E7351E75A532}" name="Column9028"/>
    <tableColumn id="9029" xr3:uid="{380ACA33-8171-4D31-869D-AC79D72F4AA5}" name="Column9029"/>
    <tableColumn id="9030" xr3:uid="{8BADABF0-C5C5-4B85-A3F4-26D2CAF15DA4}" name="Column9030"/>
    <tableColumn id="9031" xr3:uid="{CDFFFCD3-E8DE-4CDD-8205-2245CA8A9398}" name="Column9031"/>
    <tableColumn id="9032" xr3:uid="{72732BC6-40D8-4B82-AC9A-A2E7672D3790}" name="Column9032"/>
    <tableColumn id="9033" xr3:uid="{43D8CB99-F192-4AB2-B939-305F0DD2D364}" name="Column9033"/>
    <tableColumn id="9034" xr3:uid="{98BD6308-489F-45F9-913F-C2C1AC0A116B}" name="Column9034"/>
    <tableColumn id="9035" xr3:uid="{51628F63-D12C-427F-A352-680C821E6011}" name="Column9035"/>
    <tableColumn id="9036" xr3:uid="{668B2C06-2DF1-4532-B32C-2864E008C4AC}" name="Column9036"/>
    <tableColumn id="9037" xr3:uid="{C2D578A0-2669-4AF3-821B-9727E45851A7}" name="Column9037"/>
    <tableColumn id="9038" xr3:uid="{03418BAF-83BD-4569-9411-E38FC0A10288}" name="Column9038"/>
    <tableColumn id="9039" xr3:uid="{CB9EF9B8-535F-4AAD-A451-90B50952C423}" name="Column9039"/>
    <tableColumn id="9040" xr3:uid="{A302D1E2-F45E-460E-93D2-19B8053F3F51}" name="Column9040"/>
    <tableColumn id="9041" xr3:uid="{1E18A9B2-75A3-4933-8803-AC35477E2FF4}" name="Column9041"/>
    <tableColumn id="9042" xr3:uid="{EFA5E7EA-28CC-4824-9A91-D2D8D64B73ED}" name="Column9042"/>
    <tableColumn id="9043" xr3:uid="{AC0C7127-4569-467C-A035-4A4714F7BD72}" name="Column9043"/>
    <tableColumn id="9044" xr3:uid="{80268853-26C9-49BF-B2E6-AA23196831CA}" name="Column9044"/>
    <tableColumn id="9045" xr3:uid="{892D842F-D57A-4CC8-8788-49AEC2A6A44E}" name="Column9045"/>
    <tableColumn id="9046" xr3:uid="{F2A27B18-282C-4C2E-B3DB-4CBFC32983D2}" name="Column9046"/>
    <tableColumn id="9047" xr3:uid="{6947F320-BB05-4756-B65A-2452D24ADB44}" name="Column9047"/>
    <tableColumn id="9048" xr3:uid="{6E398221-F846-48E0-9278-D3ADC0B7E82A}" name="Column9048"/>
    <tableColumn id="9049" xr3:uid="{48997F1C-4C11-4397-8AB4-622544FAE12D}" name="Column9049"/>
    <tableColumn id="9050" xr3:uid="{A3164EB5-BE81-4A63-B84D-B1A6E4699D52}" name="Column9050"/>
    <tableColumn id="9051" xr3:uid="{E727AFAF-C06B-4E4B-91D8-87D3F543C240}" name="Column9051"/>
    <tableColumn id="9052" xr3:uid="{F3AD6472-414D-4A0A-9603-3A5F118E89B6}" name="Column9052"/>
    <tableColumn id="9053" xr3:uid="{759E0811-193A-4145-9DBC-E4966389BCF8}" name="Column9053"/>
    <tableColumn id="9054" xr3:uid="{8D28ECEF-6652-48AE-9EC1-EDB4BC26653E}" name="Column9054"/>
    <tableColumn id="9055" xr3:uid="{3882E444-A898-44BF-AC0A-8B17BED323F3}" name="Column9055"/>
    <tableColumn id="9056" xr3:uid="{EEEF7012-63E8-4349-A9A7-17920BAF91D2}" name="Column9056"/>
    <tableColumn id="9057" xr3:uid="{E86D3681-235A-4FA2-99F5-3C11992DBF18}" name="Column9057"/>
    <tableColumn id="9058" xr3:uid="{CD3BC1D2-AA6C-4044-B1C0-683019AD7AD4}" name="Column9058"/>
    <tableColumn id="9059" xr3:uid="{4A2525A9-5AE6-4DEF-87B9-9C7A1CE1601F}" name="Column9059"/>
    <tableColumn id="9060" xr3:uid="{E0D5C711-2B25-4881-82F9-D4C8B157D87A}" name="Column9060"/>
    <tableColumn id="9061" xr3:uid="{32D0F055-A730-493E-B803-FA5D0D919386}" name="Column9061"/>
    <tableColumn id="9062" xr3:uid="{8A8689D2-8BB3-4EFD-A631-2714952BA8CA}" name="Column9062"/>
    <tableColumn id="9063" xr3:uid="{DF0D1E97-60D1-43F8-9612-17FD77811B14}" name="Column9063"/>
    <tableColumn id="9064" xr3:uid="{7D0F9C00-9921-4B73-8210-31BBD9194441}" name="Column9064"/>
    <tableColumn id="9065" xr3:uid="{C0693628-801A-4F24-AD14-18EE837EB5D3}" name="Column9065"/>
    <tableColumn id="9066" xr3:uid="{75D7AEEB-7A57-4E1A-80DF-505E31C77F97}" name="Column9066"/>
    <tableColumn id="9067" xr3:uid="{6411E208-3B60-403D-9B77-6AF814B24EB9}" name="Column9067"/>
    <tableColumn id="9068" xr3:uid="{C99065C6-AD07-4E08-B6BF-8298E3554DA2}" name="Column9068"/>
    <tableColumn id="9069" xr3:uid="{4184143F-AF4E-412B-92C7-49D7696CA24C}" name="Column9069"/>
    <tableColumn id="9070" xr3:uid="{331B43E4-FC6D-4B15-B258-3252693FF87E}" name="Column9070"/>
    <tableColumn id="9071" xr3:uid="{E54805B9-7581-447A-BFC0-AB87A8B9D4E6}" name="Column9071"/>
    <tableColumn id="9072" xr3:uid="{A71A7DCA-7C3F-4FB1-9F7D-4E43F27769BE}" name="Column9072"/>
    <tableColumn id="9073" xr3:uid="{C5F98BC4-5373-45DF-88A7-D503C0808A96}" name="Column9073"/>
    <tableColumn id="9074" xr3:uid="{5D77E3AB-0F32-4FE8-AE4C-ABF7D29C80ED}" name="Column9074"/>
    <tableColumn id="9075" xr3:uid="{0270E18E-8A37-4EB5-9F15-7165FD647E32}" name="Column9075"/>
    <tableColumn id="9076" xr3:uid="{4F493F8D-4484-46F9-9009-87BA4957795E}" name="Column9076"/>
    <tableColumn id="9077" xr3:uid="{964D6465-3E45-4E70-82A4-B5AC379C6956}" name="Column9077"/>
    <tableColumn id="9078" xr3:uid="{AB959F9A-7E20-42FE-A0A7-A4B9FE24F775}" name="Column9078"/>
    <tableColumn id="9079" xr3:uid="{66724396-5A6A-4C86-B1FE-341BD2BC8EAE}" name="Column9079"/>
    <tableColumn id="9080" xr3:uid="{44F91C10-DE6F-4996-9255-F6F27DC5080A}" name="Column9080"/>
    <tableColumn id="9081" xr3:uid="{9E1E8169-1F60-486D-A020-A05D1371D35D}" name="Column9081"/>
    <tableColumn id="9082" xr3:uid="{7A857E70-2D13-41F2-B526-8BC90D8CDD9C}" name="Column9082"/>
    <tableColumn id="9083" xr3:uid="{23FA699A-FFE1-4401-855F-CF0DB4291447}" name="Column9083"/>
    <tableColumn id="9084" xr3:uid="{00B47CE7-FC87-43FD-85BF-F96E6F089AF2}" name="Column9084"/>
    <tableColumn id="9085" xr3:uid="{0E8082A0-4E10-4003-81AD-A8F9BF7C90EB}" name="Column9085"/>
    <tableColumn id="9086" xr3:uid="{4F0A13D8-1D70-46D8-88C0-855A49F661CD}" name="Column9086"/>
    <tableColumn id="9087" xr3:uid="{77811277-1D10-44B9-AD4F-A60DB1A8F4A6}" name="Column9087"/>
    <tableColumn id="9088" xr3:uid="{7D9F2C81-DC4A-4CFA-9054-16BC432D9EE2}" name="Column9088"/>
    <tableColumn id="9089" xr3:uid="{BFE35197-272B-4239-9008-A0194030D7C8}" name="Column9089"/>
    <tableColumn id="9090" xr3:uid="{F8F0B627-3BE2-4012-9E26-BF2768602514}" name="Column9090"/>
    <tableColumn id="9091" xr3:uid="{F9C8BF65-206E-47B2-9696-3267B7534A94}" name="Column9091"/>
    <tableColumn id="9092" xr3:uid="{CD651383-8489-43DD-B9AD-6A7DE063AE7A}" name="Column9092"/>
    <tableColumn id="9093" xr3:uid="{54734B4E-8870-4F57-A453-7DA3E07FEFB1}" name="Column9093"/>
    <tableColumn id="9094" xr3:uid="{0B632DC4-D64E-47DC-B4BB-99B5D4A13052}" name="Column9094"/>
    <tableColumn id="9095" xr3:uid="{DF382674-7312-4C84-BB12-6F33EEF2B158}" name="Column9095"/>
    <tableColumn id="9096" xr3:uid="{274A85AC-1A77-4B90-825B-8B98F0A40DF7}" name="Column9096"/>
    <tableColumn id="9097" xr3:uid="{BAAD71FC-B1EB-4A2A-A467-A134774F70A8}" name="Column9097"/>
    <tableColumn id="9098" xr3:uid="{EF2174AA-852A-471B-A326-AD58A47505D5}" name="Column9098"/>
    <tableColumn id="9099" xr3:uid="{D34B5A1D-D47B-414D-A2C7-3EE12430F158}" name="Column9099"/>
    <tableColumn id="9100" xr3:uid="{A3F8F8A3-5539-4264-ABD8-F7B7704E54E7}" name="Column9100"/>
    <tableColumn id="9101" xr3:uid="{A3690565-039A-47CB-9F4D-B398FA1FBE2A}" name="Column9101"/>
    <tableColumn id="9102" xr3:uid="{F434A294-439A-4212-95E1-BBB74B7AC816}" name="Column9102"/>
    <tableColumn id="9103" xr3:uid="{7DCB0951-9138-449D-9E5F-14523F8E3397}" name="Column9103"/>
    <tableColumn id="9104" xr3:uid="{2DF97AEB-B41E-4D93-AD40-535F3E4E52C0}" name="Column9104"/>
    <tableColumn id="9105" xr3:uid="{85C6E8A2-2B0A-4452-B1E7-16CA2115B381}" name="Column9105"/>
    <tableColumn id="9106" xr3:uid="{578FC8E1-DB18-44D4-B2BF-CF52764699C1}" name="Column9106"/>
    <tableColumn id="9107" xr3:uid="{0FBD1E32-2A18-46FC-9A7B-32041E2205F5}" name="Column9107"/>
    <tableColumn id="9108" xr3:uid="{B933DDC8-5464-4E1A-9B78-CB5A3F5DDF82}" name="Column9108"/>
    <tableColumn id="9109" xr3:uid="{1B660B0C-7BD0-46A5-A82A-3A82715700F4}" name="Column9109"/>
    <tableColumn id="9110" xr3:uid="{29413D18-A92A-4289-B91E-CD515BBB4098}" name="Column9110"/>
    <tableColumn id="9111" xr3:uid="{E0B037FF-5062-4320-A6E6-66606F16DF25}" name="Column9111"/>
    <tableColumn id="9112" xr3:uid="{E778788F-191F-4495-8452-465A5748AB78}" name="Column9112"/>
    <tableColumn id="9113" xr3:uid="{0120A127-E91A-4EC3-984A-68393B7D42D4}" name="Column9113"/>
    <tableColumn id="9114" xr3:uid="{D61529BC-E208-4BCF-B98C-E634E64D1C38}" name="Column9114"/>
    <tableColumn id="9115" xr3:uid="{2BD5E9D5-12AB-4D13-B855-617563948931}" name="Column9115"/>
    <tableColumn id="9116" xr3:uid="{E26455EC-26F5-4E51-9381-DAAD6F5A43A9}" name="Column9116"/>
    <tableColumn id="9117" xr3:uid="{0DCA39FD-2D9B-4A07-99D4-ED4BBC8F762A}" name="Column9117"/>
    <tableColumn id="9118" xr3:uid="{4916CBAC-54F3-40FE-ADE0-13FC04F307E4}" name="Column9118"/>
    <tableColumn id="9119" xr3:uid="{015AFE0B-45B2-4EB2-BCE0-6FD417F2AF95}" name="Column9119"/>
    <tableColumn id="9120" xr3:uid="{D2A7AE49-76F7-414A-872C-8FF654C922BA}" name="Column9120"/>
    <tableColumn id="9121" xr3:uid="{F5F182EF-C197-4BD0-99BC-4297D50718A3}" name="Column9121"/>
    <tableColumn id="9122" xr3:uid="{59FEACC4-56E0-4CBE-8EE8-54EFAD7E25D3}" name="Column9122"/>
    <tableColumn id="9123" xr3:uid="{8C287FD9-5800-4D31-A7BC-815AEC037F89}" name="Column9123"/>
    <tableColumn id="9124" xr3:uid="{F395AF65-803F-4E3F-8BD3-9AD1A06831EA}" name="Column9124"/>
    <tableColumn id="9125" xr3:uid="{610815A2-3C87-443A-B134-B9C193268793}" name="Column9125"/>
    <tableColumn id="9126" xr3:uid="{CD4B560C-ACE3-46BF-A6A6-3A6F4B654E08}" name="Column9126"/>
    <tableColumn id="9127" xr3:uid="{DCE10BF3-F15C-461C-B2E2-70355D3DD913}" name="Column9127"/>
    <tableColumn id="9128" xr3:uid="{76061B74-1A9D-4E8C-AF46-C168EB82C82C}" name="Column9128"/>
    <tableColumn id="9129" xr3:uid="{F040AF37-7219-4C1E-B807-C281980B973D}" name="Column9129"/>
    <tableColumn id="9130" xr3:uid="{9D3FF476-DE57-484C-AC74-0A646A30B0F4}" name="Column9130"/>
    <tableColumn id="9131" xr3:uid="{0F9A6A09-F581-4B09-A43F-C41345BBF440}" name="Column9131"/>
    <tableColumn id="9132" xr3:uid="{668662F2-0AF8-4592-A6C0-806BD8E3CC4C}" name="Column9132"/>
    <tableColumn id="9133" xr3:uid="{2FA2D834-C857-4F65-80EF-E1C28F482616}" name="Column9133"/>
    <tableColumn id="9134" xr3:uid="{32A59F8D-52A7-49A7-904F-DB05148CDD04}" name="Column9134"/>
    <tableColumn id="9135" xr3:uid="{6A1E1E68-B648-45E5-94F7-13454CAD8C94}" name="Column9135"/>
    <tableColumn id="9136" xr3:uid="{E61ECF5E-7866-4FFD-A0C4-962A0C0CC5A4}" name="Column9136"/>
    <tableColumn id="9137" xr3:uid="{1B2D5284-FB00-4334-88CA-AABD05135F9B}" name="Column9137"/>
    <tableColumn id="9138" xr3:uid="{4EF84BA9-F8BF-4BCF-9791-CC5773F940AB}" name="Column9138"/>
    <tableColumn id="9139" xr3:uid="{B287830E-42F3-4388-BA6D-DD7D47654936}" name="Column9139"/>
    <tableColumn id="9140" xr3:uid="{C8794143-5445-492E-A42A-FB5BC490A922}" name="Column9140"/>
    <tableColumn id="9141" xr3:uid="{1D02D932-C475-44E2-83B4-D64DDBD412CB}" name="Column9141"/>
    <tableColumn id="9142" xr3:uid="{A1B2B5F0-7E39-4014-9AF4-6A0A8EDA6296}" name="Column9142"/>
    <tableColumn id="9143" xr3:uid="{4F39D6F5-5255-4E41-8E21-DB1F9F2A56D5}" name="Column9143"/>
    <tableColumn id="9144" xr3:uid="{3AA2509E-BCF9-47E8-8532-4E5B908FFA1A}" name="Column9144"/>
    <tableColumn id="9145" xr3:uid="{EC2CDAC8-F7BA-42BB-9F3A-D39D8202693F}" name="Column9145"/>
    <tableColumn id="9146" xr3:uid="{5E5ACD55-8CF8-4682-8585-DEF5118269DC}" name="Column9146"/>
    <tableColumn id="9147" xr3:uid="{8E898D17-3EBD-4D05-A9F4-B02428A58CD7}" name="Column9147"/>
    <tableColumn id="9148" xr3:uid="{861BA2DD-F2F5-47C1-B268-0A792CCBF415}" name="Column9148"/>
    <tableColumn id="9149" xr3:uid="{5ECCDDA7-930B-4256-93E5-35A0F8FD926B}" name="Column9149"/>
    <tableColumn id="9150" xr3:uid="{94A2673D-51A5-4678-B148-A54BBD3FFF9F}" name="Column9150"/>
    <tableColumn id="9151" xr3:uid="{59B47284-9704-41CB-BA6A-E703378644A6}" name="Column9151"/>
    <tableColumn id="9152" xr3:uid="{18285260-F4BD-4AB3-89D9-A44B1F30786D}" name="Column9152"/>
    <tableColumn id="9153" xr3:uid="{3F29CBF7-2389-4B47-A59A-245A3EF333DB}" name="Column9153"/>
    <tableColumn id="9154" xr3:uid="{482376E2-643C-4462-A2AB-2924433E3382}" name="Column9154"/>
    <tableColumn id="9155" xr3:uid="{39972D2E-2551-491C-98C1-43AF3A41B1C8}" name="Column9155"/>
    <tableColumn id="9156" xr3:uid="{8081A6F6-AC53-487B-8678-A6A3F99EFC2A}" name="Column9156"/>
    <tableColumn id="9157" xr3:uid="{CD04F4A7-47E9-46E3-8C5F-04D50004BD6D}" name="Column9157"/>
    <tableColumn id="9158" xr3:uid="{DE1A45BB-D588-4804-B0D9-9C76FFA41753}" name="Column9158"/>
    <tableColumn id="9159" xr3:uid="{58CDB2F9-F1BC-4A12-891D-BB3622796F21}" name="Column9159"/>
    <tableColumn id="9160" xr3:uid="{DA9CE813-418D-43FE-B2C5-15D12397ECDC}" name="Column9160"/>
    <tableColumn id="9161" xr3:uid="{5B272986-FD79-4DC6-A810-FC2E3C6CA91D}" name="Column9161"/>
    <tableColumn id="9162" xr3:uid="{BFBD8C29-9A63-4E8B-9A63-7F05D1C0B3E4}" name="Column9162"/>
    <tableColumn id="9163" xr3:uid="{3AD9A11F-9B9D-45F8-A465-7F2A58103B8E}" name="Column9163"/>
    <tableColumn id="9164" xr3:uid="{B34C3840-F222-46D2-AA66-14C66F52EF2B}" name="Column9164"/>
    <tableColumn id="9165" xr3:uid="{6DD15100-8ADC-48FD-B785-158E958831E7}" name="Column9165"/>
    <tableColumn id="9166" xr3:uid="{B80E0024-DC7B-400D-88D7-E04B03DBD133}" name="Column9166"/>
    <tableColumn id="9167" xr3:uid="{EC030BB2-E0D5-45D5-8574-F5A8197A3035}" name="Column9167"/>
    <tableColumn id="9168" xr3:uid="{D5741B8B-31A4-4162-B401-112264362031}" name="Column9168"/>
    <tableColumn id="9169" xr3:uid="{F303426D-A899-48FD-BB7B-9B44715B343C}" name="Column9169"/>
    <tableColumn id="9170" xr3:uid="{84425CCF-3759-43A1-A36B-8DCC780CC026}" name="Column9170"/>
    <tableColumn id="9171" xr3:uid="{EA828E40-9CDC-44F8-BA93-2878CC57C6CF}" name="Column9171"/>
    <tableColumn id="9172" xr3:uid="{D954A3C9-B97E-4CA6-9F40-B20188AF0E66}" name="Column9172"/>
    <tableColumn id="9173" xr3:uid="{27AAF635-B2B3-42FB-85D0-F6A0AB60B7BC}" name="Column9173"/>
    <tableColumn id="9174" xr3:uid="{301CE0E4-8BA8-46A1-8589-2A17FD49BB1C}" name="Column9174"/>
    <tableColumn id="9175" xr3:uid="{D80792CE-BFF8-478A-85FC-2EDFDE553DF0}" name="Column9175"/>
    <tableColumn id="9176" xr3:uid="{0347C0C8-204B-4C98-BDA4-5A002D5F50D1}" name="Column9176"/>
    <tableColumn id="9177" xr3:uid="{FAC718F3-AE5C-4D02-92D2-8540C7728D73}" name="Column9177"/>
    <tableColumn id="9178" xr3:uid="{0619087F-03EA-4D25-A004-3EA3611C07D1}" name="Column9178"/>
    <tableColumn id="9179" xr3:uid="{869C6646-633A-4AE7-8576-28F2B57FEBED}" name="Column9179"/>
    <tableColumn id="9180" xr3:uid="{4839C0ED-AEB6-4ED4-B0C7-0B08F3DFD069}" name="Column9180"/>
    <tableColumn id="9181" xr3:uid="{41CCA88C-7942-459E-AFB6-EB77D1970547}" name="Column9181"/>
    <tableColumn id="9182" xr3:uid="{2C4EB635-69F1-4CD6-986A-3C641348C566}" name="Column9182"/>
    <tableColumn id="9183" xr3:uid="{93FE4E74-B18B-4514-AAC7-4FCF0A3D07D9}" name="Column9183"/>
    <tableColumn id="9184" xr3:uid="{BDD7E2AB-1E70-47D6-BA0C-4D50F628919C}" name="Column9184"/>
    <tableColumn id="9185" xr3:uid="{36EDE602-6D86-41EA-B0D3-7BA06E4D7196}" name="Column9185"/>
    <tableColumn id="9186" xr3:uid="{C1CBA0B9-3555-4234-98BF-1E42512C318D}" name="Column9186"/>
    <tableColumn id="9187" xr3:uid="{721D899B-54F0-4C0A-AFC0-2E897D079566}" name="Column9187"/>
    <tableColumn id="9188" xr3:uid="{4144A620-9855-447C-9E15-EBFBCF512EDD}" name="Column9188"/>
    <tableColumn id="9189" xr3:uid="{2B0386A7-003A-43AA-9F10-9C3F6075F3D3}" name="Column9189"/>
    <tableColumn id="9190" xr3:uid="{5A7DE673-E0A1-4E2C-840C-6E963CDCD221}" name="Column9190"/>
    <tableColumn id="9191" xr3:uid="{90230E7F-1921-41C1-8AF9-F92FDBD8C6E3}" name="Column9191"/>
    <tableColumn id="9192" xr3:uid="{BA298F56-79F2-4DD0-A408-DA5D4B02201D}" name="Column9192"/>
    <tableColumn id="9193" xr3:uid="{4CA528A4-2D95-4147-863E-6F1AE7DC413C}" name="Column9193"/>
    <tableColumn id="9194" xr3:uid="{04AC2364-82E5-4C21-9C22-33F028F208A8}" name="Column9194"/>
    <tableColumn id="9195" xr3:uid="{B84E87E9-955D-463C-AFB4-9FDDBA0F3C21}" name="Column9195"/>
    <tableColumn id="9196" xr3:uid="{84019CA2-B99A-4CEA-B1C3-3322D1A156A6}" name="Column9196"/>
    <tableColumn id="9197" xr3:uid="{A2036303-1CD0-465E-A81F-53E2286F05D6}" name="Column9197"/>
    <tableColumn id="9198" xr3:uid="{E408E981-E29C-4E26-B7F4-3BB26F9B0EEF}" name="Column9198"/>
    <tableColumn id="9199" xr3:uid="{1D18A92B-B681-40E1-83E5-36B499682B9F}" name="Column9199"/>
    <tableColumn id="9200" xr3:uid="{B2982581-9433-4B5E-B11C-D2DCEE8781F9}" name="Column9200"/>
    <tableColumn id="9201" xr3:uid="{79B910B8-4BD1-4298-8EDD-57549F61AF39}" name="Column9201"/>
    <tableColumn id="9202" xr3:uid="{C9890C8E-260A-4186-B7F9-B0F123DD2B21}" name="Column9202"/>
    <tableColumn id="9203" xr3:uid="{07233AFE-1FE8-4155-AF99-3ED8EEA1632B}" name="Column9203"/>
    <tableColumn id="9204" xr3:uid="{68476C62-3036-40DB-B0D0-B0D93BAA2B6C}" name="Column9204"/>
    <tableColumn id="9205" xr3:uid="{8CEFD711-8B89-43F7-834C-6838938616A8}" name="Column9205"/>
    <tableColumn id="9206" xr3:uid="{070D6546-AF12-4F1B-8AA0-41B3CF3A1065}" name="Column9206"/>
    <tableColumn id="9207" xr3:uid="{13922255-85CF-453C-9FE1-77A7A9276BF3}" name="Column9207"/>
    <tableColumn id="9208" xr3:uid="{78C70899-B1A0-4219-99BF-FD26F54720C6}" name="Column9208"/>
    <tableColumn id="9209" xr3:uid="{BD794A9E-7CDC-4936-925E-0F84567F5352}" name="Column9209"/>
    <tableColumn id="9210" xr3:uid="{BAAA8F92-6AC2-477A-8366-B6518041D046}" name="Column9210"/>
    <tableColumn id="9211" xr3:uid="{0A1E28DD-4AD8-464E-A77D-E7E19EC909C6}" name="Column9211"/>
    <tableColumn id="9212" xr3:uid="{93F52DD2-F05D-4A85-8D62-E3E82E7774A4}" name="Column9212"/>
    <tableColumn id="9213" xr3:uid="{5A83C0A7-C82D-479C-B4D9-AE2B3A740044}" name="Column9213"/>
    <tableColumn id="9214" xr3:uid="{844D3D55-9505-49FE-8EC7-73A60E0E9BFF}" name="Column9214"/>
    <tableColumn id="9215" xr3:uid="{FE44A692-236A-4A4F-BB05-0517208FB3A5}" name="Column9215"/>
    <tableColumn id="9216" xr3:uid="{59F2C537-7A4E-4679-843A-41A47A97B851}" name="Column9216"/>
    <tableColumn id="9217" xr3:uid="{3D4ECC44-4795-4524-B0DB-C10AA2E13C21}" name="Column9217"/>
    <tableColumn id="9218" xr3:uid="{F56DF515-084B-4D29-8115-14182D74FB27}" name="Column9218"/>
    <tableColumn id="9219" xr3:uid="{79E15720-EA37-45B8-B432-C8CB7B876993}" name="Column9219"/>
    <tableColumn id="9220" xr3:uid="{DAF6EA70-5C65-4ABC-9149-C153093F4D3B}" name="Column9220"/>
    <tableColumn id="9221" xr3:uid="{42534B1A-13A8-4629-8453-174515C01BDC}" name="Column9221"/>
    <tableColumn id="9222" xr3:uid="{C82B0359-C22D-42CC-9ADB-08F9E8DE5312}" name="Column9222"/>
    <tableColumn id="9223" xr3:uid="{3121C4CC-9C49-4AD1-AD91-D62E1986671C}" name="Column9223"/>
    <tableColumn id="9224" xr3:uid="{B32B5F42-E7A6-4BA2-B03E-212E907A007F}" name="Column9224"/>
    <tableColumn id="9225" xr3:uid="{62A76D49-34C9-492B-AA6F-50E99C5C3B0F}" name="Column9225"/>
    <tableColumn id="9226" xr3:uid="{798AF02B-4595-4D59-9318-D5AF9CCEE49B}" name="Column9226"/>
    <tableColumn id="9227" xr3:uid="{31121EA5-0E1F-4EB3-B43D-63CB9243CA44}" name="Column9227"/>
    <tableColumn id="9228" xr3:uid="{7863C3FD-5F48-4699-949E-661E0FA61082}" name="Column9228"/>
    <tableColumn id="9229" xr3:uid="{58A1E61A-091E-4159-A83A-B5304E743D06}" name="Column9229"/>
    <tableColumn id="9230" xr3:uid="{2355CF65-6C4F-41FE-890D-4A6DD89A8ED1}" name="Column9230"/>
    <tableColumn id="9231" xr3:uid="{D6B56281-8811-4EA2-9351-78D58FF09463}" name="Column9231"/>
    <tableColumn id="9232" xr3:uid="{E5D4D796-B2C9-4E1F-95D5-727634C662F4}" name="Column9232"/>
    <tableColumn id="9233" xr3:uid="{7013E136-9C5F-4D41-B3FA-11B26EBFC55F}" name="Column9233"/>
    <tableColumn id="9234" xr3:uid="{63FEF5C6-9B40-41B1-8403-6D28DCE52C9B}" name="Column9234"/>
    <tableColumn id="9235" xr3:uid="{5EE63526-6AFE-4F62-B5F6-B9803AB5A5F6}" name="Column9235"/>
    <tableColumn id="9236" xr3:uid="{87B88256-0F96-461F-899B-53D7C0B1FAD1}" name="Column9236"/>
    <tableColumn id="9237" xr3:uid="{3450A646-3FC4-4DE0-A57D-73A0022828AB}" name="Column9237"/>
    <tableColumn id="9238" xr3:uid="{9C1B3ABE-3A67-420A-9176-B8704A010A2B}" name="Column9238"/>
    <tableColumn id="9239" xr3:uid="{1E67F85C-30AA-45D5-B4C2-2B1B59D3D814}" name="Column9239"/>
    <tableColumn id="9240" xr3:uid="{685331BD-8FF3-49E4-AE2D-9CAE101B5937}" name="Column9240"/>
    <tableColumn id="9241" xr3:uid="{FFCA2EAC-6198-4084-9215-9D961FB622B1}" name="Column9241"/>
    <tableColumn id="9242" xr3:uid="{CCB7DD14-92F9-41A2-AEF0-75704B87FE02}" name="Column9242"/>
    <tableColumn id="9243" xr3:uid="{CFDA5D34-8E44-4885-B478-11E872E1AB58}" name="Column9243"/>
    <tableColumn id="9244" xr3:uid="{E18479B3-6E4F-47CF-A373-58A13E3C6585}" name="Column9244"/>
    <tableColumn id="9245" xr3:uid="{C2C52D7D-81F0-40C8-A1CA-0006FAFD629F}" name="Column9245"/>
    <tableColumn id="9246" xr3:uid="{BF069E82-E9FC-4B5C-9329-B0E8894ABC99}" name="Column9246"/>
    <tableColumn id="9247" xr3:uid="{1269F5D0-ED23-48F1-B034-2B14D93CC8F9}" name="Column9247"/>
    <tableColumn id="9248" xr3:uid="{6A8A5C1B-7C52-4FE7-AD45-E93206E91943}" name="Column9248"/>
    <tableColumn id="9249" xr3:uid="{07CE37F8-16B9-481D-A103-DD1D72FEC724}" name="Column9249"/>
    <tableColumn id="9250" xr3:uid="{EDBC78F8-4D10-4EEC-AFA2-06015F3E4BCA}" name="Column9250"/>
    <tableColumn id="9251" xr3:uid="{172AD367-1E41-4D27-8FA7-2F75B797E78D}" name="Column9251"/>
    <tableColumn id="9252" xr3:uid="{CF9EA043-C834-481B-B04F-7F1A1EC0D49C}" name="Column9252"/>
    <tableColumn id="9253" xr3:uid="{DD97A3F2-F2D0-4B2E-9ECA-F2058747D06C}" name="Column9253"/>
    <tableColumn id="9254" xr3:uid="{9CCA1FF6-46CC-497C-9E7E-8C0EFA5523A2}" name="Column9254"/>
    <tableColumn id="9255" xr3:uid="{B55F7652-9C48-44EE-98E0-1686BDCF0FFB}" name="Column9255"/>
    <tableColumn id="9256" xr3:uid="{0F13AEA2-84B5-4396-96F6-96689B96585F}" name="Column9256"/>
    <tableColumn id="9257" xr3:uid="{A3FFEC44-F834-4D5E-865F-5F42304FC3A5}" name="Column9257"/>
    <tableColumn id="9258" xr3:uid="{CD0C0D7C-1214-41F8-9437-51AFFC7C99AF}" name="Column9258"/>
    <tableColumn id="9259" xr3:uid="{9DB1E7B3-5560-43DA-A795-EC109E74A2A7}" name="Column9259"/>
    <tableColumn id="9260" xr3:uid="{B3A76A59-FFB9-4AEF-9E74-5842D10327DB}" name="Column9260"/>
    <tableColumn id="9261" xr3:uid="{90EE6FA7-8A34-4743-A30B-F1A3B0B52182}" name="Column9261"/>
    <tableColumn id="9262" xr3:uid="{2BAEED24-F968-4AA5-8AE0-0DE38C83FE54}" name="Column9262"/>
    <tableColumn id="9263" xr3:uid="{3EE0171D-4535-4B2E-BAE5-D702E7965DC4}" name="Column9263"/>
    <tableColumn id="9264" xr3:uid="{A234302C-753F-4782-A77A-1556B5FE41B1}" name="Column9264"/>
    <tableColumn id="9265" xr3:uid="{89D6EFF6-DC06-4347-8A07-C31480C957C9}" name="Column9265"/>
    <tableColumn id="9266" xr3:uid="{1D50294D-3C85-4806-9D4C-C08D8287F923}" name="Column9266"/>
    <tableColumn id="9267" xr3:uid="{17D70763-812F-422F-9951-D73161BD2AF1}" name="Column9267"/>
    <tableColumn id="9268" xr3:uid="{7BF70FA8-3734-4FA1-A904-CEC97BAA8157}" name="Column9268"/>
    <tableColumn id="9269" xr3:uid="{4F733E63-7E1E-4FCE-9BD1-105D26E96AD4}" name="Column9269"/>
    <tableColumn id="9270" xr3:uid="{B36E9E99-F409-4072-B98C-20A39B2DD4BE}" name="Column9270"/>
    <tableColumn id="9271" xr3:uid="{FC786606-3C7D-4D85-A071-0E0B1EFF8A2F}" name="Column9271"/>
    <tableColumn id="9272" xr3:uid="{A7DE6407-6435-43F4-9EBF-57B916C8F82D}" name="Column9272"/>
    <tableColumn id="9273" xr3:uid="{247EC7B9-ADDC-47AC-B6E1-5E197E6D2709}" name="Column9273"/>
    <tableColumn id="9274" xr3:uid="{DDCE3FC8-E563-457A-BEA5-693909F87B0A}" name="Column9274"/>
    <tableColumn id="9275" xr3:uid="{576D1C4D-8E82-4DD7-8966-172ADC98154A}" name="Column9275"/>
    <tableColumn id="9276" xr3:uid="{A2F27378-BD6A-4A9B-A8FD-228EF21BA45D}" name="Column9276"/>
    <tableColumn id="9277" xr3:uid="{6C9FFFD1-1AD6-4C8F-91D7-A58F40CC34A9}" name="Column9277"/>
    <tableColumn id="9278" xr3:uid="{8899CF33-C8DF-43D4-B599-DB095D472E6E}" name="Column9278"/>
    <tableColumn id="9279" xr3:uid="{534B6FE9-65CB-43FF-8D74-FBA32B52EE92}" name="Column9279"/>
    <tableColumn id="9280" xr3:uid="{7FE3F3AA-408D-4AB2-81A3-867BF0EF49AF}" name="Column9280"/>
    <tableColumn id="9281" xr3:uid="{1EF1F7C7-126E-4521-BB82-46E8D325E7FF}" name="Column9281"/>
    <tableColumn id="9282" xr3:uid="{01C0324C-2B12-42D5-BEA8-8D74FF65804F}" name="Column9282"/>
    <tableColumn id="9283" xr3:uid="{4DB4DD10-0143-419D-87D5-E159DBBB4041}" name="Column9283"/>
    <tableColumn id="9284" xr3:uid="{9D6EFB0C-2F28-4D07-81A1-FB77CEDB7C88}" name="Column9284"/>
    <tableColumn id="9285" xr3:uid="{EA7D87A3-BBA3-484C-B4DF-D1901E983DE6}" name="Column9285"/>
    <tableColumn id="9286" xr3:uid="{54B73AE7-03DE-4AF7-A026-285B19D1875E}" name="Column9286"/>
    <tableColumn id="9287" xr3:uid="{765E4F52-2DB4-40BB-AF24-9B8F81CC51FE}" name="Column9287"/>
    <tableColumn id="9288" xr3:uid="{01A99E94-5D5E-4A36-889A-BF3DD5D53B0B}" name="Column9288"/>
    <tableColumn id="9289" xr3:uid="{C8DDE9B1-6F94-494D-A02F-0561D35E06D0}" name="Column9289"/>
    <tableColumn id="9290" xr3:uid="{3B5093BF-6804-4D0E-9B8E-206A4B9737A0}" name="Column9290"/>
    <tableColumn id="9291" xr3:uid="{C1F48CDC-97E1-4E6B-BC97-97F4C0D36A57}" name="Column9291"/>
    <tableColumn id="9292" xr3:uid="{FA1A97E4-2DFF-4D7F-BAEB-592934D397E9}" name="Column9292"/>
    <tableColumn id="9293" xr3:uid="{4A4D3F96-03C9-4422-BE68-BE28EECA17F3}" name="Column9293"/>
    <tableColumn id="9294" xr3:uid="{FCAFC4C2-A05A-49C2-ACB1-4A292411F95A}" name="Column9294"/>
    <tableColumn id="9295" xr3:uid="{640ABE35-8199-49B7-A80E-5149718D8941}" name="Column9295"/>
    <tableColumn id="9296" xr3:uid="{4733BE70-3A3C-46AD-9F5C-8C962A515849}" name="Column9296"/>
    <tableColumn id="9297" xr3:uid="{91134005-E02E-4D3D-BE05-EE511455858E}" name="Column9297"/>
    <tableColumn id="9298" xr3:uid="{8712074B-B0A1-484B-A0B4-0751426D3EB8}" name="Column9298"/>
    <tableColumn id="9299" xr3:uid="{299E8D52-4531-4271-97E5-5C2AC102589C}" name="Column9299"/>
    <tableColumn id="9300" xr3:uid="{8D6F9AB9-0B6E-4030-96F2-BB7042A8CEA0}" name="Column9300"/>
    <tableColumn id="9301" xr3:uid="{7BD9D299-DFA1-4A01-B8CF-4AAEE6CEB343}" name="Column9301"/>
    <tableColumn id="9302" xr3:uid="{6898AF6B-7020-463E-B275-68D234AD9878}" name="Column9302"/>
    <tableColumn id="9303" xr3:uid="{6C6E6D9A-116F-490F-BBBF-914597EB413D}" name="Column9303"/>
    <tableColumn id="9304" xr3:uid="{381ACE70-274A-43A9-A4FE-054403D761B1}" name="Column9304"/>
    <tableColumn id="9305" xr3:uid="{72D5DCAB-FCAB-4A4C-A9FB-CB72D109EFB5}" name="Column9305"/>
    <tableColumn id="9306" xr3:uid="{B693596E-866C-4925-AA01-6105C8F95413}" name="Column9306"/>
    <tableColumn id="9307" xr3:uid="{958933DF-7557-4101-89CC-055F1F5EE35B}" name="Column9307"/>
    <tableColumn id="9308" xr3:uid="{66FA90CC-488A-4975-893F-4D3C928A6C5E}" name="Column9308"/>
    <tableColumn id="9309" xr3:uid="{B79557FD-C11C-40EA-AB1A-246DFDAF85B7}" name="Column9309"/>
    <tableColumn id="9310" xr3:uid="{6E325F99-85F7-458A-80CB-017E7DB49B4A}" name="Column9310"/>
    <tableColumn id="9311" xr3:uid="{E1D38E97-7A99-427D-A87C-1E346685CDDD}" name="Column9311"/>
    <tableColumn id="9312" xr3:uid="{CFD24723-1DF6-4B2C-8581-67A8559DE0D4}" name="Column9312"/>
    <tableColumn id="9313" xr3:uid="{C640A280-F538-45FE-B6E8-E699CF60765E}" name="Column9313"/>
    <tableColumn id="9314" xr3:uid="{3F2C919E-F6C9-41E9-A012-DCA15AC7D498}" name="Column9314"/>
    <tableColumn id="9315" xr3:uid="{B0762AD6-35FC-4198-AFA5-670EBFEC53F4}" name="Column9315"/>
    <tableColumn id="9316" xr3:uid="{53322251-40A8-4A39-8E35-6F1EBFCD2D2A}" name="Column9316"/>
    <tableColumn id="9317" xr3:uid="{BA3A48C4-ECF5-4129-B964-0343E06E47EE}" name="Column9317"/>
    <tableColumn id="9318" xr3:uid="{63775B9D-064E-4A69-BA50-DED07817F848}" name="Column9318"/>
    <tableColumn id="9319" xr3:uid="{343EC986-0990-4C8A-8DF0-A124A025A467}" name="Column9319"/>
    <tableColumn id="9320" xr3:uid="{EB67899F-BB36-44D4-BF9E-3A13DC71B8BE}" name="Column9320"/>
    <tableColumn id="9321" xr3:uid="{AE0A3EC8-18EB-4DB8-8A53-7D24B3EAB478}" name="Column9321"/>
    <tableColumn id="9322" xr3:uid="{3440E32F-AEB7-49F8-B8AC-8CA8113C093D}" name="Column9322"/>
    <tableColumn id="9323" xr3:uid="{0E96D4F3-C6DE-4449-809A-6C0A11B88BD1}" name="Column9323"/>
    <tableColumn id="9324" xr3:uid="{DE123C7A-D295-4F8A-9018-2E12EEE26922}" name="Column9324"/>
    <tableColumn id="9325" xr3:uid="{6103969A-539F-4612-A1A0-8C75173399AC}" name="Column9325"/>
    <tableColumn id="9326" xr3:uid="{37EF5F2D-0ED1-4E55-A022-AA96712036E2}" name="Column9326"/>
    <tableColumn id="9327" xr3:uid="{C900AD1B-ADF0-4C14-ADA8-98562C74493B}" name="Column9327"/>
    <tableColumn id="9328" xr3:uid="{6612B676-B679-4AFB-ABE4-498495220FCA}" name="Column9328"/>
    <tableColumn id="9329" xr3:uid="{B023FE83-870B-4223-8494-C3E0B85BCF52}" name="Column9329"/>
    <tableColumn id="9330" xr3:uid="{B387FBEE-FE19-4D2B-AA0B-A70D1F5FB152}" name="Column9330"/>
    <tableColumn id="9331" xr3:uid="{A86683D6-D868-4BBC-B3A5-378C42D4DD12}" name="Column9331"/>
    <tableColumn id="9332" xr3:uid="{88B93F94-F1ED-4C50-9322-903FE2174AD6}" name="Column9332"/>
    <tableColumn id="9333" xr3:uid="{00E49A2B-91FA-4CB6-AE11-0D663238037C}" name="Column9333"/>
    <tableColumn id="9334" xr3:uid="{F3FB69AE-419D-4648-988F-AC00E359FC18}" name="Column9334"/>
    <tableColumn id="9335" xr3:uid="{14F76DC2-C016-4A3F-B38F-AB23EF13CB5A}" name="Column9335"/>
    <tableColumn id="9336" xr3:uid="{CAC48525-B95A-4245-9D3B-C30B1AEFFABD}" name="Column9336"/>
    <tableColumn id="9337" xr3:uid="{9F774EA5-1570-4F9F-9928-B6BEC62DC49C}" name="Column9337"/>
    <tableColumn id="9338" xr3:uid="{41FF878C-47E6-4638-9301-EB9D679EE9B9}" name="Column9338"/>
    <tableColumn id="9339" xr3:uid="{CC33DF7D-0E6A-4913-80F5-E9E57F55999B}" name="Column9339"/>
    <tableColumn id="9340" xr3:uid="{BE870785-37C9-4544-8C6D-F29D805BF158}" name="Column9340"/>
    <tableColumn id="9341" xr3:uid="{F2353CF4-9691-4BD9-B0DE-3C4416D0B2E9}" name="Column9341"/>
    <tableColumn id="9342" xr3:uid="{B1ED3736-F4D2-4518-AA20-6DFD10C1017D}" name="Column9342"/>
    <tableColumn id="9343" xr3:uid="{7E1DF312-70F3-4BB2-BD05-5DE0FCF21761}" name="Column9343"/>
    <tableColumn id="9344" xr3:uid="{C84E7746-D9A4-4604-81BE-4530E7E4276F}" name="Column9344"/>
    <tableColumn id="9345" xr3:uid="{8B18DE0A-7B1B-481B-82D2-0536378721C9}" name="Column9345"/>
    <tableColumn id="9346" xr3:uid="{74990D17-78FF-4EC2-A3E0-7F09FA008B5D}" name="Column9346"/>
    <tableColumn id="9347" xr3:uid="{23D1E26E-01F8-4DCF-96E4-000917F29358}" name="Column9347"/>
    <tableColumn id="9348" xr3:uid="{36F1E087-0EB1-4A1E-92D9-FF7071E54FB2}" name="Column9348"/>
    <tableColumn id="9349" xr3:uid="{C20B1433-0431-40FF-9DE4-01FAC146BB5F}" name="Column9349"/>
    <tableColumn id="9350" xr3:uid="{11292EAB-3C8F-48BD-AB4A-D1E0390A08FC}" name="Column9350"/>
    <tableColumn id="9351" xr3:uid="{3F793118-4BE9-44C3-BD92-A5B6F626E807}" name="Column9351"/>
    <tableColumn id="9352" xr3:uid="{09A03164-9F78-4FEA-BD9F-4046B885D53D}" name="Column9352"/>
    <tableColumn id="9353" xr3:uid="{6512C502-8CAE-4DF0-8087-4183D7295F50}" name="Column9353"/>
    <tableColumn id="9354" xr3:uid="{0001CD83-6D4E-4B71-9C17-F405AE33D3BC}" name="Column9354"/>
    <tableColumn id="9355" xr3:uid="{CFBEF4CB-22CA-43CA-9EC9-1FBDBF18C9CF}" name="Column9355"/>
    <tableColumn id="9356" xr3:uid="{EFF79CD0-EB91-45CF-92B7-FE637AB85DFB}" name="Column9356"/>
    <tableColumn id="9357" xr3:uid="{9C03A571-EA9F-45DE-871F-6654B12BEE6F}" name="Column9357"/>
    <tableColumn id="9358" xr3:uid="{DDC43DEF-6013-4D2B-90D0-D422966F9970}" name="Column9358"/>
    <tableColumn id="9359" xr3:uid="{0F3AB34F-5515-411C-95CC-A408BDD0878E}" name="Column9359"/>
    <tableColumn id="9360" xr3:uid="{0407A68A-0D9C-4212-8533-F77970AB56AE}" name="Column9360"/>
    <tableColumn id="9361" xr3:uid="{B4CD3859-7B71-4A72-8838-B212505967D4}" name="Column9361"/>
    <tableColumn id="9362" xr3:uid="{C59D00B2-4752-4140-8BE4-948CB5A8D9F5}" name="Column9362"/>
    <tableColumn id="9363" xr3:uid="{8FF71407-0BE9-414D-A555-275C2D149BD9}" name="Column9363"/>
    <tableColumn id="9364" xr3:uid="{46F5C27B-75C7-499E-836E-19F849513A38}" name="Column9364"/>
    <tableColumn id="9365" xr3:uid="{8D245BF8-F22F-4445-83D9-3677DB289619}" name="Column9365"/>
    <tableColumn id="9366" xr3:uid="{6F4AEE69-EA78-496B-8DB7-C9FF8D268ED7}" name="Column9366"/>
    <tableColumn id="9367" xr3:uid="{ADB1F2C9-ABB8-4306-8C39-EBF40CA18EE8}" name="Column9367"/>
    <tableColumn id="9368" xr3:uid="{010B013F-60E7-4B2E-96F5-C3EABCEE23E6}" name="Column9368"/>
    <tableColumn id="9369" xr3:uid="{2C9B666C-A86D-418C-97FF-B9976A6D69F5}" name="Column9369"/>
    <tableColumn id="9370" xr3:uid="{DBDE4F82-B7BE-4E6C-875D-B1781FC2638C}" name="Column9370"/>
    <tableColumn id="9371" xr3:uid="{6FAE68A2-E1E2-4DD2-91C4-36084516B6A7}" name="Column9371"/>
    <tableColumn id="9372" xr3:uid="{713A428D-D98D-401E-8F8F-6CCAE1CDEBEA}" name="Column9372"/>
    <tableColumn id="9373" xr3:uid="{E205C9D0-512E-4209-AF2D-8C8A8429551C}" name="Column9373"/>
    <tableColumn id="9374" xr3:uid="{465CC889-BBA3-4A5A-A8A6-17FDE74CFE0E}" name="Column9374"/>
    <tableColumn id="9375" xr3:uid="{454C9831-B3E1-4C77-AFDF-D12B4AB207D4}" name="Column9375"/>
    <tableColumn id="9376" xr3:uid="{C8DE238C-2DF3-4E78-816B-E4E94EC4EF2C}" name="Column9376"/>
    <tableColumn id="9377" xr3:uid="{4A8937EA-EE03-4FA6-BB46-FC9B6BB92F95}" name="Column9377"/>
    <tableColumn id="9378" xr3:uid="{6852D42C-964F-46A1-A666-B6E016121F9B}" name="Column9378"/>
    <tableColumn id="9379" xr3:uid="{218CBEF7-1D9B-40A3-9BDE-EB7F8B8D936D}" name="Column9379"/>
    <tableColumn id="9380" xr3:uid="{0C2EE35B-8AA3-4732-9FB0-2F64862648D4}" name="Column9380"/>
    <tableColumn id="9381" xr3:uid="{9A98AFE7-B1C1-4163-B592-7413D5E1BD49}" name="Column9381"/>
    <tableColumn id="9382" xr3:uid="{0A798535-EA6B-495E-A395-0BD3C570F050}" name="Column9382"/>
    <tableColumn id="9383" xr3:uid="{FCD8A51C-577F-4858-98BE-26EB68335DC9}" name="Column9383"/>
    <tableColumn id="9384" xr3:uid="{858F7944-B364-467D-B24B-98B375C2A4BA}" name="Column9384"/>
    <tableColumn id="9385" xr3:uid="{4E759922-BFC0-4456-A004-A380FFCF506F}" name="Column9385"/>
    <tableColumn id="9386" xr3:uid="{20B231E2-B39E-4130-B35A-AAD6A2D84521}" name="Column9386"/>
    <tableColumn id="9387" xr3:uid="{CEF58CC5-E878-4155-AFE5-698901C2B810}" name="Column9387"/>
    <tableColumn id="9388" xr3:uid="{85CA7047-1869-4048-BBC7-0C4192E44C2E}" name="Column9388"/>
    <tableColumn id="9389" xr3:uid="{8001ED68-187C-41FD-97F5-959262C29011}" name="Column9389"/>
    <tableColumn id="9390" xr3:uid="{75F25CAF-C96D-4997-AA97-587B241A01A3}" name="Column9390"/>
    <tableColumn id="9391" xr3:uid="{46F2D9CC-0C5E-49FC-B937-167EEAC7BC34}" name="Column9391"/>
    <tableColumn id="9392" xr3:uid="{8DCAE611-C38B-40DD-8BA0-D39842DB815C}" name="Column9392"/>
    <tableColumn id="9393" xr3:uid="{581DB096-7436-4E72-9312-29BAA2121760}" name="Column9393"/>
    <tableColumn id="9394" xr3:uid="{EACCEF50-7311-4E07-B405-82CB16898C8B}" name="Column9394"/>
    <tableColumn id="9395" xr3:uid="{BB5D021D-67E5-49CE-A5D5-BF1E33D0DE90}" name="Column9395"/>
    <tableColumn id="9396" xr3:uid="{72C66AC0-DD1D-4749-A3E1-5145365064AE}" name="Column9396"/>
    <tableColumn id="9397" xr3:uid="{6FCD6898-9929-47A6-93E6-FF3DCBCB3088}" name="Column9397"/>
    <tableColumn id="9398" xr3:uid="{67A62FA4-00C1-4DBB-9B43-C8512942BAD7}" name="Column9398"/>
    <tableColumn id="9399" xr3:uid="{45270E72-E0D7-4313-8A21-8522835D8F0B}" name="Column9399"/>
    <tableColumn id="9400" xr3:uid="{6433F837-01C1-4E85-BDF6-913AA4C56EED}" name="Column9400"/>
    <tableColumn id="9401" xr3:uid="{CEDED46B-14CF-4035-9F9C-5D42A1EBEB4A}" name="Column9401"/>
    <tableColumn id="9402" xr3:uid="{0888B6FE-EF17-41B2-BCD0-017ECEEB1C29}" name="Column9402"/>
    <tableColumn id="9403" xr3:uid="{08F76B17-48C1-44B7-86E4-BF6C8D4BB37E}" name="Column9403"/>
    <tableColumn id="9404" xr3:uid="{A3BDEEC5-E2D7-488B-B1ED-F5E7D53E6CAE}" name="Column9404"/>
    <tableColumn id="9405" xr3:uid="{A7BC7D74-0E31-4929-8A63-9FB6107C54D5}" name="Column9405"/>
    <tableColumn id="9406" xr3:uid="{97BF62D5-362B-45FF-BADB-B2631A5252D2}" name="Column9406"/>
    <tableColumn id="9407" xr3:uid="{D310D352-9D7D-4808-858A-00899499AD29}" name="Column9407"/>
    <tableColumn id="9408" xr3:uid="{FF6648B2-EDE9-40E0-BED7-979ADAED6CBB}" name="Column9408"/>
    <tableColumn id="9409" xr3:uid="{16D24D49-6B2F-4E57-9D53-C7C46F7292BB}" name="Column9409"/>
    <tableColumn id="9410" xr3:uid="{58644BD5-3A65-41CA-BB47-5D39263DFF66}" name="Column9410"/>
    <tableColumn id="9411" xr3:uid="{A52E7CD2-5C12-4D29-9209-569556B556B8}" name="Column9411"/>
    <tableColumn id="9412" xr3:uid="{507BCA10-A0CD-4AC3-A2EE-412146A3233D}" name="Column9412"/>
    <tableColumn id="9413" xr3:uid="{FC895EC7-9F82-4044-8DF2-27A7A5546A15}" name="Column9413"/>
    <tableColumn id="9414" xr3:uid="{198326B4-F36F-4102-8503-A5241484E06B}" name="Column9414"/>
    <tableColumn id="9415" xr3:uid="{C7A65CCB-7DCF-4B1D-8793-73668D26EB22}" name="Column9415"/>
    <tableColumn id="9416" xr3:uid="{09154944-219E-460E-85E9-C0DF78566D3A}" name="Column9416"/>
    <tableColumn id="9417" xr3:uid="{68BDC337-B896-40F5-822E-03C0BC5E5D62}" name="Column9417"/>
    <tableColumn id="9418" xr3:uid="{1B91EE51-3A0B-4DDC-99C1-7891864466B7}" name="Column9418"/>
    <tableColumn id="9419" xr3:uid="{C70A0E24-E144-4CD3-9035-F257F83A2363}" name="Column9419"/>
    <tableColumn id="9420" xr3:uid="{B0A7F21D-605C-4D65-AD47-DD474ED8AFB2}" name="Column9420"/>
    <tableColumn id="9421" xr3:uid="{35EA9CFE-662F-4EE7-B13F-632B5A19A561}" name="Column9421"/>
    <tableColumn id="9422" xr3:uid="{0CE23F0D-26AA-461B-A9FC-3BCEEE61BF2B}" name="Column9422"/>
    <tableColumn id="9423" xr3:uid="{4C46BA1F-6DC4-44D3-9DD3-04B4F02D5513}" name="Column9423"/>
    <tableColumn id="9424" xr3:uid="{B45F20A5-3B2C-4F71-873E-AB1AD4028FA3}" name="Column9424"/>
    <tableColumn id="9425" xr3:uid="{0BE7128F-67CC-47BF-ACDE-AFE57DD6AC0F}" name="Column9425"/>
    <tableColumn id="9426" xr3:uid="{C962D31E-D911-4782-ABC2-DEE787EBB553}" name="Column9426"/>
    <tableColumn id="9427" xr3:uid="{A2D340C4-B956-447A-8329-59F912037444}" name="Column9427"/>
    <tableColumn id="9428" xr3:uid="{102D3E63-DDEB-453D-877E-FC8D9BA38B86}" name="Column9428"/>
    <tableColumn id="9429" xr3:uid="{4EE7E63B-70F7-4CE9-8AED-C81DFB118716}" name="Column9429"/>
    <tableColumn id="9430" xr3:uid="{81EAEE8D-328D-44B0-A4B5-CAF16C34AF97}" name="Column9430"/>
    <tableColumn id="9431" xr3:uid="{85F10E2D-6BF1-4543-83D8-FC630C9CFB0F}" name="Column9431"/>
    <tableColumn id="9432" xr3:uid="{A226479C-8465-4674-AB7B-ECBC815F3C8F}" name="Column9432"/>
    <tableColumn id="9433" xr3:uid="{A4E4A02E-0DFA-4CFE-8CC8-AE858A55E835}" name="Column9433"/>
    <tableColumn id="9434" xr3:uid="{3ECF080A-CC98-495E-946F-E39B697CD759}" name="Column9434"/>
    <tableColumn id="9435" xr3:uid="{D6EEF738-B091-46E6-A42C-0DD63620BC9F}" name="Column9435"/>
    <tableColumn id="9436" xr3:uid="{CAFB4F12-D95B-43DA-9A79-FFAFC75457AC}" name="Column9436"/>
    <tableColumn id="9437" xr3:uid="{9F0BBAB6-3AF6-427E-B5CD-A37329ED4861}" name="Column9437"/>
    <tableColumn id="9438" xr3:uid="{E78EBF24-0788-46E0-85F7-A1757EABB152}" name="Column9438"/>
    <tableColumn id="9439" xr3:uid="{CB7D2853-332F-4B07-B0FC-B89C47CD288F}" name="Column9439"/>
    <tableColumn id="9440" xr3:uid="{129F0811-23E6-42CD-A432-4CEAA1886401}" name="Column9440"/>
    <tableColumn id="9441" xr3:uid="{AF1212E4-AF72-4C16-BDD3-4C2C2D03BF32}" name="Column9441"/>
    <tableColumn id="9442" xr3:uid="{D3DA6AA3-9BB6-4C85-A10C-5666A383D3E5}" name="Column9442"/>
    <tableColumn id="9443" xr3:uid="{6744CF26-71D8-41F4-A8E9-5A28FA9C48C4}" name="Column9443"/>
    <tableColumn id="9444" xr3:uid="{229215E8-1D12-4B8F-B6B5-9625C9D1186E}" name="Column9444"/>
    <tableColumn id="9445" xr3:uid="{191B523F-A363-498F-8258-88A6B9FC4380}" name="Column9445"/>
    <tableColumn id="9446" xr3:uid="{CA71AD83-FC37-4353-8352-F41C39C8A080}" name="Column9446"/>
    <tableColumn id="9447" xr3:uid="{5A6F1E7A-97F6-4617-B6EE-E41D8A56F514}" name="Column9447"/>
    <tableColumn id="9448" xr3:uid="{373D88AB-7C05-4505-A9EC-5EE832FAD0F2}" name="Column9448"/>
    <tableColumn id="9449" xr3:uid="{5D205037-34B9-4DBE-8534-F52F60526449}" name="Column9449"/>
    <tableColumn id="9450" xr3:uid="{3D0069AF-118C-402E-8CAB-593521F54995}" name="Column9450"/>
    <tableColumn id="9451" xr3:uid="{23FDF985-E04B-47C8-BB41-4BABF78030A8}" name="Column9451"/>
    <tableColumn id="9452" xr3:uid="{57A767B1-CAFF-446B-99AA-71BE71D83BB9}" name="Column9452"/>
    <tableColumn id="9453" xr3:uid="{93B1B4F8-DEEC-4ABD-B35D-1790BF40DF01}" name="Column9453"/>
    <tableColumn id="9454" xr3:uid="{D28C71FA-1CAD-430D-B42E-4E3A5BAA9035}" name="Column9454"/>
    <tableColumn id="9455" xr3:uid="{61B2063D-26DE-4AAE-9453-36E9CC8FDEDD}" name="Column9455"/>
    <tableColumn id="9456" xr3:uid="{7C1A6D96-A898-46AC-AB01-272028AF2378}" name="Column9456"/>
    <tableColumn id="9457" xr3:uid="{74B75AFD-9003-4F1F-8CB2-4E90FFF805CB}" name="Column9457"/>
    <tableColumn id="9458" xr3:uid="{BBBAB493-D769-4D3B-A2E2-E623F16BB8A4}" name="Column9458"/>
    <tableColumn id="9459" xr3:uid="{BCA983D1-99CC-4A6D-BAFA-D9446E22B4AD}" name="Column9459"/>
    <tableColumn id="9460" xr3:uid="{0A714358-A892-4ECD-9B66-7E91803FBDF7}" name="Column9460"/>
    <tableColumn id="9461" xr3:uid="{83A43EEB-01CB-4A53-A777-3FAA229C5362}" name="Column9461"/>
    <tableColumn id="9462" xr3:uid="{23FE407E-65EA-4212-8CFA-C0C04E4EA05F}" name="Column9462"/>
    <tableColumn id="9463" xr3:uid="{134195D8-CE82-419B-BD20-98BA915A4A9A}" name="Column9463"/>
    <tableColumn id="9464" xr3:uid="{3CCABD55-4804-40E0-B67F-61D82F8C1798}" name="Column9464"/>
    <tableColumn id="9465" xr3:uid="{4DDA626D-D270-4CD8-A65B-07282C79D4A3}" name="Column9465"/>
    <tableColumn id="9466" xr3:uid="{096BB397-3F60-4C7A-BD38-A2D30745E9A9}" name="Column9466"/>
    <tableColumn id="9467" xr3:uid="{F959D88F-CC71-4B22-86FE-D53AB13F7080}" name="Column9467"/>
    <tableColumn id="9468" xr3:uid="{31555136-7C5C-4605-A7D6-6ECE48042AFE}" name="Column9468"/>
    <tableColumn id="9469" xr3:uid="{BDCA3A50-4C72-4F90-A873-BD6B258AC79C}" name="Column9469"/>
    <tableColumn id="9470" xr3:uid="{599C37FA-C7E7-4F7B-8901-4527A731F280}" name="Column9470"/>
    <tableColumn id="9471" xr3:uid="{EA17BF99-5C14-4CC3-95B0-67EC427D421A}" name="Column9471"/>
    <tableColumn id="9472" xr3:uid="{F7811693-83B6-4B10-8191-BFEB3DD651F6}" name="Column9472"/>
    <tableColumn id="9473" xr3:uid="{746367ED-D06F-4762-80EB-FCE7AD44B828}" name="Column9473"/>
    <tableColumn id="9474" xr3:uid="{0E717DC2-C97D-48C3-8223-E755A149FC25}" name="Column9474"/>
    <tableColumn id="9475" xr3:uid="{9BE3A1CA-862B-436C-AEA4-CC5638004BF9}" name="Column9475"/>
    <tableColumn id="9476" xr3:uid="{DE3B3C9A-FD9E-4FE3-BD07-89774E4074B3}" name="Column9476"/>
    <tableColumn id="9477" xr3:uid="{D3FF0554-8A36-48E7-99DF-9547E7511B3E}" name="Column9477"/>
    <tableColumn id="9478" xr3:uid="{28D5D53B-5D17-4466-8496-22EF13F09BC7}" name="Column9478"/>
    <tableColumn id="9479" xr3:uid="{B65D0A25-1687-40FF-8C28-4BE27F81A3B8}" name="Column9479"/>
    <tableColumn id="9480" xr3:uid="{F55F8EF1-6CF0-42AC-8D91-A8BEA4536617}" name="Column9480"/>
    <tableColumn id="9481" xr3:uid="{7F4EB28C-8669-4394-AE10-5BF1823636CA}" name="Column9481"/>
    <tableColumn id="9482" xr3:uid="{C8A44A56-CBD7-47D1-9181-1D17F4BC3F97}" name="Column9482"/>
    <tableColumn id="9483" xr3:uid="{E0788C11-30E2-4F58-B27B-2508E776C221}" name="Column9483"/>
    <tableColumn id="9484" xr3:uid="{DCA85492-AC5C-42DF-898B-44E112AE9C4E}" name="Column9484"/>
    <tableColumn id="9485" xr3:uid="{B63D7420-CCA2-4A84-9F27-16176E76181E}" name="Column9485"/>
    <tableColumn id="9486" xr3:uid="{8FFF987C-56E6-4E77-B56E-79305EE1E7CC}" name="Column9486"/>
    <tableColumn id="9487" xr3:uid="{902F9424-6538-4B7D-BBEF-827CE1D4E473}" name="Column9487"/>
    <tableColumn id="9488" xr3:uid="{2F35CDEA-E06E-43BF-89A7-1E278626B314}" name="Column9488"/>
    <tableColumn id="9489" xr3:uid="{625C3F96-FBC3-49EC-BBA5-1FDED8EA2F4F}" name="Column9489"/>
    <tableColumn id="9490" xr3:uid="{CA69BFE8-43A7-4D4A-811F-375E2D0BEC0E}" name="Column9490"/>
    <tableColumn id="9491" xr3:uid="{91225B17-8C8E-4A77-982C-D497DBB3B6B1}" name="Column9491"/>
    <tableColumn id="9492" xr3:uid="{5D0CA42F-DB7C-4FDA-9665-F58E06EC46B4}" name="Column9492"/>
    <tableColumn id="9493" xr3:uid="{2594F24B-4B91-4AD2-AB32-9F330779534E}" name="Column9493"/>
    <tableColumn id="9494" xr3:uid="{C67D0B8B-1397-4C46-8DB4-B3F0CC054E60}" name="Column9494"/>
    <tableColumn id="9495" xr3:uid="{816B5180-805F-4313-8592-99DDF899323A}" name="Column9495"/>
    <tableColumn id="9496" xr3:uid="{450F1DFF-8715-44CA-BC6B-616E9F90CD43}" name="Column9496"/>
    <tableColumn id="9497" xr3:uid="{5C59C75C-BA52-44D7-BA31-8FE7804F713C}" name="Column9497"/>
    <tableColumn id="9498" xr3:uid="{AD097227-6A01-4989-AE4F-91EA278F8783}" name="Column9498"/>
    <tableColumn id="9499" xr3:uid="{BE68B934-E3B8-4400-B5A0-FBE489503F0F}" name="Column9499"/>
    <tableColumn id="9500" xr3:uid="{32156854-7FC2-452C-AE3B-4389D11D0130}" name="Column9500"/>
    <tableColumn id="9501" xr3:uid="{FB0E55E5-F960-4717-B46F-91AA20CDE55E}" name="Column9501"/>
    <tableColumn id="9502" xr3:uid="{59CB851F-BAAF-4A03-A850-0E44A721C14A}" name="Column9502"/>
    <tableColumn id="9503" xr3:uid="{3F9A0943-6488-4D65-B4C4-BFD1B9861DC9}" name="Column9503"/>
    <tableColumn id="9504" xr3:uid="{EB9B8D6F-AA4D-4ABB-938B-822C53CC2665}" name="Column9504"/>
    <tableColumn id="9505" xr3:uid="{5E3B608E-1173-4F20-8670-032862CB5264}" name="Column9505"/>
    <tableColumn id="9506" xr3:uid="{20DE0CCA-5B31-4451-BA8C-504C7187B61C}" name="Column9506"/>
    <tableColumn id="9507" xr3:uid="{8A519099-D62D-4A73-9672-054A919E2ECE}" name="Column9507"/>
    <tableColumn id="9508" xr3:uid="{DD50E72A-81BB-45D0-89FC-95DB16B44A17}" name="Column9508"/>
    <tableColumn id="9509" xr3:uid="{A16468A1-CA64-45AA-939D-94E033C49E7E}" name="Column9509"/>
    <tableColumn id="9510" xr3:uid="{98516CD0-5A7B-4810-A4C2-2B1B29BAE602}" name="Column9510"/>
    <tableColumn id="9511" xr3:uid="{9A9D2F81-B5ED-4EDA-937B-DBE9200FDC13}" name="Column9511"/>
    <tableColumn id="9512" xr3:uid="{8F96EC39-0C84-4A3E-9FF7-ED0781232F56}" name="Column9512"/>
    <tableColumn id="9513" xr3:uid="{D4CCD981-A6D2-4F5E-83BB-CA416E4F8D7C}" name="Column9513"/>
    <tableColumn id="9514" xr3:uid="{89605DED-C8D6-4030-BE85-F503F76B4563}" name="Column9514"/>
    <tableColumn id="9515" xr3:uid="{ECBE80C1-0252-4770-8E58-740F9261D369}" name="Column9515"/>
    <tableColumn id="9516" xr3:uid="{A6293654-E95D-4101-B5F7-3EED445D2B0E}" name="Column9516"/>
    <tableColumn id="9517" xr3:uid="{93886AE7-831F-43FE-95EA-AFE3EA517CE6}" name="Column9517"/>
    <tableColumn id="9518" xr3:uid="{6E7B90FD-20F1-4AF7-94F5-9547C5992452}" name="Column9518"/>
    <tableColumn id="9519" xr3:uid="{E14B3AAA-4EEC-46A9-978D-B2F17CE7A8A5}" name="Column9519"/>
    <tableColumn id="9520" xr3:uid="{15314BF2-F19F-4861-A19C-A933E5CC351B}" name="Column9520"/>
    <tableColumn id="9521" xr3:uid="{006AAABE-68C1-4ED9-9AD0-F6DED3E90FF8}" name="Column9521"/>
    <tableColumn id="9522" xr3:uid="{A38EB849-4D1A-41D6-AA89-DC42E2932357}" name="Column9522"/>
    <tableColumn id="9523" xr3:uid="{3FD5D169-995A-4885-A7CB-9107A67CCEB8}" name="Column9523"/>
    <tableColumn id="9524" xr3:uid="{EFA7DA4C-7F07-4C44-A04F-05E83E1F87DA}" name="Column9524"/>
    <tableColumn id="9525" xr3:uid="{D416A002-818A-43BA-B64E-0823C0BAF8B6}" name="Column9525"/>
    <tableColumn id="9526" xr3:uid="{AAF29086-10C8-4EF8-8E08-81266C9227E2}" name="Column9526"/>
    <tableColumn id="9527" xr3:uid="{DD3F36EB-1AC9-4E2D-934B-339A7E6F7BBB}" name="Column9527"/>
    <tableColumn id="9528" xr3:uid="{BAA44C1F-CB09-4B06-BB3B-7122420CF6F5}" name="Column9528"/>
    <tableColumn id="9529" xr3:uid="{2A3B7C80-B357-454C-9897-BD33E7805AD2}" name="Column9529"/>
    <tableColumn id="9530" xr3:uid="{D50808F8-3A27-4428-86A9-73838848E8B0}" name="Column9530"/>
    <tableColumn id="9531" xr3:uid="{A7F8E510-B752-4111-9F3B-C9C452A460B6}" name="Column9531"/>
    <tableColumn id="9532" xr3:uid="{F0FF2B4E-C2A5-4BB2-BDF8-D920FD4ADB83}" name="Column9532"/>
    <tableColumn id="9533" xr3:uid="{A5A8F55E-1CE6-4413-8355-3D77ABAA63AC}" name="Column9533"/>
    <tableColumn id="9534" xr3:uid="{0B7181DB-634D-4EA3-8E71-AF065BC40D30}" name="Column9534"/>
    <tableColumn id="9535" xr3:uid="{93EF8934-726B-4C39-B62B-27694E249B35}" name="Column9535"/>
    <tableColumn id="9536" xr3:uid="{4ECFF404-5AE0-4C0A-8F1E-6B18950E0E25}" name="Column9536"/>
    <tableColumn id="9537" xr3:uid="{26CC126B-9FD7-4970-AD6A-D3D0A42C7615}" name="Column9537"/>
    <tableColumn id="9538" xr3:uid="{77A385C5-F0C5-4686-8FF7-A063C21D2BC0}" name="Column9538"/>
    <tableColumn id="9539" xr3:uid="{B7164AE6-ED72-4F3B-A82A-BE0E92ACAEFB}" name="Column9539"/>
    <tableColumn id="9540" xr3:uid="{63884518-F3E2-46E0-B4C8-E2351A703DF5}" name="Column9540"/>
    <tableColumn id="9541" xr3:uid="{14729014-00A2-4F6E-BE72-87246FAFC9E9}" name="Column9541"/>
    <tableColumn id="9542" xr3:uid="{F8C8AB65-2857-4BCD-9EA5-74E8AC598290}" name="Column9542"/>
    <tableColumn id="9543" xr3:uid="{5003B7C2-DA2D-43CD-8735-DBBE123E79D3}" name="Column9543"/>
    <tableColumn id="9544" xr3:uid="{93CD73BF-E64A-4B9E-B85C-7FDB51940BE8}" name="Column9544"/>
    <tableColumn id="9545" xr3:uid="{D5B16F0A-2A7F-49A4-8803-0EDC4885DFD4}" name="Column9545"/>
    <tableColumn id="9546" xr3:uid="{D7559815-A33F-40C8-A863-73A8AB21C19D}" name="Column9546"/>
    <tableColumn id="9547" xr3:uid="{17B02B8A-51DC-4DD1-BF14-1C489C274556}" name="Column9547"/>
    <tableColumn id="9548" xr3:uid="{7B9E6568-21E4-4614-A723-B2FCEC7A8E63}" name="Column9548"/>
    <tableColumn id="9549" xr3:uid="{0DC78964-9770-4ADD-B015-8CBA1603419A}" name="Column9549"/>
    <tableColumn id="9550" xr3:uid="{F5758E99-BDD8-4E4D-835B-910783040DE0}" name="Column9550"/>
    <tableColumn id="9551" xr3:uid="{FDA54E92-6D73-4805-9F12-24BEAB67768A}" name="Column9551"/>
    <tableColumn id="9552" xr3:uid="{D48055A3-C9D3-465F-B42A-62BBD0A6A01F}" name="Column9552"/>
    <tableColumn id="9553" xr3:uid="{74D8C1F1-BF45-4C7D-BA25-8C63CE951754}" name="Column9553"/>
    <tableColumn id="9554" xr3:uid="{F21E2F6D-B5FE-48F0-9815-6622864D9FB3}" name="Column9554"/>
    <tableColumn id="9555" xr3:uid="{51105968-5C1E-4A4F-BD22-E800DEC8A450}" name="Column9555"/>
    <tableColumn id="9556" xr3:uid="{480BB360-9DEB-453B-B138-B0C3356CE773}" name="Column9556"/>
    <tableColumn id="9557" xr3:uid="{C76E893A-4B1F-4A1F-A12B-336271E770D5}" name="Column9557"/>
    <tableColumn id="9558" xr3:uid="{19ED8F34-1AA0-446A-B1C2-28A89B23C74A}" name="Column9558"/>
    <tableColumn id="9559" xr3:uid="{AFBE701F-C21C-4A77-9D03-4DF79390D790}" name="Column9559"/>
    <tableColumn id="9560" xr3:uid="{20DD46D5-B0DA-4821-A553-7AA311D7E9A4}" name="Column9560"/>
    <tableColumn id="9561" xr3:uid="{F5C7E3D4-05DA-4933-9791-22F26694EEF4}" name="Column9561"/>
    <tableColumn id="9562" xr3:uid="{F2770FBC-B5C2-443F-AF44-BC1107CAD203}" name="Column9562"/>
    <tableColumn id="9563" xr3:uid="{D1CC2475-3124-4AE5-969C-19FCAE641760}" name="Column9563"/>
    <tableColumn id="9564" xr3:uid="{C4A3BC4C-0204-4975-8C61-981641D1BBB0}" name="Column9564"/>
    <tableColumn id="9565" xr3:uid="{1534C858-1618-4EC1-A56D-6A4B9A878074}" name="Column9565"/>
    <tableColumn id="9566" xr3:uid="{B7D30A08-C393-4DCC-8A9D-4E2EEAC86A7E}" name="Column9566"/>
    <tableColumn id="9567" xr3:uid="{9178173E-A89B-4602-BA3F-97E81596F50D}" name="Column9567"/>
    <tableColumn id="9568" xr3:uid="{79992850-BE3F-4422-BD26-9FCB1323BEDA}" name="Column9568"/>
    <tableColumn id="9569" xr3:uid="{DEBDE6AF-FEA8-4FC2-B24E-6A643ADD112D}" name="Column9569"/>
    <tableColumn id="9570" xr3:uid="{1E54F02C-066F-439F-9007-1AA65C85EB6F}" name="Column9570"/>
    <tableColumn id="9571" xr3:uid="{6A6DDAAB-F95F-4B82-A8C0-EBAF686E1386}" name="Column9571"/>
    <tableColumn id="9572" xr3:uid="{8AB5D67F-3982-4BF9-9B1E-001601E1E534}" name="Column9572"/>
    <tableColumn id="9573" xr3:uid="{70482DEC-D140-4D58-A1C8-ABC389996EDD}" name="Column9573"/>
    <tableColumn id="9574" xr3:uid="{71333C86-AF1C-48E0-ABF9-5D52C3448279}" name="Column9574"/>
    <tableColumn id="9575" xr3:uid="{99F77D4C-56C9-418C-B3AC-1F8D6292ABB0}" name="Column9575"/>
    <tableColumn id="9576" xr3:uid="{766A982F-D864-4A99-AAA8-92D11B0CBF2F}" name="Column9576"/>
    <tableColumn id="9577" xr3:uid="{ECA20121-C96C-43AF-A8A8-80A48E977B40}" name="Column9577"/>
    <tableColumn id="9578" xr3:uid="{6F79CEBB-77D2-49DA-866B-E11AB5659EEE}" name="Column9578"/>
    <tableColumn id="9579" xr3:uid="{EA577939-E3F7-46F4-9D68-40C39C27DC90}" name="Column9579"/>
    <tableColumn id="9580" xr3:uid="{C5C1F25E-7453-4FAD-BFAD-D9C44739DE5F}" name="Column9580"/>
    <tableColumn id="9581" xr3:uid="{D7DA7645-9CCE-4FE0-9758-E02B1C255788}" name="Column9581"/>
    <tableColumn id="9582" xr3:uid="{2447A7D6-1533-44A6-A441-FDD6B7542E3B}" name="Column9582"/>
    <tableColumn id="9583" xr3:uid="{A3FF04E4-D996-46A3-92A4-870C2842B7AD}" name="Column9583"/>
    <tableColumn id="9584" xr3:uid="{B7143617-2D18-449E-87E7-4ACF52892E29}" name="Column9584"/>
    <tableColumn id="9585" xr3:uid="{DF767F49-690B-4A92-812F-73F3F01E937B}" name="Column9585"/>
    <tableColumn id="9586" xr3:uid="{3C37C6DA-990B-4690-8AC3-3AC4F28BAB3D}" name="Column9586"/>
    <tableColumn id="9587" xr3:uid="{A8B36420-608E-44EF-8F22-DC0060FA8711}" name="Column9587"/>
    <tableColumn id="9588" xr3:uid="{C362BC6E-A73A-4529-9BC9-BA752FFF2243}" name="Column9588"/>
    <tableColumn id="9589" xr3:uid="{E58E6DCE-CD3B-47EE-BD92-5BAA5277827D}" name="Column9589"/>
    <tableColumn id="9590" xr3:uid="{1A2F9693-624A-4B6F-823B-C39D3A990C7C}" name="Column9590"/>
    <tableColumn id="9591" xr3:uid="{74258F45-616B-4AA2-A5FD-C29C882C1405}" name="Column9591"/>
    <tableColumn id="9592" xr3:uid="{3D793496-A534-48FC-8F6D-1A727B00DFC9}" name="Column9592"/>
    <tableColumn id="9593" xr3:uid="{FE2497E9-160C-432A-BEF1-289F9C8A5FF5}" name="Column9593"/>
    <tableColumn id="9594" xr3:uid="{4DEC7393-666B-429C-A73B-14C2EDF17CAB}" name="Column9594"/>
    <tableColumn id="9595" xr3:uid="{13E440C8-2EC0-4E1B-AF0C-8701D06A6544}" name="Column9595"/>
    <tableColumn id="9596" xr3:uid="{A0D7D02D-DD22-4FF4-B2DA-4701256658FE}" name="Column9596"/>
    <tableColumn id="9597" xr3:uid="{266A0569-3892-44EF-BE6D-371EFEF05645}" name="Column9597"/>
    <tableColumn id="9598" xr3:uid="{102B45B6-518F-490C-9513-1A46BA378977}" name="Column9598"/>
    <tableColumn id="9599" xr3:uid="{F2639A1F-2D38-4C13-BC77-DF6338936783}" name="Column9599"/>
    <tableColumn id="9600" xr3:uid="{7CF2358F-ABCD-44B8-B96E-85AD39617B60}" name="Column9600"/>
    <tableColumn id="9601" xr3:uid="{2255BB25-7F81-445C-BBE8-75EF111E204E}" name="Column9601"/>
    <tableColumn id="9602" xr3:uid="{3F16F0E7-7362-4273-BA4D-6E9FA0C71EDE}" name="Column9602"/>
    <tableColumn id="9603" xr3:uid="{5809DCA4-0AB0-4017-A5CD-3EE6ABC984B5}" name="Column9603"/>
    <tableColumn id="9604" xr3:uid="{77507496-0433-497B-AA5D-A05C19668850}" name="Column9604"/>
    <tableColumn id="9605" xr3:uid="{5B3ACC3D-7776-4FA2-A7E5-D846EC629F88}" name="Column9605"/>
    <tableColumn id="9606" xr3:uid="{6AFFB710-A4A8-4592-8E89-A70FFB5E7848}" name="Column9606"/>
    <tableColumn id="9607" xr3:uid="{AC191017-C2FD-44B7-8530-38EA9F023025}" name="Column9607"/>
    <tableColumn id="9608" xr3:uid="{1CB15C06-7E7B-495B-B787-06861994E36B}" name="Column9608"/>
    <tableColumn id="9609" xr3:uid="{CC7655BD-2E9F-4C4A-8A69-C50D1CFC4476}" name="Column9609"/>
    <tableColumn id="9610" xr3:uid="{A44CCA58-7349-4732-A474-DE396D5095E4}" name="Column9610"/>
    <tableColumn id="9611" xr3:uid="{5E78DB15-8EE1-4C8F-B285-5018F99DC81D}" name="Column9611"/>
    <tableColumn id="9612" xr3:uid="{A64A91F6-0445-41C3-8347-44BBB6D68780}" name="Column9612"/>
    <tableColumn id="9613" xr3:uid="{C594DE49-EA27-43B3-9973-E99202E43E79}" name="Column9613"/>
    <tableColumn id="9614" xr3:uid="{1A127C4F-F4DB-4B55-9B04-115F3185C217}" name="Column9614"/>
    <tableColumn id="9615" xr3:uid="{A9CFEBCC-4FDD-4E58-BA18-3E670AEAD2D4}" name="Column9615"/>
    <tableColumn id="9616" xr3:uid="{C1C7ACE2-4E16-4509-812F-5C10304C6F55}" name="Column9616"/>
    <tableColumn id="9617" xr3:uid="{7BE01EC4-0045-4D7F-8012-7E4AEA69115A}" name="Column9617"/>
    <tableColumn id="9618" xr3:uid="{D4F02581-70C4-4FCE-A169-BEC960C942F2}" name="Column9618"/>
    <tableColumn id="9619" xr3:uid="{00FD632E-6D65-4EEC-97E1-00D8769D5E44}" name="Column9619"/>
    <tableColumn id="9620" xr3:uid="{DC3FD2E6-01D4-4F41-AE51-7362FC577302}" name="Column9620"/>
    <tableColumn id="9621" xr3:uid="{D8425740-54A1-4DEE-AFC9-EDDB538B025E}" name="Column9621"/>
    <tableColumn id="9622" xr3:uid="{6902F962-E2AE-4912-9AAD-14BFB01E14EC}" name="Column9622"/>
    <tableColumn id="9623" xr3:uid="{3FD019E9-099A-4D03-B037-A5192DBF9DCF}" name="Column9623"/>
    <tableColumn id="9624" xr3:uid="{D78D3ACF-14BE-4FCD-AABD-57D6F239A52A}" name="Column9624"/>
    <tableColumn id="9625" xr3:uid="{2B86AE28-0240-43A5-BA34-0DF2ECAAAF75}" name="Column9625"/>
    <tableColumn id="9626" xr3:uid="{989B71DB-79BC-4C40-B460-E1F8E5A4AE0C}" name="Column9626"/>
    <tableColumn id="9627" xr3:uid="{540EEEFE-B07F-4E12-A3F2-49194802C464}" name="Column9627"/>
    <tableColumn id="9628" xr3:uid="{9BF30CC6-51F2-4ABE-B2AD-8495207FEECD}" name="Column9628"/>
    <tableColumn id="9629" xr3:uid="{008B4559-C8F2-477A-B7EC-F664DCFB37D6}" name="Column9629"/>
    <tableColumn id="9630" xr3:uid="{C286E295-E174-45E2-AF59-9C7254206FF2}" name="Column9630"/>
    <tableColumn id="9631" xr3:uid="{2F2E94C3-5B6B-4E80-BFCC-C4D16F9656CB}" name="Column9631"/>
    <tableColumn id="9632" xr3:uid="{56DFF6EF-7D0D-4D59-A782-F67147DA495C}" name="Column9632"/>
    <tableColumn id="9633" xr3:uid="{34F11408-C6B6-49D7-9794-B5FABABF7604}" name="Column9633"/>
    <tableColumn id="9634" xr3:uid="{3FB1D684-604C-4A65-A370-D0E0F9901AF0}" name="Column9634"/>
    <tableColumn id="9635" xr3:uid="{2927C484-7DE2-43B4-83A4-D486CDCE651E}" name="Column9635"/>
    <tableColumn id="9636" xr3:uid="{EF9639C0-C201-4DE8-9E76-4DE72386D14A}" name="Column9636"/>
    <tableColumn id="9637" xr3:uid="{C4B9E6EB-9201-4275-BA47-E5FC83965643}" name="Column9637"/>
    <tableColumn id="9638" xr3:uid="{F6F8C5AE-10B3-4F7A-8938-2229F375BFB2}" name="Column9638"/>
    <tableColumn id="9639" xr3:uid="{A57E0FCA-7339-4EBE-82B0-C435C3055867}" name="Column9639"/>
    <tableColumn id="9640" xr3:uid="{0D948DA6-87B7-4426-B3F2-69C6A593DC59}" name="Column9640"/>
    <tableColumn id="9641" xr3:uid="{63D1A4F4-5EA7-4C8A-B64F-95487CA6E3DC}" name="Column9641"/>
    <tableColumn id="9642" xr3:uid="{538673A2-D817-46FD-8B6B-3BBAF41A46A1}" name="Column9642"/>
    <tableColumn id="9643" xr3:uid="{90BE781D-1864-4310-A793-FF2192F6A1D1}" name="Column9643"/>
    <tableColumn id="9644" xr3:uid="{CC18D3F1-9476-42E1-A176-1EBC73FF3CCA}" name="Column9644"/>
    <tableColumn id="9645" xr3:uid="{A9E2BC2A-9C4C-41F0-A88A-E14F9949780B}" name="Column9645"/>
    <tableColumn id="9646" xr3:uid="{AAA3A3AC-C1F2-4836-8E0B-4F889D4E4C51}" name="Column9646"/>
    <tableColumn id="9647" xr3:uid="{56B0DE8E-60CC-4805-92E0-A0F30B1668CA}" name="Column9647"/>
    <tableColumn id="9648" xr3:uid="{408F0F85-AEF5-450C-804B-04E989DA3489}" name="Column9648"/>
    <tableColumn id="9649" xr3:uid="{8DB4D3BD-2518-49B2-B98F-7C2CD8825370}" name="Column9649"/>
    <tableColumn id="9650" xr3:uid="{BD021210-65DB-4E18-AD4D-035DDFB2363E}" name="Column9650"/>
    <tableColumn id="9651" xr3:uid="{5B010303-CCE1-4FE4-9183-89F63F0C863B}" name="Column9651"/>
    <tableColumn id="9652" xr3:uid="{97497187-F898-4754-A9E5-92C28D0B3C0E}" name="Column9652"/>
    <tableColumn id="9653" xr3:uid="{93050DF8-1469-4EC9-9EEF-060CCF225556}" name="Column9653"/>
    <tableColumn id="9654" xr3:uid="{FB4EBD3F-7DB2-4657-A848-1F2492E0259D}" name="Column9654"/>
    <tableColumn id="9655" xr3:uid="{6F03469E-ACFF-4274-8644-112E9E672A1A}" name="Column9655"/>
    <tableColumn id="9656" xr3:uid="{9A09948D-DC50-4AC5-9ED7-6E32A360FCC4}" name="Column9656"/>
    <tableColumn id="9657" xr3:uid="{14951AF0-96A6-4AFB-B71D-6F49536CAF1B}" name="Column9657"/>
    <tableColumn id="9658" xr3:uid="{05974584-A4C8-4450-95A5-D9F8F8164091}" name="Column9658"/>
    <tableColumn id="9659" xr3:uid="{7B5AC44E-226E-48E3-AE10-8725E5CE8475}" name="Column9659"/>
    <tableColumn id="9660" xr3:uid="{42919FFC-E3C3-45C1-9BD7-EB7EF67EFA3B}" name="Column9660"/>
    <tableColumn id="9661" xr3:uid="{E3D585BD-A745-4C02-9B64-297B08A69B9D}" name="Column9661"/>
    <tableColumn id="9662" xr3:uid="{3AD10EA1-99AD-48D2-A7A2-A53F10E9BB68}" name="Column9662"/>
    <tableColumn id="9663" xr3:uid="{E3282569-1881-4F13-BE90-4BBA2EBBF41C}" name="Column9663"/>
    <tableColumn id="9664" xr3:uid="{58DC260F-EC70-4558-A45A-A59CC63BD11E}" name="Column9664"/>
    <tableColumn id="9665" xr3:uid="{FA94E077-5A26-463E-9EFA-DF78DBA9DDF8}" name="Column9665"/>
    <tableColumn id="9666" xr3:uid="{701FC18A-7FCE-4338-B407-22E0A3903696}" name="Column9666"/>
    <tableColumn id="9667" xr3:uid="{676732F5-50F7-46AC-86E8-8ABA96F78478}" name="Column9667"/>
    <tableColumn id="9668" xr3:uid="{DBD84837-F4BB-49F9-9549-11517BED4A21}" name="Column9668"/>
    <tableColumn id="9669" xr3:uid="{046BB859-E018-4696-BB38-98FA01E07E8D}" name="Column9669"/>
    <tableColumn id="9670" xr3:uid="{CF037ADE-B5BB-43BF-86EE-05F09173F807}" name="Column9670"/>
    <tableColumn id="9671" xr3:uid="{7A03F761-BCD4-4366-8109-2AAB76A924A8}" name="Column9671"/>
    <tableColumn id="9672" xr3:uid="{32616D83-AF7A-4F3F-9931-CC235EF121BC}" name="Column9672"/>
    <tableColumn id="9673" xr3:uid="{B3DB1ECA-9C85-4725-8544-E87A7C26BBF6}" name="Column9673"/>
    <tableColumn id="9674" xr3:uid="{C0D446EC-AEDB-4AB8-ABAC-47AF0169D16D}" name="Column9674"/>
    <tableColumn id="9675" xr3:uid="{685BAD05-FE2B-4F05-9B6D-0B9B8A76DE83}" name="Column9675"/>
    <tableColumn id="9676" xr3:uid="{3D1EE430-AC1B-4234-82DA-6E0305667A2C}" name="Column9676"/>
    <tableColumn id="9677" xr3:uid="{F86CFF6C-2BB0-44EA-80C0-1A8984C3C224}" name="Column9677"/>
    <tableColumn id="9678" xr3:uid="{BDF7A7AB-2066-4BF8-BDFC-AD45314A1A86}" name="Column9678"/>
    <tableColumn id="9679" xr3:uid="{88EFD9D9-2805-44DA-93C8-AB25517DCA50}" name="Column9679"/>
    <tableColumn id="9680" xr3:uid="{70531C99-B64A-4360-8BAA-63ECCC186959}" name="Column9680"/>
    <tableColumn id="9681" xr3:uid="{3A051B08-99E0-40FB-B1BB-24A3901E2F89}" name="Column9681"/>
    <tableColumn id="9682" xr3:uid="{767E02AC-9EF5-47AC-BA91-50C5C879BE15}" name="Column9682"/>
    <tableColumn id="9683" xr3:uid="{7D97BED8-03D7-4A64-BBAB-75DB66434909}" name="Column9683"/>
    <tableColumn id="9684" xr3:uid="{2C6D0953-9788-4666-BA90-F69A34FA5BCC}" name="Column9684"/>
    <tableColumn id="9685" xr3:uid="{814B05D8-F107-45C1-8CBF-F100FC61648B}" name="Column9685"/>
    <tableColumn id="9686" xr3:uid="{1E0E4439-C3B5-4978-BCC7-7E663C3CF482}" name="Column9686"/>
    <tableColumn id="9687" xr3:uid="{7D8681ED-F8C2-41FE-AD4C-5C992326FEB9}" name="Column9687"/>
    <tableColumn id="9688" xr3:uid="{7390AB42-9372-45D5-87AC-E784FE23B230}" name="Column9688"/>
    <tableColumn id="9689" xr3:uid="{FD13C4F2-21EE-49EC-9A0F-0AEBA1D09AED}" name="Column9689"/>
    <tableColumn id="9690" xr3:uid="{E742338F-18BC-48B8-8381-2FB093CB04EC}" name="Column9690"/>
    <tableColumn id="9691" xr3:uid="{444DC864-B43A-4DA9-9E89-9648850404FC}" name="Column9691"/>
    <tableColumn id="9692" xr3:uid="{6D3FA0A7-0FC8-45ED-B9D3-114DE6773DEB}" name="Column9692"/>
    <tableColumn id="9693" xr3:uid="{0DD89558-0276-475C-9F9A-27F0A34F0A68}" name="Column9693"/>
    <tableColumn id="9694" xr3:uid="{3FEFFC80-4DB6-4984-AB8A-2BCBE6303562}" name="Column9694"/>
    <tableColumn id="9695" xr3:uid="{9A36D2EF-483B-47CA-B529-89528A890D03}" name="Column9695"/>
    <tableColumn id="9696" xr3:uid="{DA2F4E45-E8F4-41B2-9257-788D3AEDF7C6}" name="Column9696"/>
    <tableColumn id="9697" xr3:uid="{B94C0592-1DC7-44BC-997D-F7619D81B21F}" name="Column9697"/>
    <tableColumn id="9698" xr3:uid="{07C69484-2D81-4678-8F60-6893D63D7D80}" name="Column9698"/>
    <tableColumn id="9699" xr3:uid="{FED43AA2-F920-49DD-B2CD-EF484CE05E7B}" name="Column9699"/>
    <tableColumn id="9700" xr3:uid="{59A0D5CB-463B-4B0E-9ACC-DDF5D083C66B}" name="Column9700"/>
    <tableColumn id="9701" xr3:uid="{50740469-0F8C-419C-A38A-BDBFA7246F74}" name="Column9701"/>
    <tableColumn id="9702" xr3:uid="{8EBC06A6-7517-40A9-B45C-B6BCCA389F81}" name="Column9702"/>
    <tableColumn id="9703" xr3:uid="{8FABBCE1-F06F-48B4-95F9-120E9705DF70}" name="Column9703"/>
    <tableColumn id="9704" xr3:uid="{CC6F78A9-7CA6-4AF2-A397-63C02B32C802}" name="Column9704"/>
    <tableColumn id="9705" xr3:uid="{8F8EC1DB-AD11-4185-B744-E5BDAB979A06}" name="Column9705"/>
    <tableColumn id="9706" xr3:uid="{B1F1209F-D523-4E2B-9D8A-BEF56A8C8244}" name="Column9706"/>
    <tableColumn id="9707" xr3:uid="{B6C0257D-8D78-4BC8-ADD0-00455AAB1F2E}" name="Column9707"/>
    <tableColumn id="9708" xr3:uid="{B3B6FF2A-A907-4437-9FA0-9A0884DA819D}" name="Column9708"/>
    <tableColumn id="9709" xr3:uid="{3CF569F5-8814-494B-B9A2-0E04B18C0D2D}" name="Column9709"/>
    <tableColumn id="9710" xr3:uid="{8AE5913E-A6A2-47C6-BCA4-DE03629CE2F1}" name="Column9710"/>
    <tableColumn id="9711" xr3:uid="{D4D5A24C-8853-41AA-BAFA-BEDD5276DC27}" name="Column9711"/>
    <tableColumn id="9712" xr3:uid="{3F0B590A-8E1B-4B54-91EB-B9E076CDB876}" name="Column9712"/>
    <tableColumn id="9713" xr3:uid="{CBC4D42F-5CA6-4CD8-90D0-7C3C0B2687DE}" name="Column9713"/>
    <tableColumn id="9714" xr3:uid="{8508960E-F7A9-4DF5-8EA6-37F38345C3F1}" name="Column9714"/>
    <tableColumn id="9715" xr3:uid="{C931F180-0BB0-41F2-90B2-DBD36C796B2E}" name="Column9715"/>
    <tableColumn id="9716" xr3:uid="{2A03F821-A014-4376-BB5A-DB671DAFFA1B}" name="Column9716"/>
    <tableColumn id="9717" xr3:uid="{F57F564A-E190-4CCD-9115-1C84E139B3E9}" name="Column9717"/>
    <tableColumn id="9718" xr3:uid="{EFF3790B-3A24-4108-94A6-EBF95CBA91F5}" name="Column9718"/>
    <tableColumn id="9719" xr3:uid="{C4DD20ED-0269-45B4-BFB8-D5EE85434B09}" name="Column9719"/>
    <tableColumn id="9720" xr3:uid="{957DB6E9-2E46-4A31-A972-85B40A8356AC}" name="Column9720"/>
    <tableColumn id="9721" xr3:uid="{6E6AD5BB-CF29-49AD-9117-12223A8AD906}" name="Column9721"/>
    <tableColumn id="9722" xr3:uid="{392956D1-3660-43E5-A313-DA5D314218DA}" name="Column9722"/>
    <tableColumn id="9723" xr3:uid="{E3F3C6C2-08E0-44BF-B8D9-5D7028F6FAE2}" name="Column9723"/>
    <tableColumn id="9724" xr3:uid="{14250D30-FFB5-42C9-A232-78A7C260223C}" name="Column9724"/>
    <tableColumn id="9725" xr3:uid="{160D524B-9D5B-4B36-BF60-5D440F4B0E10}" name="Column9725"/>
    <tableColumn id="9726" xr3:uid="{15CFC1C8-B702-4337-9BCE-8B19CCDE021E}" name="Column9726"/>
    <tableColumn id="9727" xr3:uid="{FDE95AE6-C412-4FFB-A68A-FEDE76C34BC4}" name="Column9727"/>
    <tableColumn id="9728" xr3:uid="{C5C66829-250E-43CB-B725-AE1176DCF5F9}" name="Column9728"/>
    <tableColumn id="9729" xr3:uid="{6CBE001C-80B7-42C6-BC07-968329C1EC8B}" name="Column9729"/>
    <tableColumn id="9730" xr3:uid="{4202E8A2-25A6-47AB-96DE-411B3BA8E385}" name="Column9730"/>
    <tableColumn id="9731" xr3:uid="{26A091E5-F30F-4445-AB9E-ED65FBCB6BF7}" name="Column9731"/>
    <tableColumn id="9732" xr3:uid="{52DA81EB-9108-4B0A-A88D-BD377888DFC2}" name="Column9732"/>
    <tableColumn id="9733" xr3:uid="{D489AA64-DED5-494C-87F7-5C41FEEC59E5}" name="Column9733"/>
    <tableColumn id="9734" xr3:uid="{EE81F2F7-65DA-4A26-A010-717A490ED591}" name="Column9734"/>
    <tableColumn id="9735" xr3:uid="{95178BB7-8907-4922-8F10-EEDDC4FD1919}" name="Column9735"/>
    <tableColumn id="9736" xr3:uid="{A2EA65C1-041C-41AA-8CFD-8EFF27905F99}" name="Column9736"/>
    <tableColumn id="9737" xr3:uid="{085C5182-7B3D-4F44-A44D-62627B641749}" name="Column9737"/>
    <tableColumn id="9738" xr3:uid="{4201FA4D-1371-43EC-A513-9029B34BE321}" name="Column9738"/>
    <tableColumn id="9739" xr3:uid="{CAA2444A-EF8B-4001-9DF4-56F4738C84E0}" name="Column9739"/>
    <tableColumn id="9740" xr3:uid="{83CD8268-2B06-48FC-BFCC-39810D0BAAA0}" name="Column9740"/>
    <tableColumn id="9741" xr3:uid="{C26CB568-9F05-40DE-A479-FE6C70D9AA2B}" name="Column9741"/>
    <tableColumn id="9742" xr3:uid="{F66CD7EE-294E-448C-98CB-C426D8232F1C}" name="Column9742"/>
    <tableColumn id="9743" xr3:uid="{D0345FCE-C757-4507-92FA-C33A96B38A12}" name="Column9743"/>
    <tableColumn id="9744" xr3:uid="{28AC8EC1-CE6C-4AEC-A11A-19A397AA717A}" name="Column9744"/>
    <tableColumn id="9745" xr3:uid="{C031A213-63EE-438A-80C2-A60D13FEEFF8}" name="Column9745"/>
    <tableColumn id="9746" xr3:uid="{02E8BCDC-DC76-42BA-8ACD-F06954EFF81E}" name="Column9746"/>
    <tableColumn id="9747" xr3:uid="{21BB37D5-8933-4D47-9FB3-BFB71DC72BDA}" name="Column9747"/>
    <tableColumn id="9748" xr3:uid="{3E5EEACA-03CC-4351-B71E-3B05B6D86044}" name="Column9748"/>
    <tableColumn id="9749" xr3:uid="{12397A6A-AB8F-401B-AC78-6C603F5B09CA}" name="Column9749"/>
    <tableColumn id="9750" xr3:uid="{F5857695-6A4B-456C-85B3-63F758B4152C}" name="Column9750"/>
    <tableColumn id="9751" xr3:uid="{89446D2F-38FC-4474-88E2-9D50FEE43896}" name="Column9751"/>
    <tableColumn id="9752" xr3:uid="{24566161-DA99-4338-B4BF-6F6F89AAFD66}" name="Column9752"/>
    <tableColumn id="9753" xr3:uid="{6B0D2B84-8829-4239-B5BF-978FB487C7F2}" name="Column9753"/>
    <tableColumn id="9754" xr3:uid="{6302BE55-DE7A-4956-A8D2-0F245BEDA6FA}" name="Column9754"/>
    <tableColumn id="9755" xr3:uid="{731A4634-7B88-4F38-9FCD-E989DA91D9C5}" name="Column9755"/>
    <tableColumn id="9756" xr3:uid="{CB7C72B3-D04E-4851-BCF4-E1A9276F23A8}" name="Column9756"/>
    <tableColumn id="9757" xr3:uid="{DA507C5F-1FDE-4189-BE24-18A12ED1C98D}" name="Column9757"/>
    <tableColumn id="9758" xr3:uid="{DD27CA20-8E7D-4AC2-A469-103CAC381D88}" name="Column9758"/>
    <tableColumn id="9759" xr3:uid="{92AEC016-E3F2-41FF-B1AC-89FFC4818FFD}" name="Column9759"/>
    <tableColumn id="9760" xr3:uid="{53856C24-1034-42A8-A760-665B822E1055}" name="Column9760"/>
    <tableColumn id="9761" xr3:uid="{C417CB2E-F733-4F29-862B-A3C7263CFFA2}" name="Column9761"/>
    <tableColumn id="9762" xr3:uid="{197D5999-AA7F-4856-9195-EA9E1DCFCA9B}" name="Column9762"/>
    <tableColumn id="9763" xr3:uid="{91D6C2B6-A6D3-4A39-99BE-E0DB0B9CCBB3}" name="Column9763"/>
    <tableColumn id="9764" xr3:uid="{E3234E36-097B-4F09-AB0B-1B93C56E5AD3}" name="Column9764"/>
    <tableColumn id="9765" xr3:uid="{3F80371C-E176-406E-90A6-9A26474411F0}" name="Column9765"/>
    <tableColumn id="9766" xr3:uid="{5D5A2083-A543-4561-A034-DFFC15E87D12}" name="Column9766"/>
    <tableColumn id="9767" xr3:uid="{022B5D13-DE61-4810-BB53-71750062EBF8}" name="Column9767"/>
    <tableColumn id="9768" xr3:uid="{737BA2F3-8E25-450C-9332-32D733E81954}" name="Column9768"/>
    <tableColumn id="9769" xr3:uid="{C837755B-ECBF-4B6F-9908-699ABB40CF5E}" name="Column9769"/>
    <tableColumn id="9770" xr3:uid="{78C22624-73E8-408D-B264-F7FD9EAEA3F0}" name="Column9770"/>
    <tableColumn id="9771" xr3:uid="{4200EC95-147D-4D56-BB6F-19B34DD356E6}" name="Column9771"/>
    <tableColumn id="9772" xr3:uid="{2457BF44-1440-4950-81B8-CA6BBC77376A}" name="Column9772"/>
    <tableColumn id="9773" xr3:uid="{DEA22FB5-451E-4A1A-A4A6-AFE224AAB899}" name="Column9773"/>
    <tableColumn id="9774" xr3:uid="{F5AE991F-3D3C-46AE-8823-51BADA81E41A}" name="Column9774"/>
    <tableColumn id="9775" xr3:uid="{6BDF4E4B-2DE8-45AE-B472-7BC89B51D001}" name="Column9775"/>
    <tableColumn id="9776" xr3:uid="{24480429-CCEA-43DB-B052-6A6E7E6806EB}" name="Column9776"/>
    <tableColumn id="9777" xr3:uid="{9A8B585E-B554-41ED-8B37-6545C33EAE03}" name="Column9777"/>
    <tableColumn id="9778" xr3:uid="{D818D5B5-591B-4171-B46D-310727EFBBB1}" name="Column9778"/>
    <tableColumn id="9779" xr3:uid="{B1B47452-E2BA-49DF-AFF3-CF9DF2AB0D8E}" name="Column9779"/>
    <tableColumn id="9780" xr3:uid="{EF451632-4371-46D3-ADBC-D64CC208879D}" name="Column9780"/>
    <tableColumn id="9781" xr3:uid="{CC286A4B-005B-487C-8BDB-78743FA905D8}" name="Column9781"/>
    <tableColumn id="9782" xr3:uid="{A9F305CA-29FD-4BA4-8578-1FDF0526536D}" name="Column9782"/>
    <tableColumn id="9783" xr3:uid="{880A8985-955D-4020-8899-B27679E09F67}" name="Column9783"/>
    <tableColumn id="9784" xr3:uid="{7FBD077C-7997-468A-8825-FAC9F7F73D4F}" name="Column9784"/>
    <tableColumn id="9785" xr3:uid="{08D644B1-0259-41F4-ADEA-A4EC0C7D894E}" name="Column9785"/>
    <tableColumn id="9786" xr3:uid="{37E50A70-85E2-4D80-A8B7-C40F55DFF45E}" name="Column9786"/>
    <tableColumn id="9787" xr3:uid="{838018ED-9DB8-40EA-AEA5-78966472D1F3}" name="Column9787"/>
    <tableColumn id="9788" xr3:uid="{B46B0108-7A8A-4158-99DF-AF90372B3865}" name="Column9788"/>
    <tableColumn id="9789" xr3:uid="{C73E94E1-7E05-4622-A324-F8731B5D2F00}" name="Column9789"/>
    <tableColumn id="9790" xr3:uid="{1FA90F9D-E236-4047-BEE4-F2B6771585F4}" name="Column9790"/>
    <tableColumn id="9791" xr3:uid="{368EB7EE-45D1-483C-B2EB-4598A4F07065}" name="Column9791"/>
    <tableColumn id="9792" xr3:uid="{22158C41-A8F3-4794-8C29-4D636FB2C431}" name="Column9792"/>
    <tableColumn id="9793" xr3:uid="{C6FD51DC-1C9D-4AFD-A9E6-8A587B5D0634}" name="Column9793"/>
    <tableColumn id="9794" xr3:uid="{58A6EC12-D915-4B0A-9B40-F0835AC1283C}" name="Column9794"/>
    <tableColumn id="9795" xr3:uid="{96B6C195-EE9B-4A7E-863D-A45E1EBD0771}" name="Column9795"/>
    <tableColumn id="9796" xr3:uid="{0E972187-9DF7-4208-B442-1CCAD03DA0A0}" name="Column9796"/>
    <tableColumn id="9797" xr3:uid="{2E68C408-4E3D-4092-B79C-FFA1E8CCD0AD}" name="Column9797"/>
    <tableColumn id="9798" xr3:uid="{52CB79A5-5971-4D59-9114-2AA3D651C0D6}" name="Column9798"/>
    <tableColumn id="9799" xr3:uid="{C02F659F-0E92-4F20-A230-F27DCF890C77}" name="Column9799"/>
    <tableColumn id="9800" xr3:uid="{760A3340-48CF-4C6D-8A8B-D214FEF1DDA3}" name="Column9800"/>
    <tableColumn id="9801" xr3:uid="{56855DBF-B7ED-4ACC-822C-170B0960ECC1}" name="Column9801"/>
    <tableColumn id="9802" xr3:uid="{5228FF53-908F-4A47-BC4D-11F49D41853B}" name="Column9802"/>
    <tableColumn id="9803" xr3:uid="{2A582170-0595-4887-9A30-C27C7B45886E}" name="Column9803"/>
    <tableColumn id="9804" xr3:uid="{8BD5FA45-A7AA-413A-AAE9-DCF6DE9FEBD9}" name="Column9804"/>
    <tableColumn id="9805" xr3:uid="{B7D52145-4718-49C5-A9BF-960A5EF0EA38}" name="Column9805"/>
    <tableColumn id="9806" xr3:uid="{BD1C3830-ACBC-4CC8-9416-7851276BA802}" name="Column9806"/>
    <tableColumn id="9807" xr3:uid="{FCB36EBC-3610-4329-AF7A-A8C26F931A4A}" name="Column9807"/>
    <tableColumn id="9808" xr3:uid="{0B281357-5D6A-4041-98D2-D6BA0BF30D6F}" name="Column9808"/>
    <tableColumn id="9809" xr3:uid="{721F1578-4EDB-4641-94C7-0CA3F766C486}" name="Column9809"/>
    <tableColumn id="9810" xr3:uid="{36A9EE3B-C711-4895-AC61-41A3136CA2E9}" name="Column9810"/>
    <tableColumn id="9811" xr3:uid="{8A876A54-32DE-44C0-BED1-453F8212EB7F}" name="Column9811"/>
    <tableColumn id="9812" xr3:uid="{F1680DD3-2A3A-4F16-9EFB-9458277CC834}" name="Column9812"/>
    <tableColumn id="9813" xr3:uid="{D64BD50C-AF80-4B91-B06A-A7CD46474C42}" name="Column9813"/>
    <tableColumn id="9814" xr3:uid="{3509350E-17C5-40F2-AFBE-A02818EB7EEC}" name="Column9814"/>
    <tableColumn id="9815" xr3:uid="{3408EDC7-D11A-4A18-BAA7-4DFCE2E4A4D2}" name="Column9815"/>
    <tableColumn id="9816" xr3:uid="{777EE775-86C8-4FFB-AA49-5615910606EE}" name="Column9816"/>
    <tableColumn id="9817" xr3:uid="{3ACC12D0-87B7-425B-BB53-A0330882D807}" name="Column9817"/>
    <tableColumn id="9818" xr3:uid="{1797900C-2944-4AE6-ACB1-C2BD99028A65}" name="Column9818"/>
    <tableColumn id="9819" xr3:uid="{67F0FB40-3447-428B-8264-6442F0007211}" name="Column9819"/>
    <tableColumn id="9820" xr3:uid="{75A87A21-803B-4DAE-AE27-F3A593C0D81C}" name="Column9820"/>
    <tableColumn id="9821" xr3:uid="{DBED4A05-A153-490C-8838-7B27B1B613B1}" name="Column9821"/>
    <tableColumn id="9822" xr3:uid="{3917B793-8DB4-44A6-8F62-6D349B2509FD}" name="Column9822"/>
    <tableColumn id="9823" xr3:uid="{C27F8E46-507E-4D06-8C76-94FA98078693}" name="Column9823"/>
    <tableColumn id="9824" xr3:uid="{C3771153-37BA-4D39-9F81-4153C955DCA5}" name="Column9824"/>
    <tableColumn id="9825" xr3:uid="{8902E1B0-A4EE-408E-9BBF-96DCBDDE2EA5}" name="Column9825"/>
    <tableColumn id="9826" xr3:uid="{9C5B5E48-4C0C-4D28-ADEC-B81189FBBC67}" name="Column9826"/>
    <tableColumn id="9827" xr3:uid="{18357E15-F97C-4FCA-B71B-4CD20D2BCD59}" name="Column9827"/>
    <tableColumn id="9828" xr3:uid="{0495330B-91BF-4922-808B-BC750CB2CD8E}" name="Column9828"/>
    <tableColumn id="9829" xr3:uid="{8937261C-DD26-4D52-BFFB-7F12C98EAC85}" name="Column9829"/>
    <tableColumn id="9830" xr3:uid="{3A795381-01A8-47F7-AA2E-B7D975A6AF47}" name="Column9830"/>
    <tableColumn id="9831" xr3:uid="{F530DA4C-A4A5-441F-8456-8514CE179011}" name="Column9831"/>
    <tableColumn id="9832" xr3:uid="{9474FA94-4463-4B6A-ADEB-01054FF7D068}" name="Column9832"/>
    <tableColumn id="9833" xr3:uid="{DBE490F2-5FB1-4DD5-A34E-AD2EF2C01526}" name="Column9833"/>
    <tableColumn id="9834" xr3:uid="{4ED832FC-5A2F-4852-A417-265EBEAEF780}" name="Column9834"/>
    <tableColumn id="9835" xr3:uid="{41D5A94C-8880-4138-8E36-846FE6C7EE6C}" name="Column9835"/>
    <tableColumn id="9836" xr3:uid="{A36C9E3A-2827-48F8-8CC4-4ECB075F11D6}" name="Column9836"/>
    <tableColumn id="9837" xr3:uid="{BE2DFCC4-624D-492C-B9E9-8B94AF8109ED}" name="Column9837"/>
    <tableColumn id="9838" xr3:uid="{1DF080E0-AD5B-427B-B3F7-AF952320AECC}" name="Column9838"/>
    <tableColumn id="9839" xr3:uid="{F71B5BFE-7A86-4ACF-9B69-4BB138ADD85E}" name="Column9839"/>
    <tableColumn id="9840" xr3:uid="{59FCCE42-20E3-4CB3-9B74-35C7C6E287ED}" name="Column9840"/>
    <tableColumn id="9841" xr3:uid="{9784C9B9-8412-48A9-B661-5CB34311A2B4}" name="Column9841"/>
    <tableColumn id="9842" xr3:uid="{52306BF9-6846-4BC2-991A-D086F374F64A}" name="Column9842"/>
    <tableColumn id="9843" xr3:uid="{342A0448-3C5E-4FF4-B8DA-C34DAD88C31F}" name="Column9843"/>
    <tableColumn id="9844" xr3:uid="{10A1B325-8C6E-4936-BE15-8567D7096104}" name="Column9844"/>
    <tableColumn id="9845" xr3:uid="{B343C04B-B6C0-4D39-AF8E-F0BC8DAEFB50}" name="Column9845"/>
    <tableColumn id="9846" xr3:uid="{B4615390-00E9-48A3-B5C6-2E04F69B2952}" name="Column9846"/>
    <tableColumn id="9847" xr3:uid="{7A8E4697-A4FF-4952-B29C-86AD7CC4E199}" name="Column9847"/>
    <tableColumn id="9848" xr3:uid="{12ED66BB-7D54-419C-B2AB-A130F28E8A3B}" name="Column9848"/>
    <tableColumn id="9849" xr3:uid="{B3FFF1F8-3551-4AAD-BBAD-A10634B3DBB3}" name="Column9849"/>
    <tableColumn id="9850" xr3:uid="{55E9752E-4CFC-437E-BB21-67B24420F2D2}" name="Column9850"/>
    <tableColumn id="9851" xr3:uid="{80A8B331-EE32-48BC-A4EC-E4BBB02615F7}" name="Column9851"/>
    <tableColumn id="9852" xr3:uid="{C0824D4F-8B43-4E68-8ED0-7C2E85F27092}" name="Column9852"/>
    <tableColumn id="9853" xr3:uid="{6FF1E423-A0EB-4EAE-9FD7-CDA150D46DF6}" name="Column9853"/>
    <tableColumn id="9854" xr3:uid="{D0933787-8B2E-4A21-9940-E30C6F70DD82}" name="Column9854"/>
    <tableColumn id="9855" xr3:uid="{B9318D8D-DFFA-4C8D-8B74-16D5F26F7EC8}" name="Column9855"/>
    <tableColumn id="9856" xr3:uid="{EB0B1164-82E1-46FD-B452-97A4D01AA056}" name="Column9856"/>
    <tableColumn id="9857" xr3:uid="{269FF300-E9ED-414E-88AB-2CC38E010FD8}" name="Column9857"/>
    <tableColumn id="9858" xr3:uid="{35821625-40E4-4943-B96F-04CA52063AAA}" name="Column9858"/>
    <tableColumn id="9859" xr3:uid="{ADBC1F2F-77A3-4307-8F03-14DF9C76579A}" name="Column9859"/>
    <tableColumn id="9860" xr3:uid="{D5831802-8033-4277-97BC-E15C43D15EAD}" name="Column9860"/>
    <tableColumn id="9861" xr3:uid="{61CCDEBC-D8F9-4932-9BF4-4B6C57C57511}" name="Column9861"/>
    <tableColumn id="9862" xr3:uid="{12FD1270-54FD-4D0C-BCEA-8DB4C1E7D14A}" name="Column9862"/>
    <tableColumn id="9863" xr3:uid="{2006B3BE-4BA5-46BE-9841-AEE305E33985}" name="Column9863"/>
    <tableColumn id="9864" xr3:uid="{16F8A843-D15E-495B-A172-A0F8F82CDFC3}" name="Column9864"/>
    <tableColumn id="9865" xr3:uid="{45F74872-A07F-4EC3-9112-27F7CF5E3E0B}" name="Column9865"/>
    <tableColumn id="9866" xr3:uid="{7635F1C4-E019-4942-8022-DD555550D1C2}" name="Column9866"/>
    <tableColumn id="9867" xr3:uid="{17D2BEBC-C4F2-4B1F-A472-FF27CB3A2D30}" name="Column9867"/>
    <tableColumn id="9868" xr3:uid="{8AF3872A-CFE9-45F3-BA9B-52BE67E49B16}" name="Column9868"/>
    <tableColumn id="9869" xr3:uid="{AAC9DE12-0171-4CA2-9968-3991A5B16E16}" name="Column9869"/>
    <tableColumn id="9870" xr3:uid="{8841A10B-A3F5-44F1-A22B-A1977E57CED1}" name="Column9870"/>
    <tableColumn id="9871" xr3:uid="{93B40F0C-01D3-47C9-92A8-6624D62DEDA0}" name="Column9871"/>
    <tableColumn id="9872" xr3:uid="{098F55D0-924C-46BA-8735-87A4E53C6AF0}" name="Column9872"/>
    <tableColumn id="9873" xr3:uid="{B7EE609E-CBE5-4D0E-AAD1-EC15FFDE04CF}" name="Column9873"/>
    <tableColumn id="9874" xr3:uid="{A6CAEC5F-7E09-4B48-B9A4-BB7F30B39D2C}" name="Column9874"/>
    <tableColumn id="9875" xr3:uid="{B2BF493C-1420-4736-9335-A733F8BDA502}" name="Column9875"/>
    <tableColumn id="9876" xr3:uid="{FBED348A-EDE2-4D72-A7DF-263B2C6779BD}" name="Column9876"/>
    <tableColumn id="9877" xr3:uid="{D8D1B9BD-8E9E-4BAF-BCE8-3CFD3968FFA2}" name="Column9877"/>
    <tableColumn id="9878" xr3:uid="{1FD24E3C-11ED-4011-AACC-ED19F4C3E8AC}" name="Column9878"/>
    <tableColumn id="9879" xr3:uid="{2B771486-E882-4F87-99A3-69BA593AE211}" name="Column9879"/>
    <tableColumn id="9880" xr3:uid="{0EAAAD64-BD7C-446B-B6CD-E2DD2DCF7488}" name="Column9880"/>
    <tableColumn id="9881" xr3:uid="{D7179A39-8E72-4A85-9EA5-30A9E36D4152}" name="Column9881"/>
    <tableColumn id="9882" xr3:uid="{3A25D7E8-B895-4732-8862-6CAC837DE05E}" name="Column9882"/>
    <tableColumn id="9883" xr3:uid="{93D25947-51AC-451D-914E-EB892C5C1CF2}" name="Column9883"/>
    <tableColumn id="9884" xr3:uid="{C0F27851-FB0D-40CB-AE0A-C0616127B744}" name="Column9884"/>
    <tableColumn id="9885" xr3:uid="{A39E37FA-D120-44A0-9D8E-627527093A10}" name="Column9885"/>
    <tableColumn id="9886" xr3:uid="{21EB4DF9-C3E9-428A-996A-37516E609F2F}" name="Column9886"/>
    <tableColumn id="9887" xr3:uid="{5D8C8111-00EE-4B5E-A929-E678141435FF}" name="Column9887"/>
    <tableColumn id="9888" xr3:uid="{66E732FD-48FA-466C-82EE-E9111E311235}" name="Column9888"/>
    <tableColumn id="9889" xr3:uid="{1738583E-015F-4966-9259-485769AC1B89}" name="Column9889"/>
    <tableColumn id="9890" xr3:uid="{FE916F40-2C6F-446D-93DA-5AE3CAA6B1DD}" name="Column9890"/>
    <tableColumn id="9891" xr3:uid="{2B49B79F-0868-4DEE-A744-AE5DB00E8B47}" name="Column9891"/>
    <tableColumn id="9892" xr3:uid="{AA13DA10-842C-4B0A-B13E-CFE2C12DE8B1}" name="Column9892"/>
    <tableColumn id="9893" xr3:uid="{D4C5A67B-7233-4A3B-99BC-D464038174AD}" name="Column9893"/>
    <tableColumn id="9894" xr3:uid="{CEEF4C1A-8685-4FD7-A909-FD6E03D80D2E}" name="Column9894"/>
    <tableColumn id="9895" xr3:uid="{03D9B0DF-BF5B-47EC-9A2E-E77BC95AB7B9}" name="Column9895"/>
    <tableColumn id="9896" xr3:uid="{10EEC397-10BF-4CB5-A197-2B0560C80CF8}" name="Column9896"/>
    <tableColumn id="9897" xr3:uid="{A56C55DC-D29C-4201-9AF1-525A551DA105}" name="Column9897"/>
    <tableColumn id="9898" xr3:uid="{10C24904-98C6-49F8-B789-59AB110EF34B}" name="Column9898"/>
    <tableColumn id="9899" xr3:uid="{4FCB6A46-D6EA-4DBA-852A-86FCC022C0FA}" name="Column9899"/>
    <tableColumn id="9900" xr3:uid="{6AC5BD6E-6900-4EA8-BD3F-99EECD8C1D35}" name="Column9900"/>
    <tableColumn id="9901" xr3:uid="{CACE1898-C084-45EE-A222-7F104782E5C2}" name="Column9901"/>
    <tableColumn id="9902" xr3:uid="{7E48CFE4-803A-4F8F-952C-66CFCB945B90}" name="Column9902"/>
    <tableColumn id="9903" xr3:uid="{79357E16-E571-496E-8C05-42CEF194FA4A}" name="Column9903"/>
    <tableColumn id="9904" xr3:uid="{6A106264-5D82-48F4-859E-E1B170315C6D}" name="Column9904"/>
    <tableColumn id="9905" xr3:uid="{70CF14C7-278D-4568-9DDF-5CA865825979}" name="Column9905"/>
    <tableColumn id="9906" xr3:uid="{99E81837-5403-44FD-B198-AD65AB7006AD}" name="Column9906"/>
    <tableColumn id="9907" xr3:uid="{AD2E549A-1230-419E-85C3-57887C74C1A5}" name="Column9907"/>
    <tableColumn id="9908" xr3:uid="{4EE1C2AD-DF13-43A6-B522-F49C4FE3F9A7}" name="Column9908"/>
    <tableColumn id="9909" xr3:uid="{CA4A6E46-D2C1-4FBA-BF9F-2B107296F284}" name="Column9909"/>
    <tableColumn id="9910" xr3:uid="{665A7ADE-1E8F-4EB6-8380-95F6EC398976}" name="Column9910"/>
    <tableColumn id="9911" xr3:uid="{30B8492D-2ABF-4830-A365-48D90B41DC7E}" name="Column9911"/>
    <tableColumn id="9912" xr3:uid="{4FF1F7E9-ADBF-4469-BC9E-DBDED5CDCD2F}" name="Column9912"/>
    <tableColumn id="9913" xr3:uid="{64BD526D-C7BC-4B5B-86B3-8260749993A6}" name="Column9913"/>
    <tableColumn id="9914" xr3:uid="{CB3B77B7-A0CC-4F11-9C2F-A69F868DA3B7}" name="Column9914"/>
    <tableColumn id="9915" xr3:uid="{43843FE7-D330-4C5D-A4AF-103E98680178}" name="Column9915"/>
    <tableColumn id="9916" xr3:uid="{BDFC331B-9A43-4903-B8D7-EB65767D6A44}" name="Column9916"/>
    <tableColumn id="9917" xr3:uid="{E75ACFDB-48A2-4EB1-876A-FD8548F4FB5D}" name="Column9917"/>
    <tableColumn id="9918" xr3:uid="{37E9B314-25EB-4A91-BF24-8AFD932B93EC}" name="Column9918"/>
    <tableColumn id="9919" xr3:uid="{0969C2B5-BBFB-46D9-8B0B-E81BC8623883}" name="Column9919"/>
    <tableColumn id="9920" xr3:uid="{D8372A65-9FB2-41AE-BDE9-408CA45EDF28}" name="Column9920"/>
    <tableColumn id="9921" xr3:uid="{EB09A799-5CA8-4FF4-81D8-C9B9D53EF8B3}" name="Column9921"/>
    <tableColumn id="9922" xr3:uid="{7C85E123-E802-44AC-B7EB-0B2E09788642}" name="Column9922"/>
    <tableColumn id="9923" xr3:uid="{314D4CA3-E595-4401-B47D-2E5011348804}" name="Column9923"/>
    <tableColumn id="9924" xr3:uid="{6B7864E8-6D1A-4EDE-8A9A-2E2B43CD954C}" name="Column9924"/>
    <tableColumn id="9925" xr3:uid="{471175B4-3255-472B-8276-67A1D3F6F70A}" name="Column9925"/>
    <tableColumn id="9926" xr3:uid="{B83520DD-83C8-4D96-B110-4C5F5ABC293A}" name="Column9926"/>
    <tableColumn id="9927" xr3:uid="{14637C4B-FCAA-4E6B-B000-B11A2E4E1CF0}" name="Column9927"/>
    <tableColumn id="9928" xr3:uid="{7A0D3725-25BA-4F61-A27F-6EBDDE69DE73}" name="Column9928"/>
    <tableColumn id="9929" xr3:uid="{820F8735-3C49-4166-8055-F646DE395202}" name="Column9929"/>
    <tableColumn id="9930" xr3:uid="{F84B7E9E-842C-4168-9A94-DAA0D20A1C68}" name="Column9930"/>
    <tableColumn id="9931" xr3:uid="{E8072475-84E7-4A40-8CEB-98D7529991DE}" name="Column9931"/>
    <tableColumn id="9932" xr3:uid="{DC0681FD-0A26-40C7-8675-3BFD8DC1246A}" name="Column9932"/>
    <tableColumn id="9933" xr3:uid="{377B6DB0-66E1-49B5-8FBD-59999313A0D0}" name="Column9933"/>
    <tableColumn id="9934" xr3:uid="{50026E12-B7EF-4BA2-9B1C-2CB8A107B9CA}" name="Column9934"/>
    <tableColumn id="9935" xr3:uid="{AC49EEA6-6911-4403-B6A9-56D4D448FEF2}" name="Column9935"/>
    <tableColumn id="9936" xr3:uid="{8FC23ED0-BFB3-4BA3-AAAA-7BFB62DB4682}" name="Column9936"/>
    <tableColumn id="9937" xr3:uid="{516C2A46-4415-4BE3-8425-D4A3632A41A1}" name="Column9937"/>
    <tableColumn id="9938" xr3:uid="{E556D706-2057-41A7-B2B7-EC5BCA4A5758}" name="Column9938"/>
    <tableColumn id="9939" xr3:uid="{E88D6FEC-3E4E-4F32-B465-A4C5F6B45B7F}" name="Column9939"/>
    <tableColumn id="9940" xr3:uid="{07451D44-1B8A-4A89-B348-0FBB4479A0BB}" name="Column9940"/>
    <tableColumn id="9941" xr3:uid="{19F874FB-EE63-42F5-9728-BAAF196F04E6}" name="Column9941"/>
    <tableColumn id="9942" xr3:uid="{926FC46A-2E5D-48B2-855D-061C2E6D9F7B}" name="Column9942"/>
    <tableColumn id="9943" xr3:uid="{9EE3E38F-EB6E-46F2-A280-D6D936F56308}" name="Column9943"/>
    <tableColumn id="9944" xr3:uid="{215B15AA-2BBF-455A-879D-488AD0CAA7CE}" name="Column9944"/>
    <tableColumn id="9945" xr3:uid="{33625349-080A-4D4A-B8D7-DAA406E4180F}" name="Column9945"/>
    <tableColumn id="9946" xr3:uid="{307109CE-B9C2-42DB-A18E-A56CC37BDEA9}" name="Column9946"/>
    <tableColumn id="9947" xr3:uid="{13C9DA5A-24D6-4163-A612-EF884B1FC75C}" name="Column9947"/>
    <tableColumn id="9948" xr3:uid="{446C1CBE-1443-4BE3-915D-206B4ECAC076}" name="Column9948"/>
    <tableColumn id="9949" xr3:uid="{BF36E34F-7F4E-4136-A0EA-2715B389C3D9}" name="Column9949"/>
    <tableColumn id="9950" xr3:uid="{D9FEBFEE-46A7-4A9A-9C62-2A8CFC957EF0}" name="Column9950"/>
    <tableColumn id="9951" xr3:uid="{2444DE8A-2BC2-4502-9BA2-AE10A8B940D2}" name="Column9951"/>
    <tableColumn id="9952" xr3:uid="{712367A9-EADB-49A2-80A1-C02368878AF0}" name="Column9952"/>
    <tableColumn id="9953" xr3:uid="{E379D804-BC08-4C5D-99A0-571362E5222E}" name="Column9953"/>
    <tableColumn id="9954" xr3:uid="{701CECAC-8A8B-4AF5-B3D3-F1CCA657F618}" name="Column9954"/>
    <tableColumn id="9955" xr3:uid="{39240339-3976-4D3B-A452-8C498C826688}" name="Column9955"/>
    <tableColumn id="9956" xr3:uid="{AB7B7718-6355-4FA3-9327-4D6D14DBE32C}" name="Column9956"/>
    <tableColumn id="9957" xr3:uid="{DBD4C40B-7146-4F3C-8FE1-E01B931BBB2B}" name="Column9957"/>
    <tableColumn id="9958" xr3:uid="{1229D49D-FC81-47DF-80D0-BB94B37F0EBD}" name="Column9958"/>
    <tableColumn id="9959" xr3:uid="{E17CEF51-E022-410B-8F86-97C26E533CAF}" name="Column9959"/>
    <tableColumn id="9960" xr3:uid="{D7832C1C-CCBF-47A1-8FBB-E5D121F7E92D}" name="Column9960"/>
    <tableColumn id="9961" xr3:uid="{4B8CC0CC-1914-41B1-A2B7-0BC4369FFA1A}" name="Column9961"/>
    <tableColumn id="9962" xr3:uid="{DA74DFD7-A006-479F-8258-0C014B9B961D}" name="Column9962"/>
    <tableColumn id="9963" xr3:uid="{AE05D316-029E-4DE9-AC69-0A9433AADE69}" name="Column9963"/>
    <tableColumn id="9964" xr3:uid="{6DF4DED1-0FF6-4229-B9CF-564FBAF19635}" name="Column9964"/>
    <tableColumn id="9965" xr3:uid="{426121FB-CE23-493E-82AA-453D9D1F97F3}" name="Column9965"/>
    <tableColumn id="9966" xr3:uid="{014A6E8C-DD27-49CC-912D-7142516D505A}" name="Column9966"/>
    <tableColumn id="9967" xr3:uid="{15ACF9C1-BDC8-4D2B-8EAE-953FBDAC8896}" name="Column9967"/>
    <tableColumn id="9968" xr3:uid="{127A14C9-35A5-48F2-858E-6A01EC01D6DA}" name="Column9968"/>
    <tableColumn id="9969" xr3:uid="{7A47CA31-A1F9-462D-A11B-34EACD1E1974}" name="Column9969"/>
    <tableColumn id="9970" xr3:uid="{68E7B46B-E97D-4487-B946-697E1F2E6AA0}" name="Column9970"/>
    <tableColumn id="9971" xr3:uid="{FD4342C6-CCD2-4389-9BDF-50C388405F2F}" name="Column9971"/>
    <tableColumn id="9972" xr3:uid="{1C75BFD2-4B2B-498F-B2FD-66C56CE979EE}" name="Column9972"/>
    <tableColumn id="9973" xr3:uid="{BAA3AE4A-1CC4-4808-8E93-A33F5829EAAA}" name="Column9973"/>
    <tableColumn id="9974" xr3:uid="{0203E081-E8D3-4757-B9FE-F0B67183A307}" name="Column9974"/>
    <tableColumn id="9975" xr3:uid="{9B061F47-58AE-4615-9B58-5B0D1C9B71E9}" name="Column9975"/>
    <tableColumn id="9976" xr3:uid="{C22C931B-AFD3-41FF-993D-36E586D63EF8}" name="Column9976"/>
    <tableColumn id="9977" xr3:uid="{53166FB2-8B8F-43CE-B9F2-E2C9A6BED48A}" name="Column9977"/>
    <tableColumn id="9978" xr3:uid="{5ADE0F39-06C2-44B2-AD89-83615EE43CF2}" name="Column9978"/>
    <tableColumn id="9979" xr3:uid="{9CF3CFA7-8C93-4F19-B992-F404CE3BA9D9}" name="Column9979"/>
    <tableColumn id="9980" xr3:uid="{20B7FA12-95B1-44F8-990E-A8CF41686A73}" name="Column9980"/>
    <tableColumn id="9981" xr3:uid="{DED23790-7B4F-4052-A2D7-B0AC3C2EA2F4}" name="Column9981"/>
    <tableColumn id="9982" xr3:uid="{7A05E683-2329-4277-AE7F-B881B0C6799B}" name="Column9982"/>
    <tableColumn id="9983" xr3:uid="{F5C686B2-9EAE-4B73-BCCD-45B2DA284386}" name="Column9983"/>
    <tableColumn id="9984" xr3:uid="{F2B9FEB6-6E21-4EF3-9673-76D18BE4E8EA}" name="Column9984"/>
    <tableColumn id="9985" xr3:uid="{3BA4F2F4-089C-4DD1-A455-495E6E795658}" name="Column9985"/>
    <tableColumn id="9986" xr3:uid="{D0F17BD4-A6AF-4010-B978-C8096CF5898A}" name="Column9986"/>
    <tableColumn id="9987" xr3:uid="{4DEF5DB1-65C3-4DEF-A0D9-300C6B0FC99F}" name="Column9987"/>
    <tableColumn id="9988" xr3:uid="{7027CC0E-081A-4EC6-9C94-37BDCE4865E5}" name="Column9988"/>
    <tableColumn id="9989" xr3:uid="{562886D6-88D9-4510-A703-08DFEA6E2481}" name="Column9989"/>
    <tableColumn id="9990" xr3:uid="{E9876D8B-1800-4707-B64D-AF9BDCE0FA33}" name="Column9990"/>
    <tableColumn id="9991" xr3:uid="{1AC9B20B-A9D6-472A-8123-7C72CDB85464}" name="Column9991"/>
    <tableColumn id="9992" xr3:uid="{00275845-0A69-48C8-9555-0332B8603A0A}" name="Column9992"/>
    <tableColumn id="9993" xr3:uid="{179320E3-5EF9-4DC6-91D4-4B84FA699177}" name="Column9993"/>
    <tableColumn id="9994" xr3:uid="{8D37E55C-B3FD-4DDF-B1FB-0A72822AFC31}" name="Column9994"/>
    <tableColumn id="9995" xr3:uid="{E477772F-D3B1-46DC-96E6-1F632B41A73E}" name="Column9995"/>
    <tableColumn id="9996" xr3:uid="{4E840375-5E61-4E18-A1E7-C1D315B26511}" name="Column9996"/>
    <tableColumn id="9997" xr3:uid="{543021E3-5936-4578-A4F9-65168DB5C495}" name="Column9997"/>
    <tableColumn id="9998" xr3:uid="{C1591C0A-22A0-4605-AE45-A77B996E0BC6}" name="Column9998"/>
    <tableColumn id="9999" xr3:uid="{A060D7BD-FCEF-49F9-81A0-9452215CD6AE}" name="Column9999"/>
    <tableColumn id="10000" xr3:uid="{6866619F-9CAC-43FE-B94D-79AADC7ECCCC}" name="Column10000"/>
    <tableColumn id="10001" xr3:uid="{DA824EE8-3B60-4594-9C0E-DFADAB5D2B5B}" name="Column10001"/>
    <tableColumn id="10002" xr3:uid="{01A981B7-7A6F-43F6-9EB0-DD88A16708BA}" name="Column10002"/>
    <tableColumn id="10003" xr3:uid="{EE6E85F1-20D9-422E-8813-C3F8E2D3F0B3}" name="Column10003"/>
    <tableColumn id="10004" xr3:uid="{B155DCBB-D0B9-49D1-B245-89C674C4A1EF}" name="Column10004"/>
    <tableColumn id="10005" xr3:uid="{8EB82AE7-247E-4DAB-90D9-38DB74BAE8CC}" name="Column10005"/>
    <tableColumn id="10006" xr3:uid="{79D644C6-73F4-44B9-B51A-D00434E3EE2D}" name="Column10006"/>
    <tableColumn id="10007" xr3:uid="{C9577A3D-50AD-470F-9923-DAF72D09E871}" name="Column10007"/>
    <tableColumn id="10008" xr3:uid="{F278022B-21C3-4D40-A8A7-3A3EFE1DBC13}" name="Column10008"/>
    <tableColumn id="10009" xr3:uid="{08F0DFD3-A033-47FC-B72C-F7A0547B7D7A}" name="Column10009"/>
    <tableColumn id="10010" xr3:uid="{143EF4B7-BC82-46B2-A8E0-A3C9694DA0E0}" name="Column10010"/>
    <tableColumn id="10011" xr3:uid="{FB2B77B0-26AD-4A85-BEE1-A1202F12B51F}" name="Column10011"/>
    <tableColumn id="10012" xr3:uid="{D4D23219-55F3-44F9-B604-808A005B7CB9}" name="Column10012"/>
    <tableColumn id="10013" xr3:uid="{DED87957-C1E6-4A48-859B-4A0864442048}" name="Column10013"/>
    <tableColumn id="10014" xr3:uid="{DDB12A99-56D2-497E-857B-AF68697D338D}" name="Column10014"/>
    <tableColumn id="10015" xr3:uid="{D17D613D-BCE8-4FBA-BE0C-E25F86A5DBCC}" name="Column10015"/>
    <tableColumn id="10016" xr3:uid="{654C839D-48E0-4AC4-AF06-E021F54B9D86}" name="Column10016"/>
    <tableColumn id="10017" xr3:uid="{8E02CD96-6FF5-4889-B647-47A0A2AB5FA8}" name="Column10017"/>
    <tableColumn id="10018" xr3:uid="{E8D32CA6-4931-4B6B-BDFA-48CE0F5D775B}" name="Column10018"/>
    <tableColumn id="10019" xr3:uid="{49F2DEDA-DA07-4331-AC99-7310D2342A12}" name="Column10019"/>
    <tableColumn id="10020" xr3:uid="{416AB1F4-CF4A-4C6F-8417-2017A4610768}" name="Column10020"/>
    <tableColumn id="10021" xr3:uid="{97214897-74F5-4992-B469-D7D8FC6D58E3}" name="Column10021"/>
    <tableColumn id="10022" xr3:uid="{EB60BCAE-715A-4B47-BE9C-40A540948578}" name="Column10022"/>
    <tableColumn id="10023" xr3:uid="{B67A164B-223C-419E-B1CC-37576BD4EE0A}" name="Column10023"/>
    <tableColumn id="10024" xr3:uid="{30C723D2-4144-4D67-BDD7-BEC67D5C128E}" name="Column10024"/>
    <tableColumn id="10025" xr3:uid="{A71F7333-97A8-4748-A231-B75949E31BC9}" name="Column10025"/>
    <tableColumn id="10026" xr3:uid="{9EE5B229-3DF3-4055-BE6A-DC2DD1817B94}" name="Column10026"/>
    <tableColumn id="10027" xr3:uid="{8275E179-A236-4D43-90F2-08F86809A166}" name="Column10027"/>
    <tableColumn id="10028" xr3:uid="{B5EFB8E2-37EF-412E-9F6D-84B5E6999011}" name="Column10028"/>
    <tableColumn id="10029" xr3:uid="{FC74C531-119A-4540-8359-3CB7F0D3B7F7}" name="Column10029"/>
    <tableColumn id="10030" xr3:uid="{6C694081-2DC4-4390-ABD0-00C9E12D1545}" name="Column10030"/>
    <tableColumn id="10031" xr3:uid="{681540DD-E26A-474E-A87E-37CC9532DFB3}" name="Column10031"/>
    <tableColumn id="10032" xr3:uid="{37D933D9-FF81-4BDA-A1A7-D9D6D0901433}" name="Column10032"/>
    <tableColumn id="10033" xr3:uid="{F529996B-279F-4126-B309-722215BFD467}" name="Column10033"/>
    <tableColumn id="10034" xr3:uid="{66C0011C-79B7-4225-ABDA-EED6FF9EE882}" name="Column10034"/>
    <tableColumn id="10035" xr3:uid="{D4A83083-0D9D-46E7-96FC-0427AC1756FB}" name="Column10035"/>
    <tableColumn id="10036" xr3:uid="{39DFFCB5-D7A2-40BE-9179-B6C274F76FB2}" name="Column10036"/>
    <tableColumn id="10037" xr3:uid="{14BEEC2B-3C8F-4903-BCDF-666CB52C33EB}" name="Column10037"/>
    <tableColumn id="10038" xr3:uid="{1D372843-5B17-4541-9237-5A177FF66088}" name="Column10038"/>
    <tableColumn id="10039" xr3:uid="{585F369F-A016-466D-BCED-62B452E7AFB2}" name="Column10039"/>
    <tableColumn id="10040" xr3:uid="{E9D321E4-6681-4B6F-95A6-A4D00DEDF8A8}" name="Column10040"/>
    <tableColumn id="10041" xr3:uid="{A7C88C58-B531-4550-A7E6-4512A7F0EEB7}" name="Column10041"/>
    <tableColumn id="10042" xr3:uid="{E88FEF87-59D0-4092-8D70-52DE58B2C599}" name="Column10042"/>
    <tableColumn id="10043" xr3:uid="{B6A5B9DD-991B-43B2-AEDC-5F17085AE506}" name="Column10043"/>
    <tableColumn id="10044" xr3:uid="{EF7C7992-1BFC-4BC3-8235-7521C207E0B0}" name="Column10044"/>
    <tableColumn id="10045" xr3:uid="{6565FAC2-5A8E-469B-B131-7FEF5D8AB502}" name="Column10045"/>
    <tableColumn id="10046" xr3:uid="{CA37FE95-6C94-4117-9D0A-E0682E65566E}" name="Column10046"/>
    <tableColumn id="10047" xr3:uid="{60BD6E20-03A2-4C2D-9F87-D8BE8B5A28F3}" name="Column10047"/>
    <tableColumn id="10048" xr3:uid="{0EA7FC1C-7F0D-4918-A9AA-5D7CDDE1AF3D}" name="Column10048"/>
    <tableColumn id="10049" xr3:uid="{C38331F4-739D-4D9C-9A81-3FA333159299}" name="Column10049"/>
    <tableColumn id="10050" xr3:uid="{6133C2C5-F7DB-4505-A26F-8CD77EE576A8}" name="Column10050"/>
    <tableColumn id="10051" xr3:uid="{5EB6E48A-7487-4F36-9AA0-97E32E8BEA76}" name="Column10051"/>
    <tableColumn id="10052" xr3:uid="{1BC11E61-9CAA-44F4-BD34-331B65291834}" name="Column10052"/>
    <tableColumn id="10053" xr3:uid="{AC55F654-BD57-44A8-ACA2-8DA9AE4A310D}" name="Column10053"/>
    <tableColumn id="10054" xr3:uid="{AB09F64F-9F6C-4DB9-A654-7988EF978C00}" name="Column10054"/>
    <tableColumn id="10055" xr3:uid="{565E2567-6B0F-4E35-8F30-0A08F34E72C2}" name="Column10055"/>
    <tableColumn id="10056" xr3:uid="{9B68CCB8-71A5-4685-9B18-4E6CEE4A5515}" name="Column10056"/>
    <tableColumn id="10057" xr3:uid="{8E0B38DA-D6A0-4DA0-B9FE-94EA83E88DD1}" name="Column10057"/>
    <tableColumn id="10058" xr3:uid="{FC182A5B-F76D-4339-9331-765F242B8B64}" name="Column10058"/>
    <tableColumn id="10059" xr3:uid="{3A5D9908-FC1F-4FF2-A093-EA59E88EB1D7}" name="Column10059"/>
    <tableColumn id="10060" xr3:uid="{B1C63681-9AB2-4273-B831-FD5AF6A7C767}" name="Column10060"/>
    <tableColumn id="10061" xr3:uid="{EBC74343-B53C-4EAF-824A-EE2B14D8FD35}" name="Column10061"/>
    <tableColumn id="10062" xr3:uid="{257A031C-8DE5-42A8-BEBB-0D3CA95ACAF3}" name="Column10062"/>
    <tableColumn id="10063" xr3:uid="{2C785892-174B-4E44-AF07-D8B50A3B6DA4}" name="Column10063"/>
    <tableColumn id="10064" xr3:uid="{60BCE05F-95F7-496C-868E-EB15351CEDF1}" name="Column10064"/>
    <tableColumn id="10065" xr3:uid="{91A9B2ED-092F-429C-99A3-9CEB897A62E9}" name="Column10065"/>
    <tableColumn id="10066" xr3:uid="{5F38E6A7-6F00-42B3-84C8-8648A9BC6D3F}" name="Column10066"/>
    <tableColumn id="10067" xr3:uid="{64BD49CC-2AAB-435F-8D5A-12E59F024B80}" name="Column10067"/>
    <tableColumn id="10068" xr3:uid="{192BD545-7042-42CD-8771-37948FE2E603}" name="Column10068"/>
    <tableColumn id="10069" xr3:uid="{AF9E2447-3425-4D20-813A-CBE3A70732C9}" name="Column10069"/>
    <tableColumn id="10070" xr3:uid="{56203D98-1777-42BA-B8FD-4098286AC17D}" name="Column10070"/>
    <tableColumn id="10071" xr3:uid="{7B263595-EC6B-4A2E-A1C8-20F64479851D}" name="Column10071"/>
    <tableColumn id="10072" xr3:uid="{B043397C-1C27-46B2-9416-8253A7245858}" name="Column10072"/>
    <tableColumn id="10073" xr3:uid="{FF807B78-4C1F-4605-8476-947F91121A71}" name="Column10073"/>
    <tableColumn id="10074" xr3:uid="{5FCDDD3D-5150-4452-A30A-2776B0B84740}" name="Column10074"/>
    <tableColumn id="10075" xr3:uid="{B7D44031-9D48-4366-8D10-8E12E9AA9FA3}" name="Column10075"/>
    <tableColumn id="10076" xr3:uid="{D469E9C1-9807-407B-9055-F8E818F788E6}" name="Column10076"/>
    <tableColumn id="10077" xr3:uid="{29973212-C833-4291-8093-CC0F8504B555}" name="Column10077"/>
    <tableColumn id="10078" xr3:uid="{6025F2EE-9383-4A9A-AD17-ACE1FA69B461}" name="Column10078"/>
    <tableColumn id="10079" xr3:uid="{E3DA7C94-2EE8-4C01-9F67-029925B69E6F}" name="Column10079"/>
    <tableColumn id="10080" xr3:uid="{FA44A30F-4817-40A9-ABA6-0D86EA164497}" name="Column10080"/>
    <tableColumn id="10081" xr3:uid="{48BDC7F1-C755-4A21-88AE-A430D9CC999F}" name="Column10081"/>
    <tableColumn id="10082" xr3:uid="{3421FCAF-73E5-4ABF-8906-3CE59F9DA47D}" name="Column10082"/>
    <tableColumn id="10083" xr3:uid="{2D7B3C6D-4467-4EE7-A7A5-4E4BBF8116F7}" name="Column10083"/>
    <tableColumn id="10084" xr3:uid="{36C45ABA-B536-427B-80CE-12A5B1B6D851}" name="Column10084"/>
    <tableColumn id="10085" xr3:uid="{7FE5DF60-73BD-43A5-BE8A-78148FB0006C}" name="Column10085"/>
    <tableColumn id="10086" xr3:uid="{03F85998-E102-4B72-91AD-2D31EE315934}" name="Column10086"/>
    <tableColumn id="10087" xr3:uid="{1095B512-2CEF-448D-B1F5-91FCA1C245FB}" name="Column10087"/>
    <tableColumn id="10088" xr3:uid="{A1FE8324-A1EA-4474-B112-E807D5D5E31A}" name="Column10088"/>
    <tableColumn id="10089" xr3:uid="{7DD3146F-B793-4DB6-A445-ED1C32015809}" name="Column10089"/>
    <tableColumn id="10090" xr3:uid="{65CAAF1A-4423-4C16-8DCD-AC249363B752}" name="Column10090"/>
    <tableColumn id="10091" xr3:uid="{85DFC00C-3C73-4DBC-B849-ED41306C05AE}" name="Column10091"/>
    <tableColumn id="10092" xr3:uid="{0D8E7CF7-0EBD-4391-AB35-FA4DC7FD1EBC}" name="Column10092"/>
    <tableColumn id="10093" xr3:uid="{39144084-38A8-42A3-90DA-43AA3AD085D4}" name="Column10093"/>
    <tableColumn id="10094" xr3:uid="{B672951B-DA65-406F-B02C-90CA4132C42E}" name="Column10094"/>
    <tableColumn id="10095" xr3:uid="{D7A2BEC1-8B1B-4904-B744-3FA7EDE3E1B2}" name="Column10095"/>
    <tableColumn id="10096" xr3:uid="{9E6A5EC6-04B3-43A8-90CB-A2B2513A7C40}" name="Column10096"/>
    <tableColumn id="10097" xr3:uid="{DEA63F24-39F8-483F-A8D8-C9DBB3FC2B19}" name="Column10097"/>
    <tableColumn id="10098" xr3:uid="{EE433A3B-ABEB-4E9E-929E-70FC7128001A}" name="Column10098"/>
    <tableColumn id="10099" xr3:uid="{ED8B57D3-41A2-4C36-9513-52E5F4647E9D}" name="Column10099"/>
    <tableColumn id="10100" xr3:uid="{B69CD316-344A-4457-9D47-B838E22DDF77}" name="Column10100"/>
    <tableColumn id="10101" xr3:uid="{E4C8A8C1-115F-4170-BB12-9F08619F7158}" name="Column10101"/>
    <tableColumn id="10102" xr3:uid="{B3652C82-79E2-4D30-83EE-5D5D5218FD57}" name="Column10102"/>
    <tableColumn id="10103" xr3:uid="{C13F735B-5EBB-4A1C-A7C4-2B949D66A316}" name="Column10103"/>
    <tableColumn id="10104" xr3:uid="{F5F69978-354E-4A44-A4A3-0366E2748827}" name="Column10104"/>
    <tableColumn id="10105" xr3:uid="{E6ECA2A2-4834-496F-995F-A7C407419F7D}" name="Column10105"/>
    <tableColumn id="10106" xr3:uid="{A878B8F4-7DAD-4163-BA68-DF4CC98221BC}" name="Column10106"/>
    <tableColumn id="10107" xr3:uid="{26AC65E0-5067-45CD-9832-D9ABC669523A}" name="Column10107"/>
    <tableColumn id="10108" xr3:uid="{A44283CC-5825-4AD3-8D3C-100E399DEE52}" name="Column10108"/>
    <tableColumn id="10109" xr3:uid="{8D24653A-1172-4123-9923-4F60B1503B9E}" name="Column10109"/>
    <tableColumn id="10110" xr3:uid="{070E0ACB-9236-4D07-937F-EF72C031E629}" name="Column10110"/>
    <tableColumn id="10111" xr3:uid="{27A1230A-205B-4FAD-B0F0-98BAD291FF72}" name="Column10111"/>
    <tableColumn id="10112" xr3:uid="{A948C08A-DF6F-41DF-86E9-0D9DED9C9627}" name="Column10112"/>
    <tableColumn id="10113" xr3:uid="{79A5F281-EC3C-4875-ABF2-D938F82C5DF5}" name="Column10113"/>
    <tableColumn id="10114" xr3:uid="{E4F579A4-85A1-4C23-9234-623B8914DA17}" name="Column10114"/>
    <tableColumn id="10115" xr3:uid="{6C341A4C-49A2-49F3-8B1C-56742222B638}" name="Column10115"/>
    <tableColumn id="10116" xr3:uid="{3B454FC7-C2F0-41E0-9424-8051C532249B}" name="Column10116"/>
    <tableColumn id="10117" xr3:uid="{78001F76-7B43-48F1-AD22-3A7CB0255308}" name="Column10117"/>
    <tableColumn id="10118" xr3:uid="{645F313E-3006-43B3-A2D9-366B077DF9C9}" name="Column10118"/>
    <tableColumn id="10119" xr3:uid="{6DF50444-4AD3-4477-BB9A-CD00C8FC6BC8}" name="Column10119"/>
    <tableColumn id="10120" xr3:uid="{8E93B7CF-90F4-4889-97AF-18168F63619F}" name="Column10120"/>
    <tableColumn id="10121" xr3:uid="{CF6F63E6-9F04-4B18-AC43-2BC6166098F6}" name="Column10121"/>
    <tableColumn id="10122" xr3:uid="{77745E52-CA8A-4166-B581-473E1AC7394F}" name="Column10122"/>
    <tableColumn id="10123" xr3:uid="{11EB0FC7-E672-4201-8751-E41C5D1096EE}" name="Column10123"/>
    <tableColumn id="10124" xr3:uid="{597BAF13-1428-4CE0-9D71-B670334A1BC2}" name="Column10124"/>
    <tableColumn id="10125" xr3:uid="{4D56E9F9-6964-423A-B039-A898C0D6FE2B}" name="Column10125"/>
    <tableColumn id="10126" xr3:uid="{2BF92EA4-71FE-41FA-A1B4-623EA17723A4}" name="Column10126"/>
    <tableColumn id="10127" xr3:uid="{9DB6FABA-E946-4289-AA6A-92DE621B18CD}" name="Column10127"/>
    <tableColumn id="10128" xr3:uid="{F4390880-7D15-4AA2-91FC-7BEB3BBFE83E}" name="Column10128"/>
    <tableColumn id="10129" xr3:uid="{A0998F21-225C-4CF7-BC6A-947C5331D603}" name="Column10129"/>
    <tableColumn id="10130" xr3:uid="{C4300D72-148E-4EFC-B874-65162C313979}" name="Column10130"/>
    <tableColumn id="10131" xr3:uid="{0E9D4D2C-E190-457B-B356-9F26B0974546}" name="Column10131"/>
    <tableColumn id="10132" xr3:uid="{7E906698-71F4-42BD-A67F-E790A0CA6625}" name="Column10132"/>
    <tableColumn id="10133" xr3:uid="{BB3A2555-7840-489D-A2CE-4A1E6664BF34}" name="Column10133"/>
    <tableColumn id="10134" xr3:uid="{A6B0B14C-0B86-4C2C-9178-EEF7565D7FDE}" name="Column10134"/>
    <tableColumn id="10135" xr3:uid="{39065746-EDDB-4633-A244-B5B560B14628}" name="Column10135"/>
    <tableColumn id="10136" xr3:uid="{72E25DAE-6584-48E9-9293-77C0B490C1BD}" name="Column10136"/>
    <tableColumn id="10137" xr3:uid="{1864D872-BC44-4F20-9FF7-E63498B1FECB}" name="Column10137"/>
    <tableColumn id="10138" xr3:uid="{4EC77220-FF3E-41C1-A6B7-E5E139E69560}" name="Column10138"/>
    <tableColumn id="10139" xr3:uid="{2CBDE351-F3D5-403B-BF35-EFE07920D1A8}" name="Column10139"/>
    <tableColumn id="10140" xr3:uid="{D2366E40-CF97-4989-9215-F0FD57E59DE0}" name="Column10140"/>
    <tableColumn id="10141" xr3:uid="{4FC3F8C0-21BE-4D7A-B002-AD861765EBFF}" name="Column10141"/>
    <tableColumn id="10142" xr3:uid="{B71EA4A6-6E32-4C04-BAD5-82E194C5F777}" name="Column10142"/>
    <tableColumn id="10143" xr3:uid="{64A23595-295C-45E3-BFFC-403DFC34C431}" name="Column10143"/>
    <tableColumn id="10144" xr3:uid="{2DEF11FC-BF07-4167-84F6-6782AFDAEC8F}" name="Column10144"/>
    <tableColumn id="10145" xr3:uid="{B7E9A0CA-9C58-4EF3-815A-83288B2C865D}" name="Column10145"/>
    <tableColumn id="10146" xr3:uid="{3D16F33D-C799-4CD8-91D7-2742326CA908}" name="Column10146"/>
    <tableColumn id="10147" xr3:uid="{C46872F0-EC9C-46ED-8869-024215F66846}" name="Column10147"/>
    <tableColumn id="10148" xr3:uid="{9436E548-7C02-417A-BD25-A37303793DDB}" name="Column10148"/>
    <tableColumn id="10149" xr3:uid="{79AED1AE-325E-4FAE-B52C-E35CC0429237}" name="Column10149"/>
    <tableColumn id="10150" xr3:uid="{51585877-E1C6-4E26-90F5-6D90CA77725C}" name="Column10150"/>
    <tableColumn id="10151" xr3:uid="{ACB26AEC-4089-4C18-8804-1056674C251E}" name="Column10151"/>
    <tableColumn id="10152" xr3:uid="{254C2B52-C59A-44D1-BD97-AFF203A34787}" name="Column10152"/>
    <tableColumn id="10153" xr3:uid="{78593E96-2114-44EF-8C57-1E2EEBCB4D90}" name="Column10153"/>
    <tableColumn id="10154" xr3:uid="{545E70F6-475E-4B39-B4B3-3A70434E25DA}" name="Column10154"/>
    <tableColumn id="10155" xr3:uid="{838A7D86-A51D-47BF-89E7-E5A5E14DE886}" name="Column10155"/>
    <tableColumn id="10156" xr3:uid="{34EB026D-12B2-48CE-BA29-B7C61947B2C2}" name="Column10156"/>
    <tableColumn id="10157" xr3:uid="{B65B9F16-9482-4067-9D53-B9617965DC14}" name="Column10157"/>
    <tableColumn id="10158" xr3:uid="{E67771F4-986F-4A6C-871D-4F0F78974BDB}" name="Column10158"/>
    <tableColumn id="10159" xr3:uid="{61DD77B2-B2F0-423A-93A6-C484892CC4BA}" name="Column10159"/>
    <tableColumn id="10160" xr3:uid="{01DB7498-90F9-477A-AAB1-BCCFB0F75DCD}" name="Column10160"/>
    <tableColumn id="10161" xr3:uid="{D809CE41-53F2-411F-8B7A-E78ABB8D2165}" name="Column10161"/>
    <tableColumn id="10162" xr3:uid="{4DA39C4F-941D-4A59-BC7D-23C8FA74D7C7}" name="Column10162"/>
    <tableColumn id="10163" xr3:uid="{07583CD9-411E-4D15-A210-8238FD25A085}" name="Column10163"/>
    <tableColumn id="10164" xr3:uid="{2AFA3798-B2AC-45D0-96AB-BFCE4F313C32}" name="Column10164"/>
    <tableColumn id="10165" xr3:uid="{D3149765-570D-4323-A7D1-E98774C0C3BB}" name="Column10165"/>
    <tableColumn id="10166" xr3:uid="{C6D37D09-9805-4399-8556-EBFBC42CC999}" name="Column10166"/>
    <tableColumn id="10167" xr3:uid="{79DA79BC-44BC-48D9-AAC5-E30C427D7477}" name="Column10167"/>
    <tableColumn id="10168" xr3:uid="{D79A16E9-C9ED-4E87-8E7A-D082024BB87C}" name="Column10168"/>
    <tableColumn id="10169" xr3:uid="{0322C0B5-5AF7-44B6-B0DF-35EA978BC2D3}" name="Column10169"/>
    <tableColumn id="10170" xr3:uid="{DC60091E-F30E-43EE-848A-190AFE5D0FCE}" name="Column10170"/>
    <tableColumn id="10171" xr3:uid="{0BFDB744-F04A-471A-95B8-7A87673BF61D}" name="Column10171"/>
    <tableColumn id="10172" xr3:uid="{1AC23A1A-0CD4-49D6-B543-68C471EA6401}" name="Column10172"/>
    <tableColumn id="10173" xr3:uid="{C3B0D393-2EC3-4A2D-A7CE-BCD49C64BE8C}" name="Column10173"/>
    <tableColumn id="10174" xr3:uid="{05DFE138-40A5-4C83-811B-D989C3DE69F2}" name="Column10174"/>
    <tableColumn id="10175" xr3:uid="{DDA3C16F-8296-4E1D-80E7-EDBDBA475B6D}" name="Column10175"/>
    <tableColumn id="10176" xr3:uid="{21DA0317-C29D-4CEA-9327-02336484798C}" name="Column10176"/>
    <tableColumn id="10177" xr3:uid="{9A734589-EA62-4961-BFDB-630BD628F955}" name="Column10177"/>
    <tableColumn id="10178" xr3:uid="{2BE023C3-623F-462B-82A8-0CC641F61E64}" name="Column10178"/>
    <tableColumn id="10179" xr3:uid="{DFF060CC-B625-4DAD-B668-5EA6F4AD8A30}" name="Column10179"/>
    <tableColumn id="10180" xr3:uid="{18A83A75-A429-4E69-B8AA-5F720443A732}" name="Column10180"/>
    <tableColumn id="10181" xr3:uid="{DFE6DECE-BE5E-4A38-A247-54368FC8E778}" name="Column10181"/>
    <tableColumn id="10182" xr3:uid="{D3EDAC23-DA37-4BB2-9C4D-27A9BDBFC69A}" name="Column10182"/>
    <tableColumn id="10183" xr3:uid="{25BADEB9-AAA7-4C01-AECC-C4A67E15B195}" name="Column10183"/>
    <tableColumn id="10184" xr3:uid="{45F23E49-489F-4B8A-BAEE-0DEE6A19815D}" name="Column10184"/>
    <tableColumn id="10185" xr3:uid="{12A7EEF1-5E96-440F-8F0E-B88625CF7A5E}" name="Column10185"/>
    <tableColumn id="10186" xr3:uid="{5ACBEF0F-C986-4460-8C30-5E7A0E65F526}" name="Column10186"/>
    <tableColumn id="10187" xr3:uid="{44448EE7-A9AE-4706-8B53-4EA7B1B47E48}" name="Column10187"/>
    <tableColumn id="10188" xr3:uid="{26E079FE-7A44-41FA-87BB-5A7406C57CC7}" name="Column10188"/>
    <tableColumn id="10189" xr3:uid="{62206683-CAA9-4BA0-9246-534E428810E0}" name="Column10189"/>
    <tableColumn id="10190" xr3:uid="{486B83F9-36AC-4BD8-8396-2E9C5E94838F}" name="Column10190"/>
    <tableColumn id="10191" xr3:uid="{1A28B936-014F-460F-AEF9-4FB767A9136A}" name="Column10191"/>
    <tableColumn id="10192" xr3:uid="{54DE3BB0-6F5E-4A53-B6CF-A6F8FF9953EF}" name="Column10192"/>
    <tableColumn id="10193" xr3:uid="{74BEAE01-D600-4E2B-89EC-788C323510A3}" name="Column10193"/>
    <tableColumn id="10194" xr3:uid="{5994F94D-0F87-4E38-90A6-689A46C20177}" name="Column10194"/>
    <tableColumn id="10195" xr3:uid="{13B906F3-5AAF-4B89-B367-455BAB73C5E7}" name="Column10195"/>
    <tableColumn id="10196" xr3:uid="{645FE680-B435-40C4-8A34-81366183DED0}" name="Column10196"/>
    <tableColumn id="10197" xr3:uid="{DF376D29-EB2D-441C-AA17-33573A0A8D29}" name="Column10197"/>
    <tableColumn id="10198" xr3:uid="{E05F6870-EB40-46F6-950E-58C7ED653AB4}" name="Column10198"/>
    <tableColumn id="10199" xr3:uid="{A89398A9-BF8B-4F85-9553-F6E5EAF9A859}" name="Column10199"/>
    <tableColumn id="10200" xr3:uid="{13C13979-B0A0-435D-9AC3-3E745516D2A7}" name="Column10200"/>
    <tableColumn id="10201" xr3:uid="{7864C6C7-29C7-42D3-9E19-A32C6F662850}" name="Column10201"/>
    <tableColumn id="10202" xr3:uid="{9AA45B54-2300-4DD8-8CDC-D08608E1C5E6}" name="Column10202"/>
    <tableColumn id="10203" xr3:uid="{9FD3FF32-8997-40D4-86BB-882602AAE946}" name="Column10203"/>
    <tableColumn id="10204" xr3:uid="{41D49803-5840-4EE8-B4E3-C9111D1A7EF9}" name="Column10204"/>
    <tableColumn id="10205" xr3:uid="{F8F94E2B-D23C-4847-A4F8-65D46BDF7305}" name="Column10205"/>
    <tableColumn id="10206" xr3:uid="{08E5C33C-72F1-49FF-838D-990C63C44775}" name="Column10206"/>
    <tableColumn id="10207" xr3:uid="{02EEBA4D-CF7C-460D-AF10-A2D017A24189}" name="Column10207"/>
    <tableColumn id="10208" xr3:uid="{3E81BECF-B993-4553-AC82-A32034EB3E97}" name="Column10208"/>
    <tableColumn id="10209" xr3:uid="{A27AB7AD-17C4-448A-A17F-99CDEAA73C64}" name="Column10209"/>
    <tableColumn id="10210" xr3:uid="{00C28BF4-BF46-44C4-A678-FE5C95B21A17}" name="Column10210"/>
    <tableColumn id="10211" xr3:uid="{6FFCD6CD-335B-470B-874F-80D45BDC57D0}" name="Column10211"/>
    <tableColumn id="10212" xr3:uid="{1C787345-99A3-4D03-BF40-10B66EEBA52A}" name="Column10212"/>
    <tableColumn id="10213" xr3:uid="{D7B62489-772A-42ED-9B12-8E314833347C}" name="Column10213"/>
    <tableColumn id="10214" xr3:uid="{D58E19CE-CC22-4FD8-BADD-34837143AE09}" name="Column10214"/>
    <tableColumn id="10215" xr3:uid="{141A3CB2-9498-4811-AC23-A293A7AA91A7}" name="Column10215"/>
    <tableColumn id="10216" xr3:uid="{8D92757E-AB07-40C1-9D78-D0D757D9D074}" name="Column10216"/>
    <tableColumn id="10217" xr3:uid="{308F3E1E-6509-4BE7-A679-718A870F021E}" name="Column10217"/>
    <tableColumn id="10218" xr3:uid="{A00E5296-269A-4998-B8C9-6C230D399FC3}" name="Column10218"/>
    <tableColumn id="10219" xr3:uid="{02B2D5AF-4549-43B7-8D90-16F5760D3735}" name="Column10219"/>
    <tableColumn id="10220" xr3:uid="{F5EAD07E-9C51-419A-802B-88201C79B3E2}" name="Column10220"/>
    <tableColumn id="10221" xr3:uid="{9B7FDD71-7ECB-437D-A1E7-4017BC876BCA}" name="Column10221"/>
    <tableColumn id="10222" xr3:uid="{3DD499FC-8A87-460D-A992-E276294477D5}" name="Column10222"/>
    <tableColumn id="10223" xr3:uid="{F8027025-00B8-4D95-A567-40B5974DB7C8}" name="Column10223"/>
    <tableColumn id="10224" xr3:uid="{EA0424B5-1CED-400F-9AFB-4B2FAB85A495}" name="Column10224"/>
    <tableColumn id="10225" xr3:uid="{AF3C9A2E-644E-40C1-9951-1B39CDFDBCC5}" name="Column10225"/>
    <tableColumn id="10226" xr3:uid="{BD744F61-1915-47D8-9B1F-88282FA22AEC}" name="Column10226"/>
    <tableColumn id="10227" xr3:uid="{DD257231-C60E-41FE-B633-0742FB94D3D0}" name="Column10227"/>
    <tableColumn id="10228" xr3:uid="{801761C4-69A5-4371-BBFB-43381D72C502}" name="Column10228"/>
    <tableColumn id="10229" xr3:uid="{2D2E96B2-16BB-41DA-A27C-0261563F0460}" name="Column10229"/>
    <tableColumn id="10230" xr3:uid="{4DCC73A2-AF2B-4455-A245-6E45B0616D44}" name="Column10230"/>
    <tableColumn id="10231" xr3:uid="{368EC858-F7EA-45FA-9824-C3B235122B63}" name="Column10231"/>
    <tableColumn id="10232" xr3:uid="{1C40400A-AA80-4307-8631-94C6B62CFC2A}" name="Column10232"/>
    <tableColumn id="10233" xr3:uid="{3CE5B0E3-2357-4F37-9993-CAD8BD35AE26}" name="Column10233"/>
    <tableColumn id="10234" xr3:uid="{CCAD8C18-94C6-4806-9AAD-59813C4954CA}" name="Column10234"/>
    <tableColumn id="10235" xr3:uid="{1F311CB9-98DA-49A1-9E0A-6AAD4B105B08}" name="Column10235"/>
    <tableColumn id="10236" xr3:uid="{6BB5EFF2-D93F-4C81-8817-CA16E59748AF}" name="Column10236"/>
    <tableColumn id="10237" xr3:uid="{6257A357-2EDB-4EAB-A845-01E04C8AEAB9}" name="Column10237"/>
    <tableColumn id="10238" xr3:uid="{7F873495-3449-4F16-9F7D-0D3D89C4883B}" name="Column10238"/>
    <tableColumn id="10239" xr3:uid="{15813056-8475-4BF5-9344-873EA0ECC0BC}" name="Column10239"/>
    <tableColumn id="10240" xr3:uid="{BD1594EA-9ED2-4135-ADE6-E43980F67F1C}" name="Column10240"/>
    <tableColumn id="10241" xr3:uid="{19D017F6-C531-4EB1-AF61-4F4A82DBF5D7}" name="Column10241"/>
    <tableColumn id="10242" xr3:uid="{A334B871-EE8D-4CDA-8525-4D0264B02CF9}" name="Column10242"/>
    <tableColumn id="10243" xr3:uid="{2D586EA1-BD32-4FEE-9808-ACA03F3989D7}" name="Column10243"/>
    <tableColumn id="10244" xr3:uid="{212A4815-0026-4762-B33C-5408BE8E1EDA}" name="Column10244"/>
    <tableColumn id="10245" xr3:uid="{C4E27DEA-DD40-45BE-8401-5DF2B427D59F}" name="Column10245"/>
    <tableColumn id="10246" xr3:uid="{E0819440-F663-46B9-A13A-B3EC7C075AFF}" name="Column10246"/>
    <tableColumn id="10247" xr3:uid="{4FA17A7B-397D-4A02-8B0A-38098CFDD4D8}" name="Column10247"/>
    <tableColumn id="10248" xr3:uid="{AA176674-3B97-499E-9E6B-2485595A5699}" name="Column10248"/>
    <tableColumn id="10249" xr3:uid="{20D289A8-130D-47A8-A5FE-5109A5825356}" name="Column10249"/>
    <tableColumn id="10250" xr3:uid="{4CCB932B-CF40-4105-8FDE-C55F38DA94C3}" name="Column10250"/>
    <tableColumn id="10251" xr3:uid="{450422FC-CA38-44BE-BB86-93D32D73A6AC}" name="Column10251"/>
    <tableColumn id="10252" xr3:uid="{7F19B8B1-B5BA-4E44-89CB-4DF4195331F4}" name="Column10252"/>
    <tableColumn id="10253" xr3:uid="{13FB2396-47ED-45B4-AF3A-86D8344FDE08}" name="Column10253"/>
    <tableColumn id="10254" xr3:uid="{D2E5886C-99BB-4389-8E23-C343383F705A}" name="Column10254"/>
    <tableColumn id="10255" xr3:uid="{86971A8A-D81C-494E-929C-64D08A6FC920}" name="Column10255"/>
    <tableColumn id="10256" xr3:uid="{EBE3BDAD-D5BB-46BC-AA26-158E253F117A}" name="Column10256"/>
    <tableColumn id="10257" xr3:uid="{889431EE-F9C5-4038-8FE8-4A4A45E01348}" name="Column10257"/>
    <tableColumn id="10258" xr3:uid="{DF9EB0E0-CA7B-4EFA-9A21-86C7FC4726EE}" name="Column10258"/>
    <tableColumn id="10259" xr3:uid="{0DCD273F-F4F6-4FD7-86FF-BCFBAC7AF97F}" name="Column10259"/>
    <tableColumn id="10260" xr3:uid="{D1BB30A0-D389-47FE-8E05-38E6F5A8B974}" name="Column10260"/>
    <tableColumn id="10261" xr3:uid="{B342E0ED-E82C-413E-A45F-2F170002E9D5}" name="Column10261"/>
    <tableColumn id="10262" xr3:uid="{308B7FFB-C0B9-42FE-95E4-1A6959EE70FE}" name="Column10262"/>
    <tableColumn id="10263" xr3:uid="{D0902CCC-7010-45D1-B21B-9ED6565448E1}" name="Column10263"/>
    <tableColumn id="10264" xr3:uid="{5B456276-4F9E-4E9E-9F8A-C626BD4F029C}" name="Column10264"/>
    <tableColumn id="10265" xr3:uid="{41D27D3D-7B77-4947-9AE6-B280053B4BBE}" name="Column10265"/>
    <tableColumn id="10266" xr3:uid="{23CE3816-1102-4DBD-8882-115A4D764C9B}" name="Column10266"/>
    <tableColumn id="10267" xr3:uid="{85659DBE-3CF8-44D2-96D4-A63AABAB3951}" name="Column10267"/>
    <tableColumn id="10268" xr3:uid="{B06F6E06-2CAF-4376-AAC3-2B6F2E782E77}" name="Column10268"/>
    <tableColumn id="10269" xr3:uid="{BD1AC4EA-A6FE-4A39-BE16-1E57F8E9E197}" name="Column10269"/>
    <tableColumn id="10270" xr3:uid="{0BD3C03A-7254-4DE4-8501-BE86E0EBE98C}" name="Column10270"/>
    <tableColumn id="10271" xr3:uid="{354B2DE1-86FB-4F85-9383-FF735C6909B6}" name="Column10271"/>
    <tableColumn id="10272" xr3:uid="{6079F702-0125-4222-A24E-B1B3E97BDE18}" name="Column10272"/>
    <tableColumn id="10273" xr3:uid="{F3C1A70A-FF18-47C6-8124-E429F4149D42}" name="Column10273"/>
    <tableColumn id="10274" xr3:uid="{EB0FFC09-5B27-4FCD-AC14-B49B4939ABBD}" name="Column10274"/>
    <tableColumn id="10275" xr3:uid="{75EC2D7A-9F20-42C7-999D-A02D719EF334}" name="Column10275"/>
    <tableColumn id="10276" xr3:uid="{BAAB20DB-80A0-4BC0-9BCB-079E297D2D40}" name="Column10276"/>
    <tableColumn id="10277" xr3:uid="{8F0AEFF0-00BC-437B-97BA-C5D5A86984CC}" name="Column10277"/>
    <tableColumn id="10278" xr3:uid="{6845049A-65D4-458A-BF5A-8FD1CE405EF0}" name="Column10278"/>
    <tableColumn id="10279" xr3:uid="{F598A98B-7CDF-4AED-A9EA-852ED89BDDDE}" name="Column10279"/>
    <tableColumn id="10280" xr3:uid="{D4312807-DB37-438D-A048-04A93EB18AB2}" name="Column10280"/>
    <tableColumn id="10281" xr3:uid="{44EEF164-D4EF-42A2-96B7-17BB9BB33E1F}" name="Column10281"/>
    <tableColumn id="10282" xr3:uid="{BD1B42C7-6687-4052-B60E-0D8136B3F937}" name="Column10282"/>
    <tableColumn id="10283" xr3:uid="{76CF391A-9072-450A-999C-D74AE2D8BE31}" name="Column10283"/>
    <tableColumn id="10284" xr3:uid="{F8B7AD6E-66DF-4B0E-B159-0ABDD231C560}" name="Column10284"/>
    <tableColumn id="10285" xr3:uid="{123CBA28-8120-4AB3-AC17-34566EAA3529}" name="Column10285"/>
    <tableColumn id="10286" xr3:uid="{DB4B8409-0DBD-4CD8-815C-4CBB5EC85CED}" name="Column10286"/>
    <tableColumn id="10287" xr3:uid="{722D32AD-CBB5-467F-8780-AE34F2AB04F8}" name="Column10287"/>
    <tableColumn id="10288" xr3:uid="{F5366EF7-4539-4C63-B9C6-DF9D1AA38950}" name="Column10288"/>
    <tableColumn id="10289" xr3:uid="{2026EA86-7B99-4B21-A6F0-9876F98DAE3F}" name="Column10289"/>
    <tableColumn id="10290" xr3:uid="{3B435139-9602-4D6F-B112-A29D4BA911AD}" name="Column10290"/>
    <tableColumn id="10291" xr3:uid="{2CEFF9F7-7CBA-4E44-8312-03C3B1C4B171}" name="Column10291"/>
    <tableColumn id="10292" xr3:uid="{B57557F0-2A15-472C-90FF-201E9CF8DFF3}" name="Column10292"/>
    <tableColumn id="10293" xr3:uid="{9B1C5F72-0AAF-4C9A-88F7-61F190A38F51}" name="Column10293"/>
    <tableColumn id="10294" xr3:uid="{4C2E80F4-7A91-40D2-81A1-0E00930FBA9B}" name="Column10294"/>
    <tableColumn id="10295" xr3:uid="{F69C2FF5-704D-46A3-A5AB-59E6F150DE25}" name="Column10295"/>
    <tableColumn id="10296" xr3:uid="{77D98322-55FE-4FBE-B22B-2C2DF7385FAE}" name="Column10296"/>
    <tableColumn id="10297" xr3:uid="{DF9AC071-81CC-45D1-B4DD-BB7057DFE011}" name="Column10297"/>
    <tableColumn id="10298" xr3:uid="{38B04E1D-A67B-49AF-B8FF-711F13C3B9F5}" name="Column10298"/>
    <tableColumn id="10299" xr3:uid="{556D294A-DA5D-4432-84C2-BB9034BFE579}" name="Column10299"/>
    <tableColumn id="10300" xr3:uid="{25FDD05C-346B-4EAF-8712-DC8ED3008718}" name="Column10300"/>
    <tableColumn id="10301" xr3:uid="{10846EE4-6430-4D21-8EDD-502C3C2FC335}" name="Column10301"/>
    <tableColumn id="10302" xr3:uid="{0D855350-00D5-4F0D-8DD7-06831F1AB3E0}" name="Column10302"/>
    <tableColumn id="10303" xr3:uid="{55627B44-D21D-4076-A2CD-1A8685756A88}" name="Column10303"/>
    <tableColumn id="10304" xr3:uid="{61FE94C7-1CE4-4226-95FA-F2CE89EB8C53}" name="Column10304"/>
    <tableColumn id="10305" xr3:uid="{2BF28534-163C-4807-A26B-1E7138F9D4E1}" name="Column10305"/>
    <tableColumn id="10306" xr3:uid="{15C1A424-003B-4829-8704-4C79880E1F0E}" name="Column10306"/>
    <tableColumn id="10307" xr3:uid="{F6BA77B6-B217-49A7-8636-16E1974F048D}" name="Column10307"/>
    <tableColumn id="10308" xr3:uid="{D12970AC-441B-4423-8975-C9E131C40DA4}" name="Column10308"/>
    <tableColumn id="10309" xr3:uid="{D8809F4D-6E70-40EF-8E04-6450C13B86DC}" name="Column10309"/>
    <tableColumn id="10310" xr3:uid="{DC354BA8-DE4C-45B4-884D-46923C53DD61}" name="Column10310"/>
    <tableColumn id="10311" xr3:uid="{06C8BBBD-1644-4F67-9748-823FE3219098}" name="Column10311"/>
    <tableColumn id="10312" xr3:uid="{4E5F08CE-465B-46F4-AB95-294A66630DD1}" name="Column10312"/>
    <tableColumn id="10313" xr3:uid="{23E2B615-8CEA-4FE2-9CA7-33C82A4BA3C4}" name="Column10313"/>
    <tableColumn id="10314" xr3:uid="{6F63501F-EBA3-4541-8255-D4DC1C8C19B3}" name="Column10314"/>
    <tableColumn id="10315" xr3:uid="{96DF0E2B-2958-4251-8A92-CECAE2879AA9}" name="Column10315"/>
    <tableColumn id="10316" xr3:uid="{FF4D8064-E55B-4E65-B85D-F3B2C289059E}" name="Column10316"/>
    <tableColumn id="10317" xr3:uid="{7D1DC25C-19A3-4FDF-B5DB-B30578A2F5D7}" name="Column10317"/>
    <tableColumn id="10318" xr3:uid="{698A518F-1157-4135-A7A8-545839ABA2DC}" name="Column10318"/>
    <tableColumn id="10319" xr3:uid="{22E60901-9F3E-48EE-AB87-29DA149F4F3B}" name="Column10319"/>
    <tableColumn id="10320" xr3:uid="{33573845-BDAF-41A3-841C-15F3FDDF75B8}" name="Column10320"/>
    <tableColumn id="10321" xr3:uid="{A5D4E450-FEB4-4C4E-86F0-12209B2D5924}" name="Column10321"/>
    <tableColumn id="10322" xr3:uid="{599BB805-DE29-4FC1-BDA3-97D189201B6F}" name="Column10322"/>
    <tableColumn id="10323" xr3:uid="{D0EFAB9A-AA51-4B87-9B98-6E920AE9430B}" name="Column10323"/>
    <tableColumn id="10324" xr3:uid="{9924D3DE-6FD7-4C60-924F-66BCF5028F09}" name="Column10324"/>
    <tableColumn id="10325" xr3:uid="{B3D16D1F-F224-45A8-9507-AA8E91BBC15B}" name="Column10325"/>
    <tableColumn id="10326" xr3:uid="{C9CE419F-FA21-4648-AF01-0F5BCD9C73FC}" name="Column10326"/>
    <tableColumn id="10327" xr3:uid="{9797A3FC-31E2-47D9-8051-6A126FED1144}" name="Column10327"/>
    <tableColumn id="10328" xr3:uid="{626B6597-461B-4E7C-B36D-DC1BFF2B64A2}" name="Column10328"/>
    <tableColumn id="10329" xr3:uid="{CD4057FD-8AE7-4583-8E39-8E7566ABEEE6}" name="Column10329"/>
    <tableColumn id="10330" xr3:uid="{E6691F50-4802-472F-AAAE-6A13FD43F4E0}" name="Column10330"/>
    <tableColumn id="10331" xr3:uid="{95435414-8D7F-4C32-9922-5645E36FAEAA}" name="Column10331"/>
    <tableColumn id="10332" xr3:uid="{1D0CB30D-C1BF-434D-B9AC-CF293EB4A9B0}" name="Column10332"/>
    <tableColumn id="10333" xr3:uid="{FF59BF93-5182-4EB8-B9A3-FF45F4452FA1}" name="Column10333"/>
    <tableColumn id="10334" xr3:uid="{BAB42656-24D2-4234-9A18-D97C6D77AB92}" name="Column10334"/>
    <tableColumn id="10335" xr3:uid="{68EFEC6A-9476-418C-AE43-5E503A296542}" name="Column10335"/>
    <tableColumn id="10336" xr3:uid="{D270E847-85FF-4BE4-9D84-7B51B0999BA0}" name="Column10336"/>
    <tableColumn id="10337" xr3:uid="{26FE4A62-AB44-4EB2-9DD3-CD392CDEB853}" name="Column10337"/>
    <tableColumn id="10338" xr3:uid="{C9023356-CEA5-4B6E-845A-DE213674E813}" name="Column10338"/>
    <tableColumn id="10339" xr3:uid="{1A3C32E0-0CA0-4B03-825D-D41CC0F1851D}" name="Column10339"/>
    <tableColumn id="10340" xr3:uid="{509193CC-9A6D-4668-BB0A-9ED70E4B7324}" name="Column10340"/>
    <tableColumn id="10341" xr3:uid="{6E921C8F-24A9-4D06-BCB3-E71FEA977032}" name="Column10341"/>
    <tableColumn id="10342" xr3:uid="{4BE5931C-3617-4E25-A0D7-A9DEF3D4D111}" name="Column10342"/>
    <tableColumn id="10343" xr3:uid="{0BD4D765-5CB5-48D9-9952-08EC271E7455}" name="Column10343"/>
    <tableColumn id="10344" xr3:uid="{40490975-E21C-4585-9AB2-873BB12F53F3}" name="Column10344"/>
    <tableColumn id="10345" xr3:uid="{967BA2D4-DFA0-48F9-820B-A9ECD1021AC0}" name="Column10345"/>
    <tableColumn id="10346" xr3:uid="{08322AC3-62E8-49BC-A6C4-2958AEFAA90A}" name="Column10346"/>
    <tableColumn id="10347" xr3:uid="{FCFAE549-59E9-4BAF-BD97-BA9547128A02}" name="Column10347"/>
    <tableColumn id="10348" xr3:uid="{D6FAA6C3-078A-4267-902D-EB63496A1392}" name="Column10348"/>
    <tableColumn id="10349" xr3:uid="{18FDC394-D41C-459F-95AA-47FFE97ED433}" name="Column10349"/>
    <tableColumn id="10350" xr3:uid="{70830592-336E-4FD4-B5D3-A76453E8D3F5}" name="Column10350"/>
    <tableColumn id="10351" xr3:uid="{7F155C4F-2BB3-42CA-9456-2DC7DC30A81F}" name="Column10351"/>
    <tableColumn id="10352" xr3:uid="{6199D07A-763D-4812-8917-042245CBFF29}" name="Column10352"/>
    <tableColumn id="10353" xr3:uid="{74C7D4EA-61B2-4E04-9500-60492F166D87}" name="Column10353"/>
    <tableColumn id="10354" xr3:uid="{CD916F82-CD1C-49A3-A0F7-99533318074A}" name="Column10354"/>
    <tableColumn id="10355" xr3:uid="{90A133E3-AE58-4613-BABC-BFF87AE07714}" name="Column10355"/>
    <tableColumn id="10356" xr3:uid="{FAE665A2-FA4E-4B11-8483-CF3A2E6E73DA}" name="Column10356"/>
    <tableColumn id="10357" xr3:uid="{38DC822F-34BA-43C1-95C6-EBB475D29557}" name="Column10357"/>
    <tableColumn id="10358" xr3:uid="{C924C02F-6BC3-4B6A-BF2A-F2ED78131DB0}" name="Column10358"/>
    <tableColumn id="10359" xr3:uid="{92B84396-39AC-4951-8009-DCEE52BFBCA5}" name="Column10359"/>
    <tableColumn id="10360" xr3:uid="{E334F93E-D24A-4B0B-9EC6-90886A15850F}" name="Column10360"/>
    <tableColumn id="10361" xr3:uid="{9EAFBF9D-213F-4CC3-974C-868423EF4CBF}" name="Column10361"/>
    <tableColumn id="10362" xr3:uid="{BD7DE5F3-ABAD-4C30-8ADB-DE396C984958}" name="Column10362"/>
    <tableColumn id="10363" xr3:uid="{847978FC-A615-4DAE-8BF7-5C0AFC02F3F5}" name="Column10363"/>
    <tableColumn id="10364" xr3:uid="{FD41779C-1288-4F0F-BBE3-9306C82B55CD}" name="Column10364"/>
    <tableColumn id="10365" xr3:uid="{06384293-B589-4541-8488-1FB9DFB32100}" name="Column10365"/>
    <tableColumn id="10366" xr3:uid="{E6DE041E-0ABE-402F-B411-A41790624DBC}" name="Column10366"/>
    <tableColumn id="10367" xr3:uid="{DD25F9E4-339F-403E-8662-ADF3552B701E}" name="Column10367"/>
    <tableColumn id="10368" xr3:uid="{B0FF797E-FF9D-434A-BAB9-27F9D8B89602}" name="Column10368"/>
    <tableColumn id="10369" xr3:uid="{4FDAAFF0-05D1-4608-A76E-F2FA8A1C52F9}" name="Column10369"/>
    <tableColumn id="10370" xr3:uid="{680067C5-8EC2-43F2-B760-8500867C2D30}" name="Column10370"/>
    <tableColumn id="10371" xr3:uid="{8A0D6DDA-379D-48A3-825D-05A29F564526}" name="Column10371"/>
    <tableColumn id="10372" xr3:uid="{02D2CD7C-A7CC-4AC1-B282-65B9457FB077}" name="Column10372"/>
    <tableColumn id="10373" xr3:uid="{52364AB7-CFFD-4487-B183-4C05987E44E5}" name="Column10373"/>
    <tableColumn id="10374" xr3:uid="{F65D23A8-BDE4-4A49-B0E3-3F3F64604B5E}" name="Column10374"/>
    <tableColumn id="10375" xr3:uid="{9C6642BA-B13D-47D0-AF50-32729D699730}" name="Column10375"/>
    <tableColumn id="10376" xr3:uid="{BBF3800D-8A35-4675-ADE2-0ABC76FABC45}" name="Column10376"/>
    <tableColumn id="10377" xr3:uid="{30C0E30F-B1F9-45C7-A77A-EE1D5B23F0DA}" name="Column10377"/>
    <tableColumn id="10378" xr3:uid="{19C648C4-C2F5-4025-8DA9-EBF9DDCBBDEB}" name="Column10378"/>
    <tableColumn id="10379" xr3:uid="{4B044354-EFA6-43FA-ABE6-74985C73D4BB}" name="Column10379"/>
    <tableColumn id="10380" xr3:uid="{9228494A-7412-4E58-9889-2F608AB037FA}" name="Column10380"/>
    <tableColumn id="10381" xr3:uid="{D0C14A8D-C487-4106-92EA-227DE6C9CE04}" name="Column10381"/>
    <tableColumn id="10382" xr3:uid="{50943B01-EC2E-43D5-80D4-61A04307536B}" name="Column10382"/>
    <tableColumn id="10383" xr3:uid="{73E240BB-40AD-4A4C-8A7F-EA8AEDDF52C9}" name="Column10383"/>
    <tableColumn id="10384" xr3:uid="{B6F9D9D0-E476-4054-86B8-F3095D1996CC}" name="Column10384"/>
    <tableColumn id="10385" xr3:uid="{E48EDC64-7EC3-4EDE-9DCA-BC0EDA7A4D3C}" name="Column10385"/>
    <tableColumn id="10386" xr3:uid="{7D5E5E34-86FE-47FF-BABF-531B4885FD2D}" name="Column10386"/>
    <tableColumn id="10387" xr3:uid="{861F1384-F356-4EC9-B264-39CC8177F6F2}" name="Column10387"/>
    <tableColumn id="10388" xr3:uid="{11632A90-018E-45AC-B917-29B858C117E4}" name="Column10388"/>
    <tableColumn id="10389" xr3:uid="{37093D8D-ECE4-4D4E-934D-CD7568522766}" name="Column10389"/>
    <tableColumn id="10390" xr3:uid="{173DE4DF-F853-410C-9289-C5AB8A403FC2}" name="Column10390"/>
    <tableColumn id="10391" xr3:uid="{AEE8671E-8063-4FC6-942C-AF53ECC6E331}" name="Column10391"/>
    <tableColumn id="10392" xr3:uid="{DCF81C12-47E2-44B3-BC44-9EA251AA4220}" name="Column10392"/>
    <tableColumn id="10393" xr3:uid="{39ADD40D-243A-4163-A10F-44E231092596}" name="Column10393"/>
    <tableColumn id="10394" xr3:uid="{962A0CF7-140C-425A-B140-A3B402BBD407}" name="Column10394"/>
    <tableColumn id="10395" xr3:uid="{21F4A9A7-F38A-4315-912F-0D2699DB356C}" name="Column10395"/>
    <tableColumn id="10396" xr3:uid="{9BA16B92-9D48-4F6C-B890-4EA662CA3D81}" name="Column10396"/>
    <tableColumn id="10397" xr3:uid="{EB8E6B04-B000-4AC9-9C22-DF5EF42D3585}" name="Column10397"/>
    <tableColumn id="10398" xr3:uid="{96E38420-7BB6-4172-8693-E0857E41AF62}" name="Column10398"/>
    <tableColumn id="10399" xr3:uid="{CF3722F1-2D78-4C78-98EB-C98CBE42DC7B}" name="Column10399"/>
    <tableColumn id="10400" xr3:uid="{11393443-A761-476B-82A0-E8D98DBDE1A7}" name="Column10400"/>
    <tableColumn id="10401" xr3:uid="{10D16EA9-A07B-480A-A1EB-118523DE55DA}" name="Column10401"/>
    <tableColumn id="10402" xr3:uid="{D0FF115C-C655-45A9-8EF5-3269F6A80161}" name="Column10402"/>
    <tableColumn id="10403" xr3:uid="{FA890ABC-C409-4BC7-8F1A-16A33213EB4A}" name="Column10403"/>
    <tableColumn id="10404" xr3:uid="{778D53F7-6721-4269-A2A0-D8A68309B796}" name="Column10404"/>
    <tableColumn id="10405" xr3:uid="{538E6047-88AF-4E95-AF3D-73A6460DF5AB}" name="Column10405"/>
    <tableColumn id="10406" xr3:uid="{D9E703F7-A3E3-45DE-B79B-F275F8EFAFE6}" name="Column10406"/>
    <tableColumn id="10407" xr3:uid="{518756A2-4AAC-420F-AEB0-D03A71283E91}" name="Column10407"/>
    <tableColumn id="10408" xr3:uid="{F33D37DF-B0AC-4F74-9F7C-BF6527416F83}" name="Column10408"/>
    <tableColumn id="10409" xr3:uid="{4448ECAE-ABB8-4769-B4C3-D70797C39158}" name="Column10409"/>
    <tableColumn id="10410" xr3:uid="{87AE5EE5-1055-42AF-A52F-FE5414B2889F}" name="Column10410"/>
    <tableColumn id="10411" xr3:uid="{722D6CCF-3AFE-4532-A32B-496280DAA1A3}" name="Column10411"/>
    <tableColumn id="10412" xr3:uid="{22AF84B0-6A50-4EEB-A66C-59C80427E0F1}" name="Column10412"/>
    <tableColumn id="10413" xr3:uid="{EB712E37-2561-4923-8902-DCB9353C610E}" name="Column10413"/>
    <tableColumn id="10414" xr3:uid="{F69FBD36-E6EC-41A7-A3F2-838CD93FC6D6}" name="Column10414"/>
    <tableColumn id="10415" xr3:uid="{A6ECF9B4-58A0-4AF1-A0F2-F569BB5F1530}" name="Column10415"/>
    <tableColumn id="10416" xr3:uid="{8D0A91C1-D605-471D-837B-CF14670370D4}" name="Column10416"/>
    <tableColumn id="10417" xr3:uid="{AC6168E9-3815-4023-B3B4-D473CAF297A1}" name="Column10417"/>
    <tableColumn id="10418" xr3:uid="{CBA0A4B9-6AB1-4947-910C-85BEE963E292}" name="Column10418"/>
    <tableColumn id="10419" xr3:uid="{9589910C-C250-44FF-B757-4EA05D7A4F74}" name="Column10419"/>
    <tableColumn id="10420" xr3:uid="{B26C588B-88B8-44AE-BC58-B0FEE726B459}" name="Column10420"/>
    <tableColumn id="10421" xr3:uid="{1F1C17F3-454D-4C99-976B-93D740D0D61A}" name="Column10421"/>
    <tableColumn id="10422" xr3:uid="{BE901963-6AC1-4EEC-BEC7-5335DDDA3B89}" name="Column10422"/>
    <tableColumn id="10423" xr3:uid="{C85A4DF6-F3C4-485B-BCD0-F386365D3183}" name="Column10423"/>
    <tableColumn id="10424" xr3:uid="{2582F166-CAAF-42C7-83A9-A974A37EB0BA}" name="Column10424"/>
    <tableColumn id="10425" xr3:uid="{7E55B9A0-CF0C-470C-9096-E9EC5355A568}" name="Column10425"/>
    <tableColumn id="10426" xr3:uid="{69BE0A5F-614E-4DCD-ADAE-61A7EE217D5A}" name="Column10426"/>
    <tableColumn id="10427" xr3:uid="{8BE76527-F443-485F-AE45-FAACA02520EC}" name="Column10427"/>
    <tableColumn id="10428" xr3:uid="{AB763753-DD58-49B6-84A9-25EA13947A10}" name="Column10428"/>
    <tableColumn id="10429" xr3:uid="{B7FDC3B4-6E16-491C-8408-40A7D8BE0265}" name="Column10429"/>
    <tableColumn id="10430" xr3:uid="{F6455F79-C693-4B95-A1AC-53EA2293681A}" name="Column10430"/>
    <tableColumn id="10431" xr3:uid="{F2A2C8EB-0457-4044-9685-AEEF167D04F6}" name="Column10431"/>
    <tableColumn id="10432" xr3:uid="{E9534A53-324A-485F-874E-372084775CCD}" name="Column10432"/>
    <tableColumn id="10433" xr3:uid="{04489517-AEC8-44F4-8E81-4DF9E2F41B61}" name="Column10433"/>
    <tableColumn id="10434" xr3:uid="{53DDAED2-7817-439C-A200-DF401DBC2213}" name="Column10434"/>
    <tableColumn id="10435" xr3:uid="{0CEEEC55-4C92-4DD6-8231-170A6112C91B}" name="Column10435"/>
    <tableColumn id="10436" xr3:uid="{527F7906-8A28-4AFA-9D94-E0C9D8537920}" name="Column10436"/>
    <tableColumn id="10437" xr3:uid="{D2159B26-5B0F-475D-9447-D89C12A4DA3A}" name="Column10437"/>
    <tableColumn id="10438" xr3:uid="{74388593-8472-4F50-A785-E1D5900C6D21}" name="Column10438"/>
    <tableColumn id="10439" xr3:uid="{98CA650B-7793-494E-82F9-F292ADD8B601}" name="Column10439"/>
    <tableColumn id="10440" xr3:uid="{62FCE7CF-009B-4788-B3C8-5199171DE3F2}" name="Column10440"/>
    <tableColumn id="10441" xr3:uid="{90F0EC8E-359C-431F-9881-18961D6A1C80}" name="Column10441"/>
    <tableColumn id="10442" xr3:uid="{5770186C-1410-4877-A89C-B153404A8F9A}" name="Column10442"/>
    <tableColumn id="10443" xr3:uid="{20D4D9B2-020B-4177-B274-F3CC0E11FCBE}" name="Column10443"/>
    <tableColumn id="10444" xr3:uid="{8F42B520-D4E1-46B4-AA50-9EDF0242E924}" name="Column10444"/>
    <tableColumn id="10445" xr3:uid="{391B3868-0B67-411E-BCA9-A1A3545A1A76}" name="Column10445"/>
    <tableColumn id="10446" xr3:uid="{FDB1C515-79E5-4355-A591-4A8B3B101AAB}" name="Column10446"/>
    <tableColumn id="10447" xr3:uid="{563B2F2D-C19C-4272-8552-CCC4D383C8BE}" name="Column10447"/>
    <tableColumn id="10448" xr3:uid="{821104AD-518C-46F8-9A44-E0AD5A9EB358}" name="Column10448"/>
    <tableColumn id="10449" xr3:uid="{6A4B0EB7-D6F2-4546-9E12-90AE9087DF08}" name="Column10449"/>
    <tableColumn id="10450" xr3:uid="{DECC1F48-2728-4C74-8592-38A35211F498}" name="Column10450"/>
    <tableColumn id="10451" xr3:uid="{CA18D777-7061-42F5-ABB4-06CD0A6DC6F3}" name="Column10451"/>
    <tableColumn id="10452" xr3:uid="{9E0C520A-37D4-4622-A26A-631AA7EDE282}" name="Column10452"/>
    <tableColumn id="10453" xr3:uid="{05452F8B-88E5-43F1-A325-B93CC2B83013}" name="Column10453"/>
    <tableColumn id="10454" xr3:uid="{192B762A-E981-4AE6-9AE1-0559DAD7A4E5}" name="Column10454"/>
    <tableColumn id="10455" xr3:uid="{34CDB7CF-75DE-4B96-9EF1-A89149AFB0E0}" name="Column10455"/>
    <tableColumn id="10456" xr3:uid="{64D56AA3-D920-4318-A17E-41EB872F075C}" name="Column10456"/>
    <tableColumn id="10457" xr3:uid="{177FD9B9-8A48-422C-A796-272E17430729}" name="Column10457"/>
    <tableColumn id="10458" xr3:uid="{B1AC5E73-4BBE-497C-9CF0-17CA1201B21A}" name="Column10458"/>
    <tableColumn id="10459" xr3:uid="{F29C94E7-3EC8-4DFD-A75D-2CD60EC574D3}" name="Column10459"/>
    <tableColumn id="10460" xr3:uid="{07122D8D-9597-40E7-B1C0-7D713BC5955A}" name="Column10460"/>
    <tableColumn id="10461" xr3:uid="{9D58FD02-AFEC-4409-845E-F5273898829E}" name="Column10461"/>
    <tableColumn id="10462" xr3:uid="{0AC0932C-FAF8-4185-BFEE-99362DBD213D}" name="Column10462"/>
    <tableColumn id="10463" xr3:uid="{9A1FAB3F-1676-426B-862A-27712B4991D7}" name="Column10463"/>
    <tableColumn id="10464" xr3:uid="{C9C7B275-C154-48C6-844D-0956DD01F2C3}" name="Column10464"/>
    <tableColumn id="10465" xr3:uid="{4CFA00C2-1E3C-41E2-BE64-6DEA771FCFA7}" name="Column10465"/>
    <tableColumn id="10466" xr3:uid="{401E9BB7-5862-4792-B0B1-5612EFCE0B70}" name="Column10466"/>
    <tableColumn id="10467" xr3:uid="{8B179A70-FE2B-4817-A9BF-59CE5139CBBE}" name="Column10467"/>
    <tableColumn id="10468" xr3:uid="{C9E9D86C-9F00-4109-ACC3-BE93E0B19BC2}" name="Column10468"/>
    <tableColumn id="10469" xr3:uid="{05CA9629-8C09-4A26-9E7F-4FDCCF330CB4}" name="Column10469"/>
    <tableColumn id="10470" xr3:uid="{468301E0-C69B-4CFB-818E-16295877B39A}" name="Column10470"/>
    <tableColumn id="10471" xr3:uid="{0A47BA6A-B118-4B21-B5B6-E51E606EAEAB}" name="Column10471"/>
    <tableColumn id="10472" xr3:uid="{DFF3D0D5-0942-44B4-ACC2-F326AEF7F9E1}" name="Column10472"/>
    <tableColumn id="10473" xr3:uid="{66EABA5D-7EDF-4C15-9B53-083B0CEBC820}" name="Column10473"/>
    <tableColumn id="10474" xr3:uid="{D5ADDF4E-984E-4381-BF84-6514C693E14C}" name="Column10474"/>
    <tableColumn id="10475" xr3:uid="{6E6EA27D-666C-4685-9416-2EB94B777BE4}" name="Column10475"/>
    <tableColumn id="10476" xr3:uid="{985EC0C6-7649-458E-9824-A2C8278E75A4}" name="Column10476"/>
    <tableColumn id="10477" xr3:uid="{6AF6AE18-551D-425E-8778-BE9DECA672B5}" name="Column10477"/>
    <tableColumn id="10478" xr3:uid="{48896AA4-9B56-427A-9631-C24E1540F71D}" name="Column10478"/>
    <tableColumn id="10479" xr3:uid="{E7DD0EA1-5F7E-458C-B566-63A99C2BA0C2}" name="Column10479"/>
    <tableColumn id="10480" xr3:uid="{6261A092-745C-41FA-84BF-0E7FC1545498}" name="Column10480"/>
    <tableColumn id="10481" xr3:uid="{396B73E2-5ED2-4309-9424-9C57EE45316F}" name="Column10481"/>
    <tableColumn id="10482" xr3:uid="{D8A1072C-AF50-4D97-B84C-E5ECB4E00441}" name="Column10482"/>
    <tableColumn id="10483" xr3:uid="{711A13F3-A9FA-4DBE-8219-6F5AAA8B5F97}" name="Column10483"/>
    <tableColumn id="10484" xr3:uid="{7228FE27-F5C3-452C-BDDA-E07C1C9BEBBB}" name="Column10484"/>
    <tableColumn id="10485" xr3:uid="{6E22B492-0EF5-49D6-8C39-D17ED8CFCEA7}" name="Column10485"/>
    <tableColumn id="10486" xr3:uid="{FF73D35A-CA37-4ECF-9993-E1A7D184E39C}" name="Column10486"/>
    <tableColumn id="10487" xr3:uid="{A4B8D517-4263-45A6-82A5-E661B42AD075}" name="Column10487"/>
    <tableColumn id="10488" xr3:uid="{EE6D5EDB-D1FA-4043-BFB3-382C83EC3824}" name="Column10488"/>
    <tableColumn id="10489" xr3:uid="{04E9EA1F-2676-4C27-84CC-22708EE9DBE4}" name="Column10489"/>
    <tableColumn id="10490" xr3:uid="{19D53DAA-09C5-4064-AF35-4532266C339B}" name="Column10490"/>
    <tableColumn id="10491" xr3:uid="{B967C32A-F44E-4684-B494-2641187FA3CB}" name="Column10491"/>
    <tableColumn id="10492" xr3:uid="{FB5BD85B-E1D7-45E1-AAF2-7DE1F3B5DD69}" name="Column10492"/>
    <tableColumn id="10493" xr3:uid="{2252DAF6-5DB0-41FB-8DCE-3A9EC2C8A360}" name="Column10493"/>
    <tableColumn id="10494" xr3:uid="{5A68B3CC-E8F0-41C2-8062-D76DBBEE2534}" name="Column10494"/>
    <tableColumn id="10495" xr3:uid="{E37610F3-94F7-4272-8FB7-4D295F213846}" name="Column10495"/>
    <tableColumn id="10496" xr3:uid="{34F555BB-3263-4273-9B8F-A8E805F31DD6}" name="Column10496"/>
    <tableColumn id="10497" xr3:uid="{E3BB5FCB-DD74-4C81-8B51-F63B522D5028}" name="Column10497"/>
    <tableColumn id="10498" xr3:uid="{89A163E2-F614-4808-B36A-7D8E40AC7B07}" name="Column10498"/>
    <tableColumn id="10499" xr3:uid="{272E7673-211B-427E-BF4F-1C1884FBB3A2}" name="Column10499"/>
    <tableColumn id="10500" xr3:uid="{DC4107F2-22D3-4FA2-92D6-6524A2E5128E}" name="Column10500"/>
    <tableColumn id="10501" xr3:uid="{7DDA1F2B-FB8C-49F3-9C01-431427E88107}" name="Column10501"/>
    <tableColumn id="10502" xr3:uid="{F0BEE1FA-4A52-4CD8-A073-A4D2BFBFBDBB}" name="Column10502"/>
    <tableColumn id="10503" xr3:uid="{AE1438FE-FF9B-43B9-B4A8-0B6EE1B9C975}" name="Column10503"/>
    <tableColumn id="10504" xr3:uid="{EE017C68-8F9B-4F95-84B8-0FF3D6C2DAFF}" name="Column10504"/>
    <tableColumn id="10505" xr3:uid="{035DFEAF-A353-4D7F-8E44-787A55439B18}" name="Column10505"/>
    <tableColumn id="10506" xr3:uid="{091F3375-CF9A-4DB3-A3D2-CD4CA0CC22C4}" name="Column10506"/>
    <tableColumn id="10507" xr3:uid="{EFE0D5F2-F10D-46FA-BE26-98F6AE447BCE}" name="Column10507"/>
    <tableColumn id="10508" xr3:uid="{324F90AD-77E8-47BB-9D44-E1695712CBC0}" name="Column10508"/>
    <tableColumn id="10509" xr3:uid="{79000FD4-6046-4FA8-806D-1BC7C8FE8035}" name="Column10509"/>
    <tableColumn id="10510" xr3:uid="{5B6F1EB9-0525-43B9-BF19-B1CC260B49F0}" name="Column10510"/>
    <tableColumn id="10511" xr3:uid="{114AB7B6-7CC3-4EE6-980E-D5886B0813B4}" name="Column10511"/>
    <tableColumn id="10512" xr3:uid="{DEF844F8-7958-430B-8DA1-628EA654ABDA}" name="Column10512"/>
    <tableColumn id="10513" xr3:uid="{D0C2812C-3E20-46D7-B861-E705F97B8468}" name="Column10513"/>
    <tableColumn id="10514" xr3:uid="{5C9659A2-6F67-42F5-8A7F-4A29F6238BE9}" name="Column10514"/>
    <tableColumn id="10515" xr3:uid="{4EA488E4-87B1-4C64-AAF6-C4F931469B34}" name="Column10515"/>
    <tableColumn id="10516" xr3:uid="{8B85577E-F6A5-437C-ABDD-2F81189A1D2B}" name="Column10516"/>
    <tableColumn id="10517" xr3:uid="{DCDAE76D-B6D3-4B77-AE09-6994AF350283}" name="Column10517"/>
    <tableColumn id="10518" xr3:uid="{D0293D14-2D65-4C74-8E6B-555FF7A67D04}" name="Column10518"/>
    <tableColumn id="10519" xr3:uid="{62F69FE1-7AF5-48B3-9493-3422D34D942D}" name="Column10519"/>
    <tableColumn id="10520" xr3:uid="{66F13D10-866C-464F-86B7-F067410B48FB}" name="Column10520"/>
    <tableColumn id="10521" xr3:uid="{904F8235-8E08-4463-A33A-6C6E696A13CF}" name="Column10521"/>
    <tableColumn id="10522" xr3:uid="{CCB5587E-18C9-4799-9754-432AF97EC7F4}" name="Column10522"/>
    <tableColumn id="10523" xr3:uid="{609C06C3-5315-4530-A9C3-6C0E59D35D21}" name="Column10523"/>
    <tableColumn id="10524" xr3:uid="{B581FED9-72AE-4A81-89C3-FA687831E5AF}" name="Column10524"/>
    <tableColumn id="10525" xr3:uid="{90901685-7F3B-4D6F-86E4-CAB2A3607B94}" name="Column10525"/>
    <tableColumn id="10526" xr3:uid="{74537111-D890-4167-9014-03D6E652C434}" name="Column10526"/>
    <tableColumn id="10527" xr3:uid="{37414875-AF93-44CC-B6B3-BEFE81FAEFBE}" name="Column10527"/>
    <tableColumn id="10528" xr3:uid="{382FD94D-6790-4EBA-9C21-8AF7184685E1}" name="Column10528"/>
    <tableColumn id="10529" xr3:uid="{D6DB8D42-E6D3-47EE-BE6B-F5BF61C7F493}" name="Column10529"/>
    <tableColumn id="10530" xr3:uid="{A2F22FD1-5A51-43CD-B8D0-05E8AA9B899B}" name="Column10530"/>
    <tableColumn id="10531" xr3:uid="{9CD2E15C-80B4-4F8F-B930-512B6E81661B}" name="Column10531"/>
    <tableColumn id="10532" xr3:uid="{82FECB30-F336-4F52-BB72-2D11EBAE1743}" name="Column10532"/>
    <tableColumn id="10533" xr3:uid="{6F8BE228-3138-4697-AA51-43B4354E8747}" name="Column10533"/>
    <tableColumn id="10534" xr3:uid="{6768C024-2755-4530-83F7-C698339D1A5E}" name="Column10534"/>
    <tableColumn id="10535" xr3:uid="{333B4E0D-81DE-4682-A32F-0C2052A0FEC2}" name="Column10535"/>
    <tableColumn id="10536" xr3:uid="{9CD35600-ADBD-4589-9C46-93ACBF4B71CB}" name="Column10536"/>
    <tableColumn id="10537" xr3:uid="{D3618DE3-521B-43CF-BA57-26AF8EDC0A6C}" name="Column10537"/>
    <tableColumn id="10538" xr3:uid="{18346FE4-F259-4DEB-8E22-026C11FD58E9}" name="Column10538"/>
    <tableColumn id="10539" xr3:uid="{48811482-CE69-4D4F-823D-98CE9A11447D}" name="Column10539"/>
    <tableColumn id="10540" xr3:uid="{0F4143A6-DEF2-40B0-A9AB-2B0EC5D17FD0}" name="Column10540"/>
    <tableColumn id="10541" xr3:uid="{40297F66-7B60-46E5-9094-21A8A94BDB3C}" name="Column10541"/>
    <tableColumn id="10542" xr3:uid="{98351942-1C7E-49FA-ACD1-820673E5C89A}" name="Column10542"/>
    <tableColumn id="10543" xr3:uid="{16ED8DD2-7E8F-487A-9804-4415C32645F2}" name="Column10543"/>
    <tableColumn id="10544" xr3:uid="{E2045383-5E8C-4C53-A75F-3AB86D8C638C}" name="Column10544"/>
    <tableColumn id="10545" xr3:uid="{7772C69D-689B-41CB-A414-892A22AEDD04}" name="Column10545"/>
    <tableColumn id="10546" xr3:uid="{233FB644-E87D-41C3-82E9-29E8A8D451FE}" name="Column10546"/>
    <tableColumn id="10547" xr3:uid="{5B4533EA-0CA2-422C-A8DB-0615E4D5D899}" name="Column10547"/>
    <tableColumn id="10548" xr3:uid="{1E92EB3E-5556-452B-9CAB-EB02AACEFEDB}" name="Column10548"/>
    <tableColumn id="10549" xr3:uid="{1EF13D77-B462-44D3-8946-3F0A3CD73F59}" name="Column10549"/>
    <tableColumn id="10550" xr3:uid="{4B0E4E8D-C6E5-4273-8E37-019713481217}" name="Column10550"/>
    <tableColumn id="10551" xr3:uid="{B0B95649-7C4D-4D2F-B72A-E9340B176166}" name="Column10551"/>
    <tableColumn id="10552" xr3:uid="{8322B2E4-B6E5-4821-B939-8F1E05F549E1}" name="Column10552"/>
    <tableColumn id="10553" xr3:uid="{454317ED-51AB-46EC-87C3-8747E39D0CB9}" name="Column10553"/>
    <tableColumn id="10554" xr3:uid="{7F27B8AD-85C1-464A-8431-E4476308A371}" name="Column10554"/>
    <tableColumn id="10555" xr3:uid="{4537BEB8-4F29-4D06-86F6-65C3D267F9D9}" name="Column10555"/>
    <tableColumn id="10556" xr3:uid="{F2671F4B-70E3-4A0E-83EA-16E9308E278F}" name="Column10556"/>
    <tableColumn id="10557" xr3:uid="{EE867591-176E-48EE-B879-C9F90956D0E5}" name="Column10557"/>
    <tableColumn id="10558" xr3:uid="{BE1A5843-6D61-4EE1-8ADA-CF5147307844}" name="Column10558"/>
    <tableColumn id="10559" xr3:uid="{EB116673-1773-48A3-8A9B-1B951F2A3152}" name="Column10559"/>
    <tableColumn id="10560" xr3:uid="{BA8050F0-1178-4E49-B12C-47A9ECEE1E37}" name="Column10560"/>
    <tableColumn id="10561" xr3:uid="{8F25E715-A45F-4941-B9C6-45DAE4993ADD}" name="Column10561"/>
    <tableColumn id="10562" xr3:uid="{D1D623E7-0166-4804-8E43-5B2347E3D1D6}" name="Column10562"/>
    <tableColumn id="10563" xr3:uid="{76D4BDFE-0134-4800-8EEF-BCD6E3486B93}" name="Column10563"/>
    <tableColumn id="10564" xr3:uid="{22F86C24-5A95-4523-AACD-70A218AD5951}" name="Column10564"/>
    <tableColumn id="10565" xr3:uid="{8C86C709-E37D-490A-A22D-F24C855332B7}" name="Column10565"/>
    <tableColumn id="10566" xr3:uid="{239496B1-E041-45E7-90D2-0EC51D6D5C16}" name="Column10566"/>
    <tableColumn id="10567" xr3:uid="{C42FD246-10F9-4FC2-AA75-1AED5CC29B0A}" name="Column10567"/>
    <tableColumn id="10568" xr3:uid="{D2CCAC07-AFA5-4639-9431-8378C8382357}" name="Column10568"/>
    <tableColumn id="10569" xr3:uid="{9578A0AE-0B61-4B33-A63C-DAC366B3D3C4}" name="Column10569"/>
    <tableColumn id="10570" xr3:uid="{5D561248-BF51-46A9-A358-DE57A0ADF172}" name="Column10570"/>
    <tableColumn id="10571" xr3:uid="{297133D7-964E-4CEA-8905-3A44CBF33EF1}" name="Column10571"/>
    <tableColumn id="10572" xr3:uid="{88B0B9C0-2799-491E-8A43-5AC4C94D2175}" name="Column10572"/>
    <tableColumn id="10573" xr3:uid="{F802C8FB-1B78-49AA-9A9D-F6156184FFD3}" name="Column10573"/>
    <tableColumn id="10574" xr3:uid="{92C186AB-0353-4DEB-9F52-A9EDE99000EB}" name="Column10574"/>
    <tableColumn id="10575" xr3:uid="{8A274E51-57C9-40F3-AC3B-CDBFD734962C}" name="Column10575"/>
    <tableColumn id="10576" xr3:uid="{E6CFDAFC-B490-4026-9CD4-F0D41168EB51}" name="Column10576"/>
    <tableColumn id="10577" xr3:uid="{DE291EE0-D4BC-46A5-9D55-7CE6A570BE0C}" name="Column10577"/>
    <tableColumn id="10578" xr3:uid="{C166A4E9-CE05-4BDC-A431-723AE94111A1}" name="Column10578"/>
    <tableColumn id="10579" xr3:uid="{D38D9F66-DD60-401D-845F-465AC97A948E}" name="Column10579"/>
    <tableColumn id="10580" xr3:uid="{F7B87930-76A1-4B16-8696-D8AC10CD66B4}" name="Column10580"/>
    <tableColumn id="10581" xr3:uid="{D3624399-6BA5-4D5C-BF95-9E8346AD540F}" name="Column10581"/>
    <tableColumn id="10582" xr3:uid="{2AC3D8CA-1B24-4D5A-9473-6CDC392FABBC}" name="Column10582"/>
    <tableColumn id="10583" xr3:uid="{42F83041-F71A-4DD7-9546-DC1CA8BEF229}" name="Column10583"/>
    <tableColumn id="10584" xr3:uid="{B99C69CC-2230-49D0-935C-24822C727674}" name="Column10584"/>
    <tableColumn id="10585" xr3:uid="{5CC28799-EC6B-4CBC-AD82-52FEDFC317B8}" name="Column10585"/>
    <tableColumn id="10586" xr3:uid="{8B5E3700-510B-479B-ACD7-55FF830840FF}" name="Column10586"/>
    <tableColumn id="10587" xr3:uid="{B25DAB49-BA6A-48FD-B94C-37F0214CED26}" name="Column10587"/>
    <tableColumn id="10588" xr3:uid="{87982DFD-8057-404B-A64B-F269465C8BB4}" name="Column10588"/>
    <tableColumn id="10589" xr3:uid="{72315595-42E5-48D1-B921-E89EEFECADFF}" name="Column10589"/>
    <tableColumn id="10590" xr3:uid="{C5E848D1-ADB4-49AF-A9A5-14EA1CC4E476}" name="Column10590"/>
    <tableColumn id="10591" xr3:uid="{665B9FD6-4F17-49B8-86F1-9A034DF0FD90}" name="Column10591"/>
    <tableColumn id="10592" xr3:uid="{D32AAF26-18B8-47F5-B5AE-A6B78D570FEA}" name="Column10592"/>
    <tableColumn id="10593" xr3:uid="{0F33FD3B-46B6-4B25-83A7-775F006B5525}" name="Column10593"/>
    <tableColumn id="10594" xr3:uid="{526DE1EC-AD50-437F-9814-E738F0AF0313}" name="Column10594"/>
    <tableColumn id="10595" xr3:uid="{EC428EBE-6383-45EE-BDFC-EF0163A49175}" name="Column10595"/>
    <tableColumn id="10596" xr3:uid="{DA0D383A-CA1D-4181-A732-B03B819193E3}" name="Column10596"/>
    <tableColumn id="10597" xr3:uid="{AFE84848-8C16-4CED-8B48-F0227638F2D6}" name="Column10597"/>
    <tableColumn id="10598" xr3:uid="{260AEEAB-AF99-44D7-83D7-81C197799270}" name="Column10598"/>
    <tableColumn id="10599" xr3:uid="{D6DA954B-085A-4E09-BB3A-B57F67C8B48B}" name="Column10599"/>
    <tableColumn id="10600" xr3:uid="{1D60DBC7-1184-4C3E-AC80-6169ACEC9951}" name="Column10600"/>
    <tableColumn id="10601" xr3:uid="{03CFAA30-28BC-4FB4-B632-3F089C82A762}" name="Column10601"/>
    <tableColumn id="10602" xr3:uid="{044E80A0-566C-4178-9FA3-324832FF3791}" name="Column10602"/>
    <tableColumn id="10603" xr3:uid="{6974530E-3F89-44D3-80A3-72BAE8BB172C}" name="Column10603"/>
    <tableColumn id="10604" xr3:uid="{3680A7DE-F524-4B04-900B-8211F2D5D530}" name="Column10604"/>
    <tableColumn id="10605" xr3:uid="{75A5B988-ACE8-4016-BD2B-2C43FCBAE8E8}" name="Column10605"/>
    <tableColumn id="10606" xr3:uid="{D8A1FFB0-63A2-40DA-BB74-C54A1ECC6341}" name="Column10606"/>
    <tableColumn id="10607" xr3:uid="{5D59596F-A873-43D6-80A5-253E13921929}" name="Column10607"/>
    <tableColumn id="10608" xr3:uid="{D046D35A-4BA3-4C7A-A347-107B69A93560}" name="Column10608"/>
    <tableColumn id="10609" xr3:uid="{5E46F1E9-9198-47BB-AA15-9218F06D8586}" name="Column10609"/>
    <tableColumn id="10610" xr3:uid="{D504D886-9710-4010-B47D-0AB1F3C4098D}" name="Column10610"/>
    <tableColumn id="10611" xr3:uid="{9070B465-403C-45DB-BA6F-15A9C65F6C35}" name="Column10611"/>
    <tableColumn id="10612" xr3:uid="{F69EDA3E-1933-4820-88B0-90B98E314789}" name="Column10612"/>
    <tableColumn id="10613" xr3:uid="{6F52EC83-AF44-48B3-AAA8-68E8DB95F598}" name="Column10613"/>
    <tableColumn id="10614" xr3:uid="{5AE78064-3A9A-46FB-A3B8-D37155FA937C}" name="Column10614"/>
    <tableColumn id="10615" xr3:uid="{1309EA05-433C-4969-83D4-4F0C86D6157C}" name="Column10615"/>
    <tableColumn id="10616" xr3:uid="{87A0AC54-F68C-410D-92C0-EC9CB0206B4F}" name="Column10616"/>
    <tableColumn id="10617" xr3:uid="{E2E4E9F6-21D6-4DF7-B79D-7051A2F0C0F0}" name="Column10617"/>
    <tableColumn id="10618" xr3:uid="{5BF78F97-B175-4E9B-BF89-D327F974F4CF}" name="Column10618"/>
    <tableColumn id="10619" xr3:uid="{5617DCE9-C563-4A05-9A93-077CABF79D4F}" name="Column10619"/>
    <tableColumn id="10620" xr3:uid="{E171F926-3DE6-4AB2-98F4-9CD2E10A47D2}" name="Column10620"/>
    <tableColumn id="10621" xr3:uid="{99D9B7DB-3A92-4352-A1E2-AFEFCB933604}" name="Column10621"/>
    <tableColumn id="10622" xr3:uid="{6154FB28-6301-4CEE-B88D-74FA9BFF77B4}" name="Column10622"/>
    <tableColumn id="10623" xr3:uid="{FF7CDBD8-948B-4990-B983-570080631226}" name="Column10623"/>
    <tableColumn id="10624" xr3:uid="{C2BAEE89-E1ED-4AF3-904E-C9FC962DA1E3}" name="Column10624"/>
    <tableColumn id="10625" xr3:uid="{43E232AB-A57A-4E4B-89E8-72E68B33734B}" name="Column10625"/>
    <tableColumn id="10626" xr3:uid="{1F72B248-B39C-45F9-83B3-D25CA88274E6}" name="Column10626"/>
    <tableColumn id="10627" xr3:uid="{F4ADF899-E2F5-47E1-B21E-1A8D60A4A41C}" name="Column10627"/>
    <tableColumn id="10628" xr3:uid="{58F08E04-806F-45AF-B6BD-E8AABA48C955}" name="Column10628"/>
    <tableColumn id="10629" xr3:uid="{317842C1-0ABD-4B3A-9162-8E5275067134}" name="Column10629"/>
    <tableColumn id="10630" xr3:uid="{AF54016D-B974-4D15-AADD-31B9B5445563}" name="Column10630"/>
    <tableColumn id="10631" xr3:uid="{6CFE38E4-9467-499B-A701-9E161A13B6E8}" name="Column10631"/>
    <tableColumn id="10632" xr3:uid="{06A57A5C-7FB1-4363-8155-F67188FC8AFE}" name="Column10632"/>
    <tableColumn id="10633" xr3:uid="{E6DDC88B-69DA-4511-B493-4C6F03F09595}" name="Column10633"/>
    <tableColumn id="10634" xr3:uid="{9A490AD6-CA24-4C13-8470-0D6B23425F3E}" name="Column10634"/>
    <tableColumn id="10635" xr3:uid="{E64BBC54-30B3-4EC7-91C0-D4707797C5D1}" name="Column10635"/>
    <tableColumn id="10636" xr3:uid="{B85A8CB9-6579-4B99-9441-73F931A407F1}" name="Column10636"/>
    <tableColumn id="10637" xr3:uid="{EF1DF7D4-5217-400F-B64A-B403B0DFB208}" name="Column10637"/>
    <tableColumn id="10638" xr3:uid="{B1983230-4C24-42F7-8B8B-6664D616BA0F}" name="Column10638"/>
    <tableColumn id="10639" xr3:uid="{57E54AC2-F74E-41BF-8195-4C0C41734D60}" name="Column10639"/>
    <tableColumn id="10640" xr3:uid="{2026553F-0783-40C3-AA87-393CFE2E0BC4}" name="Column10640"/>
    <tableColumn id="10641" xr3:uid="{D8561899-2259-413A-9B22-235847BCD594}" name="Column10641"/>
    <tableColumn id="10642" xr3:uid="{38DE9A24-9D4D-4CDE-A857-DA2F76E5ED13}" name="Column10642"/>
    <tableColumn id="10643" xr3:uid="{DEF07A3C-4117-4765-A9A7-BAE5AC878BD0}" name="Column10643"/>
    <tableColumn id="10644" xr3:uid="{CE21A8E4-B44C-4987-A866-94CF0F9E76D1}" name="Column10644"/>
    <tableColumn id="10645" xr3:uid="{0AB2C0F7-F8B0-470B-B0C5-75BCE68588A5}" name="Column10645"/>
    <tableColumn id="10646" xr3:uid="{479D391E-09C4-4B40-B1B1-CBE777FBA6E6}" name="Column10646"/>
    <tableColumn id="10647" xr3:uid="{EB62246D-2B96-45AF-9634-4AC899268CD3}" name="Column10647"/>
    <tableColumn id="10648" xr3:uid="{5F0C9C62-0865-4FCE-8C45-8E78DF3A4AB1}" name="Column10648"/>
    <tableColumn id="10649" xr3:uid="{CF92A493-18C0-443F-A93A-5D1733CF18CD}" name="Column10649"/>
    <tableColumn id="10650" xr3:uid="{904B135B-E344-4949-A7B1-51E6117AD497}" name="Column10650"/>
    <tableColumn id="10651" xr3:uid="{4B096478-C6EB-49D7-A7CF-7E64A2AC8C02}" name="Column10651"/>
    <tableColumn id="10652" xr3:uid="{193EE9F2-26CE-48F5-A991-0F9187846F26}" name="Column10652"/>
    <tableColumn id="10653" xr3:uid="{8D209B0B-A618-419A-81B6-75848D0004C2}" name="Column10653"/>
    <tableColumn id="10654" xr3:uid="{A2A1F313-E3E3-4C93-B8E1-B2FCDB7DB233}" name="Column10654"/>
    <tableColumn id="10655" xr3:uid="{DE8AC8FF-E7F5-4FCC-B336-4A19AB2EEA72}" name="Column10655"/>
    <tableColumn id="10656" xr3:uid="{FFE78F28-3E54-4E93-A4C1-15649B5D234F}" name="Column10656"/>
    <tableColumn id="10657" xr3:uid="{96BDF9AB-4611-4138-BA41-70BB89239B43}" name="Column10657"/>
    <tableColumn id="10658" xr3:uid="{6BA93D88-6AD2-44EB-85FD-A6FD65994FE2}" name="Column10658"/>
    <tableColumn id="10659" xr3:uid="{B7C6079A-B5FE-4956-93A2-6CD364AFEF17}" name="Column10659"/>
    <tableColumn id="10660" xr3:uid="{EDB7F36D-8AD5-49FB-A07B-B9BD7A7D06E1}" name="Column10660"/>
    <tableColumn id="10661" xr3:uid="{7BF22066-4D17-42F2-8593-527FFE5DF297}" name="Column10661"/>
    <tableColumn id="10662" xr3:uid="{28ADA340-0186-4426-A9DA-2BFD6E9F8D35}" name="Column10662"/>
    <tableColumn id="10663" xr3:uid="{E17BD816-5F5F-4BFE-BF7C-A7320AB5DB99}" name="Column10663"/>
    <tableColumn id="10664" xr3:uid="{496800F4-046B-47E7-AAAF-CE7E8920A809}" name="Column10664"/>
    <tableColumn id="10665" xr3:uid="{DE2DB35A-2D67-4EA3-86F5-458FE999B315}" name="Column10665"/>
    <tableColumn id="10666" xr3:uid="{483A89AC-584B-4AAD-9EC4-DBD46FBE4474}" name="Column10666"/>
    <tableColumn id="10667" xr3:uid="{F8318135-31A8-4201-A64F-18D95324E94C}" name="Column10667"/>
    <tableColumn id="10668" xr3:uid="{210E0A1C-D73D-4062-B7B5-75A89907DFA9}" name="Column10668"/>
    <tableColumn id="10669" xr3:uid="{25F3D9BE-36F3-4002-A2CE-610756AD57C3}" name="Column10669"/>
    <tableColumn id="10670" xr3:uid="{822D7AD7-4CC8-4EFE-80F7-02E3CBCF8617}" name="Column10670"/>
    <tableColumn id="10671" xr3:uid="{ED9E645F-09FF-41B4-B86D-CFBABDC6470F}" name="Column10671"/>
    <tableColumn id="10672" xr3:uid="{A5988910-00A3-4469-88E3-B84947CD7BA5}" name="Column10672"/>
    <tableColumn id="10673" xr3:uid="{D5AEAD25-FB0A-4DE9-A16A-AE22DBFBA793}" name="Column10673"/>
    <tableColumn id="10674" xr3:uid="{7F5D9E11-DC8A-4301-B2F7-1941986DCFDD}" name="Column10674"/>
    <tableColumn id="10675" xr3:uid="{410E4BAF-DFAB-4238-A9AA-5698C008B2B4}" name="Column10675"/>
    <tableColumn id="10676" xr3:uid="{E63EB940-1355-446A-93BE-1B6BF820BE66}" name="Column10676"/>
    <tableColumn id="10677" xr3:uid="{3FB3EBF0-1D17-4E4F-B40D-6BA625CA98DA}" name="Column10677"/>
    <tableColumn id="10678" xr3:uid="{967DF853-1943-4FEE-B984-03841C100375}" name="Column10678"/>
    <tableColumn id="10679" xr3:uid="{2014BBAE-CF6B-4870-821A-F383671D1202}" name="Column10679"/>
    <tableColumn id="10680" xr3:uid="{D2921453-8C86-471B-BFCA-FE0E5D0BFA68}" name="Column10680"/>
    <tableColumn id="10681" xr3:uid="{DDCB93C8-C3BD-4384-9602-635CA90BCD5F}" name="Column10681"/>
    <tableColumn id="10682" xr3:uid="{2E3AF2AD-A352-4E6D-A7A2-C86FCE1842F4}" name="Column10682"/>
    <tableColumn id="10683" xr3:uid="{6C6C76BE-43BC-4252-9B0C-6DD69A288670}" name="Column10683"/>
    <tableColumn id="10684" xr3:uid="{97B64AE0-901A-4632-B431-47F514666DD2}" name="Column10684"/>
    <tableColumn id="10685" xr3:uid="{F416489D-FDC7-42E3-9F92-17A562358CE9}" name="Column10685"/>
    <tableColumn id="10686" xr3:uid="{33261006-DB1E-4742-9511-CA94F21B869E}" name="Column10686"/>
    <tableColumn id="10687" xr3:uid="{3BB1D6AB-A66F-43F3-9C0A-083D2CF4657E}" name="Column10687"/>
    <tableColumn id="10688" xr3:uid="{C44674DD-11AB-4899-8881-952BB4B4ABC3}" name="Column10688"/>
    <tableColumn id="10689" xr3:uid="{77F56AE1-8F99-4746-B494-603708A9E53C}" name="Column10689"/>
    <tableColumn id="10690" xr3:uid="{20790779-99AD-4923-A99C-5BDAC02EC37D}" name="Column10690"/>
    <tableColumn id="10691" xr3:uid="{379935BA-CBFE-498E-B680-FE172BDFB122}" name="Column10691"/>
    <tableColumn id="10692" xr3:uid="{E0A9A7BB-99F6-4070-A143-762FA66573F8}" name="Column10692"/>
    <tableColumn id="10693" xr3:uid="{F24EA4A1-DB8D-420A-8FD7-91C8B1B06E1B}" name="Column10693"/>
    <tableColumn id="10694" xr3:uid="{B703FAEF-D205-41E7-B08F-DE0BEA74C759}" name="Column10694"/>
    <tableColumn id="10695" xr3:uid="{2F7BB4AA-0690-4908-9D38-D7E74C7C0385}" name="Column10695"/>
    <tableColumn id="10696" xr3:uid="{16DCA361-69CD-4DD1-B516-9A0EF1536EBB}" name="Column10696"/>
    <tableColumn id="10697" xr3:uid="{1CAC5B36-122E-484B-AFFF-224569ED2BF8}" name="Column10697"/>
    <tableColumn id="10698" xr3:uid="{FC970DD9-775F-4448-B846-00AA2066240A}" name="Column10698"/>
    <tableColumn id="10699" xr3:uid="{C11B4D5B-39C4-4A03-BD0D-A9B4B37648D0}" name="Column10699"/>
    <tableColumn id="10700" xr3:uid="{B42FE6E6-5C9A-497D-804B-9EEA0576660E}" name="Column10700"/>
    <tableColumn id="10701" xr3:uid="{D3EF063F-6A8D-4E50-8DDF-66434D968784}" name="Column10701"/>
    <tableColumn id="10702" xr3:uid="{9BB9B529-594E-44FB-A2A8-9B919EB63615}" name="Column10702"/>
    <tableColumn id="10703" xr3:uid="{9F69EE18-CE4A-4132-A41C-B60D1F1926E0}" name="Column10703"/>
    <tableColumn id="10704" xr3:uid="{6AC242F9-6BB1-42D0-89B6-4C1712BE46A8}" name="Column10704"/>
    <tableColumn id="10705" xr3:uid="{8BA0D1C0-0C98-4A98-96C5-1E7F74544E38}" name="Column10705"/>
    <tableColumn id="10706" xr3:uid="{8C221BE8-EBEC-4DF9-90AB-4C420B41D4F8}" name="Column10706"/>
    <tableColumn id="10707" xr3:uid="{CC3887A0-45E9-423E-97F3-9F6221B5869E}" name="Column10707"/>
    <tableColumn id="10708" xr3:uid="{01C36F6A-511D-4D0A-8C3A-DB32A724EF48}" name="Column10708"/>
    <tableColumn id="10709" xr3:uid="{3B3F932D-1DCE-4366-9682-D7F44E8640C7}" name="Column10709"/>
    <tableColumn id="10710" xr3:uid="{93D04974-36C8-4D42-B35F-50E9DA3E7C08}" name="Column10710"/>
    <tableColumn id="10711" xr3:uid="{74B541B4-1290-4336-BFE7-CAE0683EBD62}" name="Column10711"/>
    <tableColumn id="10712" xr3:uid="{B67BDBF1-34CE-419F-A47D-86F3E67907BA}" name="Column10712"/>
    <tableColumn id="10713" xr3:uid="{41091A0C-B1F6-49F2-B28E-C3C1EAFB56FB}" name="Column10713"/>
    <tableColumn id="10714" xr3:uid="{A6B01116-1A02-4FF2-9102-CC1DE88557A1}" name="Column10714"/>
    <tableColumn id="10715" xr3:uid="{ECD69A9B-9503-4C4A-93D8-E02A7DA315DA}" name="Column10715"/>
    <tableColumn id="10716" xr3:uid="{79F819E0-DE95-45A5-81F0-C592C76E8033}" name="Column10716"/>
    <tableColumn id="10717" xr3:uid="{17420B9D-877C-48E8-B2CF-E0584E594657}" name="Column10717"/>
    <tableColumn id="10718" xr3:uid="{0D21D61C-08CE-46B2-B565-0EEBCC56A7A9}" name="Column10718"/>
    <tableColumn id="10719" xr3:uid="{F608E44F-8FBC-4E41-9F52-BFA03F8D7851}" name="Column10719"/>
    <tableColumn id="10720" xr3:uid="{877D6F06-05E1-4667-921A-5928F125D381}" name="Column10720"/>
    <tableColumn id="10721" xr3:uid="{C5E9E932-05B4-4421-B9F8-38EA2E1EB8F8}" name="Column10721"/>
    <tableColumn id="10722" xr3:uid="{ECA2F6B0-6E6A-418F-A7BA-56844486A27D}" name="Column10722"/>
    <tableColumn id="10723" xr3:uid="{D44EFD2C-AC04-41C8-A5C5-3A4F115E5A97}" name="Column10723"/>
    <tableColumn id="10724" xr3:uid="{C28904BF-6C4C-44C2-BB0E-DB42BF7AEADB}" name="Column10724"/>
    <tableColumn id="10725" xr3:uid="{68F0DE17-6E0D-482C-9ADF-48E24535510A}" name="Column10725"/>
    <tableColumn id="10726" xr3:uid="{D30C6656-4D2A-40E3-A6C6-2E3CF2F3E655}" name="Column10726"/>
    <tableColumn id="10727" xr3:uid="{499D1B6A-9804-49EA-A010-41E8653CC8FD}" name="Column10727"/>
    <tableColumn id="10728" xr3:uid="{9ADD5F9B-ED7B-45B9-9EE2-A1692EF923C3}" name="Column10728"/>
    <tableColumn id="10729" xr3:uid="{89B58F3B-7802-4CEA-A1B6-523D4ABA9CFB}" name="Column10729"/>
    <tableColumn id="10730" xr3:uid="{485EA9FF-4637-4F65-A062-4D3EB98BC039}" name="Column10730"/>
    <tableColumn id="10731" xr3:uid="{361D7C28-AE58-4D81-922A-66567BF7D65C}" name="Column10731"/>
    <tableColumn id="10732" xr3:uid="{6E2351EC-D40A-4186-8728-C1B7CD06426D}" name="Column10732"/>
    <tableColumn id="10733" xr3:uid="{28C9142F-5BE1-4911-9B0E-2D21B255F186}" name="Column10733"/>
    <tableColumn id="10734" xr3:uid="{AA4077A5-D64F-4D4C-AB47-88BAA4289670}" name="Column10734"/>
    <tableColumn id="10735" xr3:uid="{20164A00-4476-4975-96E1-A48099DA99D0}" name="Column10735"/>
    <tableColumn id="10736" xr3:uid="{DE0805E1-0B5A-4D92-B05E-172FC42DB4C9}" name="Column10736"/>
    <tableColumn id="10737" xr3:uid="{636A15F5-E311-4CA2-B8F7-79FE29C6086E}" name="Column10737"/>
    <tableColumn id="10738" xr3:uid="{45D69A22-ACE4-476C-A90B-F7768F80789C}" name="Column10738"/>
    <tableColumn id="10739" xr3:uid="{23CEBF74-5C7B-4ECC-AA67-CF75196A198D}" name="Column10739"/>
    <tableColumn id="10740" xr3:uid="{2061FC31-BBC1-481D-9C88-E5A8BEBFBE3A}" name="Column10740"/>
    <tableColumn id="10741" xr3:uid="{C364A2E2-32F9-47CC-9E99-D5D27E04D6F2}" name="Column10741"/>
    <tableColumn id="10742" xr3:uid="{81436886-F2AF-4D10-8C65-98F9C5CB763E}" name="Column10742"/>
    <tableColumn id="10743" xr3:uid="{ED23666E-5BFE-4F90-8899-DB2DF35B64C8}" name="Column10743"/>
    <tableColumn id="10744" xr3:uid="{F55A1180-BE5E-4DA8-A680-6CA6C284E1B9}" name="Column10744"/>
    <tableColumn id="10745" xr3:uid="{78BE4B2D-81CA-430B-9841-E138B18DFA77}" name="Column10745"/>
    <tableColumn id="10746" xr3:uid="{2754F0F2-F4C3-4F6D-85C0-AB207D238093}" name="Column10746"/>
    <tableColumn id="10747" xr3:uid="{BDCF1F38-5B43-48B9-9FF0-C8046D5BCE38}" name="Column10747"/>
    <tableColumn id="10748" xr3:uid="{4C3D978F-27A1-4023-B943-2E50C22BE400}" name="Column10748"/>
    <tableColumn id="10749" xr3:uid="{D996E93D-A57A-4214-9A72-2A5DD8339CF5}" name="Column10749"/>
    <tableColumn id="10750" xr3:uid="{B6FA2E0B-0CF4-4C93-A7BF-A98F97740785}" name="Column10750"/>
    <tableColumn id="10751" xr3:uid="{7117C9F7-927D-4103-A0EB-E5999807DB66}" name="Column10751"/>
    <tableColumn id="10752" xr3:uid="{E664B491-A473-497D-B64D-AFFCB6DF000D}" name="Column10752"/>
    <tableColumn id="10753" xr3:uid="{3846EAB7-3D2B-496A-BF5F-256E364CCD29}" name="Column10753"/>
    <tableColumn id="10754" xr3:uid="{8F6F38F3-80B5-4EC8-881C-F4B89E1DFDB4}" name="Column10754"/>
    <tableColumn id="10755" xr3:uid="{358A4B71-C6FC-40B6-B00D-05D8D1D79D7C}" name="Column10755"/>
    <tableColumn id="10756" xr3:uid="{6F370CC9-3971-4913-AB71-804D5D671814}" name="Column10756"/>
    <tableColumn id="10757" xr3:uid="{E50AEEBD-B070-4D79-A75E-345057C570E1}" name="Column10757"/>
    <tableColumn id="10758" xr3:uid="{307489AB-27C3-4F38-8CB4-3DBC6F54C55D}" name="Column10758"/>
    <tableColumn id="10759" xr3:uid="{2D346156-F904-45F2-BEC0-C69FD75CA27C}" name="Column10759"/>
    <tableColumn id="10760" xr3:uid="{62F72895-02D1-4CC3-979D-4B17C7C27E3E}" name="Column10760"/>
    <tableColumn id="10761" xr3:uid="{0C0C96CF-4BD3-4171-81D6-14CFA2964378}" name="Column10761"/>
    <tableColumn id="10762" xr3:uid="{B4D4B7F5-C413-4801-B1B2-EC0A0FB11988}" name="Column10762"/>
    <tableColumn id="10763" xr3:uid="{72F7FEB2-C1FB-4DE7-B110-32FE057C1A4C}" name="Column10763"/>
    <tableColumn id="10764" xr3:uid="{4C592AAB-B072-44C5-9BE4-465FA61A489C}" name="Column10764"/>
    <tableColumn id="10765" xr3:uid="{1A96D269-AF69-4360-93D7-70137609C5D9}" name="Column10765"/>
    <tableColumn id="10766" xr3:uid="{62E4470A-577A-4C10-BC1D-736CD214D230}" name="Column10766"/>
    <tableColumn id="10767" xr3:uid="{8C0760B9-7B6F-42E6-8213-A86415D9934C}" name="Column10767"/>
    <tableColumn id="10768" xr3:uid="{C0EC3CD2-9609-4F8A-ACD4-D3CDD7C5910D}" name="Column10768"/>
    <tableColumn id="10769" xr3:uid="{9237839F-D78D-4529-AFF9-3EBCE39DE87B}" name="Column10769"/>
    <tableColumn id="10770" xr3:uid="{8C72C87C-F373-406C-96A8-FAD8C980FBCE}" name="Column10770"/>
    <tableColumn id="10771" xr3:uid="{1C6677C4-767C-441E-B5EB-B124A9744556}" name="Column10771"/>
    <tableColumn id="10772" xr3:uid="{652D9614-C2C3-4D99-B88B-58E609E14602}" name="Column10772"/>
    <tableColumn id="10773" xr3:uid="{6DE2AED5-C6C6-43C7-8A1A-ADC1FDDB949B}" name="Column10773"/>
    <tableColumn id="10774" xr3:uid="{E8176E9D-AC29-49D8-A7C8-8801725CEAA6}" name="Column10774"/>
    <tableColumn id="10775" xr3:uid="{48012550-5B00-4FA1-A840-057833AEA714}" name="Column10775"/>
    <tableColumn id="10776" xr3:uid="{485420EF-F406-4693-AE07-987C794D2555}" name="Column10776"/>
    <tableColumn id="10777" xr3:uid="{86438558-80AA-457B-AEFE-BBFBA43ED77D}" name="Column10777"/>
    <tableColumn id="10778" xr3:uid="{65867D3C-4B3E-42B4-8824-6E681A595DFD}" name="Column10778"/>
    <tableColumn id="10779" xr3:uid="{21D8852A-E177-41BA-BB1E-91727372E9C0}" name="Column10779"/>
    <tableColumn id="10780" xr3:uid="{A7392C11-EA89-4EE5-A8CD-D2F460286A58}" name="Column10780"/>
    <tableColumn id="10781" xr3:uid="{AB5AD379-2293-41A7-8189-5999AF66F776}" name="Column10781"/>
    <tableColumn id="10782" xr3:uid="{1F3F07C2-5ED7-4BB2-B516-EDF8CF904E2A}" name="Column10782"/>
    <tableColumn id="10783" xr3:uid="{DC775359-B4E9-42EE-A44A-DA7B4E87BE0B}" name="Column10783"/>
    <tableColumn id="10784" xr3:uid="{4F94D510-E07F-4842-A3B8-A80165EA876F}" name="Column10784"/>
    <tableColumn id="10785" xr3:uid="{C43C3035-6851-4D67-BA59-9C2B9247AAAE}" name="Column10785"/>
    <tableColumn id="10786" xr3:uid="{FC415727-94DE-4736-9A1F-F7D625FC04EA}" name="Column10786"/>
    <tableColumn id="10787" xr3:uid="{F9158AAF-73AC-48E2-80B5-C3A4B8542F25}" name="Column10787"/>
    <tableColumn id="10788" xr3:uid="{32E1DCEE-974F-41E5-8295-B2E7BD96D8AA}" name="Column10788"/>
    <tableColumn id="10789" xr3:uid="{52D546A5-8575-4B9A-B681-972CCFD22ADF}" name="Column10789"/>
    <tableColumn id="10790" xr3:uid="{E0CB021B-BD9A-439F-AE53-E0D405D1C601}" name="Column10790"/>
    <tableColumn id="10791" xr3:uid="{B3A51E66-1048-4825-9EAA-84164733715F}" name="Column10791"/>
    <tableColumn id="10792" xr3:uid="{4935289B-AA5A-4F02-818A-E03A32BA46C5}" name="Column10792"/>
    <tableColumn id="10793" xr3:uid="{9FBB6E6D-1AC6-401E-A873-C23E779B5FCB}" name="Column10793"/>
    <tableColumn id="10794" xr3:uid="{23C2F79B-634B-44AE-9BCC-6B3D8AA6344B}" name="Column10794"/>
    <tableColumn id="10795" xr3:uid="{E8262980-C686-4962-86B3-34B26A06F61F}" name="Column10795"/>
    <tableColumn id="10796" xr3:uid="{B3FEC08D-AD55-4EDD-B21D-854F3DBA1D9F}" name="Column10796"/>
    <tableColumn id="10797" xr3:uid="{6285A76A-8D38-4890-90C5-0B25E32F5625}" name="Column10797"/>
    <tableColumn id="10798" xr3:uid="{247546A1-9409-4A9A-941E-15B726C894B4}" name="Column10798"/>
    <tableColumn id="10799" xr3:uid="{32685B8B-64CF-4FBA-A715-03F7804F9CFC}" name="Column10799"/>
    <tableColumn id="10800" xr3:uid="{F1B4A5D5-D1DC-41A6-85B1-9643F4C662A5}" name="Column10800"/>
    <tableColumn id="10801" xr3:uid="{06E205BC-7F7B-493E-81FF-72277DD7FCFA}" name="Column10801"/>
    <tableColumn id="10802" xr3:uid="{4ACFBB5C-54DE-4843-A33F-F4B70260C851}" name="Column10802"/>
    <tableColumn id="10803" xr3:uid="{C8EF8FB5-F9D8-49E8-965C-135BE8B4871C}" name="Column10803"/>
    <tableColumn id="10804" xr3:uid="{D72E7A6C-AE71-4CF2-BEDD-54F32B07D8B3}" name="Column10804"/>
    <tableColumn id="10805" xr3:uid="{53FBD7C5-F5E1-409A-8ECE-76A31B99DA7D}" name="Column10805"/>
    <tableColumn id="10806" xr3:uid="{EC4AA88A-CC8C-43ED-8DC5-CFC2CA476D60}" name="Column10806"/>
    <tableColumn id="10807" xr3:uid="{B0F30B1A-C332-42BB-AB7B-ED802A054617}" name="Column10807"/>
    <tableColumn id="10808" xr3:uid="{D5C68E68-83FE-48C4-BFCD-608EF0385D8E}" name="Column10808"/>
    <tableColumn id="10809" xr3:uid="{CBFE1272-2365-467D-92C4-BAD11FB42BDB}" name="Column10809"/>
    <tableColumn id="10810" xr3:uid="{5918BAB0-8A82-4D79-BC36-2473B71F61DE}" name="Column10810"/>
    <tableColumn id="10811" xr3:uid="{6B73CB28-A523-4600-ADFA-991FDE717801}" name="Column10811"/>
    <tableColumn id="10812" xr3:uid="{BA7A28D5-7AD5-499F-8CBD-9569B86D13FB}" name="Column10812"/>
    <tableColumn id="10813" xr3:uid="{2F4DAF3F-9824-490D-B53E-1E3F8FE5BBA9}" name="Column10813"/>
    <tableColumn id="10814" xr3:uid="{A47F2245-6C38-4284-B603-FD3593CEE163}" name="Column10814"/>
    <tableColumn id="10815" xr3:uid="{6174D367-2628-407A-B103-D4848A46D180}" name="Column10815"/>
    <tableColumn id="10816" xr3:uid="{46AF0CC6-BF41-4DB5-8DDF-AF03281A7424}" name="Column10816"/>
    <tableColumn id="10817" xr3:uid="{3385587E-B85F-4D55-95A8-2C2A67D671C3}" name="Column10817"/>
    <tableColumn id="10818" xr3:uid="{3F607EDD-C211-4D46-9A6E-126F7C286F8B}" name="Column10818"/>
    <tableColumn id="10819" xr3:uid="{9C0F5C87-0BAF-49D6-A6DD-3BA8D11278B8}" name="Column10819"/>
    <tableColumn id="10820" xr3:uid="{752AADFE-582F-4B04-B05A-4783CB7791EB}" name="Column10820"/>
    <tableColumn id="10821" xr3:uid="{F269135D-3A5B-4452-B75E-40471AE6333A}" name="Column10821"/>
    <tableColumn id="10822" xr3:uid="{6050E326-AFAB-4D9C-B1C2-973F68AE3CFD}" name="Column10822"/>
    <tableColumn id="10823" xr3:uid="{8D3D2D14-4507-4A63-B544-0C9CA28F94ED}" name="Column10823"/>
    <tableColumn id="10824" xr3:uid="{5345B936-1327-4BE8-A0CF-90E3CF7C3AA2}" name="Column10824"/>
    <tableColumn id="10825" xr3:uid="{DA383DCF-D063-4488-88DB-2F4D2CD88679}" name="Column10825"/>
    <tableColumn id="10826" xr3:uid="{067ED695-B77F-4B1D-A87A-2713C2F61ED6}" name="Column10826"/>
    <tableColumn id="10827" xr3:uid="{F2F417DF-17BD-4366-891B-245F60514CD4}" name="Column10827"/>
    <tableColumn id="10828" xr3:uid="{E9A92935-D465-4FE6-A572-EC04E4A1E763}" name="Column10828"/>
    <tableColumn id="10829" xr3:uid="{FB53F45E-3ABC-46E8-90EA-89096D8BAA88}" name="Column10829"/>
    <tableColumn id="10830" xr3:uid="{79E474A8-1E9C-4370-833E-DAAC9C061B34}" name="Column10830"/>
    <tableColumn id="10831" xr3:uid="{10659FE2-DC7E-4D34-9796-C7CB5379CA15}" name="Column10831"/>
    <tableColumn id="10832" xr3:uid="{94AEB035-E120-4AE4-8BBE-857B79B2A132}" name="Column10832"/>
    <tableColumn id="10833" xr3:uid="{24AF6554-C5ED-4744-A84F-20B784949241}" name="Column10833"/>
    <tableColumn id="10834" xr3:uid="{CBCDBEB8-01A1-498E-892A-FA00716C8FF4}" name="Column10834"/>
    <tableColumn id="10835" xr3:uid="{A1B8A883-7C9A-4C6F-BED6-2D5E428AD31D}" name="Column10835"/>
    <tableColumn id="10836" xr3:uid="{BAE80856-E049-4F1F-BA92-6CFBE80FDAB7}" name="Column10836"/>
    <tableColumn id="10837" xr3:uid="{819E09EC-263A-400F-8487-6DA51835DC85}" name="Column10837"/>
    <tableColumn id="10838" xr3:uid="{82AA7A29-AABF-4586-A7C9-932DB3BAC005}" name="Column10838"/>
    <tableColumn id="10839" xr3:uid="{838293C7-77BE-458B-AB07-A4AC532B4302}" name="Column10839"/>
    <tableColumn id="10840" xr3:uid="{DA2D7458-5ACE-4A82-9341-4227DDB2A014}" name="Column10840"/>
    <tableColumn id="10841" xr3:uid="{D70F2706-F1A6-4165-A01B-9C5ABFC59657}" name="Column10841"/>
    <tableColumn id="10842" xr3:uid="{3834627F-F7ED-4F24-A29A-4C607B8D8B73}" name="Column10842"/>
    <tableColumn id="10843" xr3:uid="{25C1A30F-DE0F-413F-A1C8-8167D8AB34AE}" name="Column10843"/>
    <tableColumn id="10844" xr3:uid="{2DC864F7-F621-414B-89BE-DD9DD7846FCC}" name="Column10844"/>
    <tableColumn id="10845" xr3:uid="{2715C149-5A31-445E-82C9-7C9ED61BF9A9}" name="Column10845"/>
    <tableColumn id="10846" xr3:uid="{9D20F053-F64A-4221-80FF-016991718957}" name="Column10846"/>
    <tableColumn id="10847" xr3:uid="{CC350FAE-90E6-415B-B2D9-2E7AC7A600D3}" name="Column10847"/>
    <tableColumn id="10848" xr3:uid="{591B16A5-7DB3-48DC-A3EB-FE72E00148F3}" name="Column10848"/>
    <tableColumn id="10849" xr3:uid="{6F7D6AF1-3703-4335-9621-79D10C8FFD02}" name="Column10849"/>
    <tableColumn id="10850" xr3:uid="{E7817DC4-EBCD-450C-8A52-CD2605D46A66}" name="Column10850"/>
    <tableColumn id="10851" xr3:uid="{7FCFFB66-91FA-4046-A2BC-6FD902A14E9B}" name="Column10851"/>
    <tableColumn id="10852" xr3:uid="{2898CCCE-96C9-4EB3-971D-2430702C0AC4}" name="Column10852"/>
    <tableColumn id="10853" xr3:uid="{261EB43F-25D5-402C-8EC6-D5346CD8C9B9}" name="Column10853"/>
    <tableColumn id="10854" xr3:uid="{21294574-8B93-4CC7-8B42-57A8CC579A43}" name="Column10854"/>
    <tableColumn id="10855" xr3:uid="{F215D4E5-E12D-48DD-9CDA-50838ECE4567}" name="Column10855"/>
    <tableColumn id="10856" xr3:uid="{E1FA1FA1-AD42-4920-819E-C63CEF93521A}" name="Column10856"/>
    <tableColumn id="10857" xr3:uid="{35117A51-0240-4DF2-AE37-85107FE6C523}" name="Column10857"/>
    <tableColumn id="10858" xr3:uid="{25209552-DEAF-46C2-9683-6A74380A2D10}" name="Column10858"/>
    <tableColumn id="10859" xr3:uid="{5251177B-2D4C-4A87-B48D-C0E89B150179}" name="Column10859"/>
    <tableColumn id="10860" xr3:uid="{5F26843E-90AB-4ABE-B55D-C341090DDACD}" name="Column10860"/>
    <tableColumn id="10861" xr3:uid="{33BBDE6D-39DD-4B0D-9D63-13D5F75165A6}" name="Column10861"/>
    <tableColumn id="10862" xr3:uid="{7CAEA275-B62B-4E1E-9D59-FCE012617C43}" name="Column10862"/>
    <tableColumn id="10863" xr3:uid="{6486A5B1-B185-48AB-B93D-847121C267E4}" name="Column10863"/>
    <tableColumn id="10864" xr3:uid="{3DDEA407-8FE0-4068-9A7D-10D615672E1D}" name="Column10864"/>
    <tableColumn id="10865" xr3:uid="{DBF2A2B0-8FF0-4CC6-ACB3-D9F9C3746CAC}" name="Column10865"/>
    <tableColumn id="10866" xr3:uid="{840C66A3-4029-4058-BD3E-F0DB667B3C59}" name="Column10866"/>
    <tableColumn id="10867" xr3:uid="{554CE749-C573-4088-B791-72967CFF72CC}" name="Column10867"/>
    <tableColumn id="10868" xr3:uid="{37390F81-4AD3-4975-9816-A5891AB0C9F3}" name="Column10868"/>
    <tableColumn id="10869" xr3:uid="{70051059-5CD3-4080-AFDE-B12B8F25BAF5}" name="Column10869"/>
    <tableColumn id="10870" xr3:uid="{EE926525-683D-4AC0-B955-5244441DF0DC}" name="Column10870"/>
    <tableColumn id="10871" xr3:uid="{07A9A099-3EB5-4A42-AA43-6422DC2E1D86}" name="Column10871"/>
    <tableColumn id="10872" xr3:uid="{5BAA1D86-3885-4F73-B61B-01817B99053A}" name="Column10872"/>
    <tableColumn id="10873" xr3:uid="{77817C21-A703-4ACC-BCFB-F319E596223A}" name="Column10873"/>
    <tableColumn id="10874" xr3:uid="{FC600AF3-63A0-4ADD-8D52-42FC624CCF08}" name="Column10874"/>
    <tableColumn id="10875" xr3:uid="{CED9508E-447E-4381-B2F0-1B84FDEBE065}" name="Column10875"/>
    <tableColumn id="10876" xr3:uid="{48F06BD4-7549-46A6-8D5F-F22E1DEA86A3}" name="Column10876"/>
    <tableColumn id="10877" xr3:uid="{3D732AE4-B6B4-4594-B54B-29BB9140A771}" name="Column10877"/>
    <tableColumn id="10878" xr3:uid="{B66A96EF-7AAE-4400-956D-FE619963BF51}" name="Column10878"/>
    <tableColumn id="10879" xr3:uid="{CB09F152-466E-4D70-B20A-44300AFEAA64}" name="Column10879"/>
    <tableColumn id="10880" xr3:uid="{124F53E6-1DC3-4C99-BC8D-1F82519D915A}" name="Column10880"/>
    <tableColumn id="10881" xr3:uid="{9EAFB56C-5BD7-421B-9ED8-6012916538C8}" name="Column10881"/>
    <tableColumn id="10882" xr3:uid="{AE99539A-75CC-4141-A72B-C496DF91334F}" name="Column10882"/>
    <tableColumn id="10883" xr3:uid="{F1AE5B9B-42D8-4B5B-9C70-C99CFB7344D6}" name="Column10883"/>
    <tableColumn id="10884" xr3:uid="{38E2A410-0BF3-4F3B-956E-6BCB8A99D0B3}" name="Column10884"/>
    <tableColumn id="10885" xr3:uid="{D174F238-D483-42F7-B472-5E6786502778}" name="Column10885"/>
    <tableColumn id="10886" xr3:uid="{1EDFD831-AB72-4491-BC33-EE3613C4E7D0}" name="Column10886"/>
    <tableColumn id="10887" xr3:uid="{6E4AB280-8811-432F-83E8-BFC092860A08}" name="Column10887"/>
    <tableColumn id="10888" xr3:uid="{4523B838-E31E-47BD-9143-F6BC402AC6F1}" name="Column10888"/>
    <tableColumn id="10889" xr3:uid="{DB7E9940-2CE7-4E30-AD03-BE34E4F427C5}" name="Column10889"/>
    <tableColumn id="10890" xr3:uid="{F20903A9-4980-4A79-B8EE-F03F68F24C3E}" name="Column10890"/>
    <tableColumn id="10891" xr3:uid="{039FF9BB-1D16-4598-8FDD-8712D8B9AA8A}" name="Column10891"/>
    <tableColumn id="10892" xr3:uid="{2C386941-1792-459A-B64A-E712B16A1832}" name="Column10892"/>
    <tableColumn id="10893" xr3:uid="{C75CCC33-CF1C-4E05-B13E-A953AE41F1B2}" name="Column10893"/>
    <tableColumn id="10894" xr3:uid="{1B49EB3F-0349-4691-A5CA-C1FC8546548B}" name="Column10894"/>
    <tableColumn id="10895" xr3:uid="{E495B6E1-D349-4224-AB3D-B748AE3C197D}" name="Column10895"/>
    <tableColumn id="10896" xr3:uid="{32C142C0-BA94-4722-9127-89DF4DCD6847}" name="Column10896"/>
    <tableColumn id="10897" xr3:uid="{78B7C49E-D807-43DB-9A7B-B2FE3168E823}" name="Column10897"/>
    <tableColumn id="10898" xr3:uid="{3BECAE08-B9B5-4988-8F33-5526B6A8B38D}" name="Column10898"/>
    <tableColumn id="10899" xr3:uid="{4FC859F5-160B-44B1-9B64-E24234B62A70}" name="Column10899"/>
    <tableColumn id="10900" xr3:uid="{7E0D3A56-AA3C-489B-918C-34E598B02BA4}" name="Column10900"/>
    <tableColumn id="10901" xr3:uid="{5AAEAFFF-7C82-4928-AAB0-248D751E7217}" name="Column10901"/>
    <tableColumn id="10902" xr3:uid="{ECA635DB-95E3-4873-9216-BDBF6DC5E549}" name="Column10902"/>
    <tableColumn id="10903" xr3:uid="{5999FA2E-BE5F-480C-A031-B2EFE8E3F289}" name="Column10903"/>
    <tableColumn id="10904" xr3:uid="{9872DA46-B0C7-446A-BC8C-D349764382DE}" name="Column10904"/>
    <tableColumn id="10905" xr3:uid="{0654F646-3698-410B-BC60-74C747F8232C}" name="Column10905"/>
    <tableColumn id="10906" xr3:uid="{F4467BF3-20C2-49E7-81DF-DF6A7E678362}" name="Column10906"/>
    <tableColumn id="10907" xr3:uid="{758D3861-8431-4F96-A054-7C281DCB747F}" name="Column10907"/>
    <tableColumn id="10908" xr3:uid="{C916F057-D869-4345-AF00-0BED71A2F15E}" name="Column10908"/>
    <tableColumn id="10909" xr3:uid="{B343DBA4-2B09-4980-B863-BD9701A78B37}" name="Column10909"/>
    <tableColumn id="10910" xr3:uid="{C359D867-921B-4AF8-9D9C-DE157226D0E9}" name="Column10910"/>
    <tableColumn id="10911" xr3:uid="{7541E664-E214-4FB1-9DE0-D7CAA4340596}" name="Column10911"/>
    <tableColumn id="10912" xr3:uid="{0DEB3692-E091-44FA-88F9-082E26FE684C}" name="Column10912"/>
    <tableColumn id="10913" xr3:uid="{DFA14EDF-9EAA-48EA-89AD-57C3E7F3D5BF}" name="Column10913"/>
    <tableColumn id="10914" xr3:uid="{5B37F909-0186-4B6F-8308-907A73DFA1F7}" name="Column10914"/>
    <tableColumn id="10915" xr3:uid="{1638F236-59D9-4160-B5BC-740B1945900B}" name="Column10915"/>
    <tableColumn id="10916" xr3:uid="{D43894CA-50CB-42C2-8A17-1373DD72204B}" name="Column10916"/>
    <tableColumn id="10917" xr3:uid="{058D563C-CBD1-408F-853C-1B3B80431C46}" name="Column10917"/>
    <tableColumn id="10918" xr3:uid="{067D45FA-FA03-4B01-8209-CBDC695AEBB3}" name="Column10918"/>
    <tableColumn id="10919" xr3:uid="{397FC931-A21E-4A95-B31A-12FBCCBEFACD}" name="Column10919"/>
    <tableColumn id="10920" xr3:uid="{3CA331C7-0B88-4537-BE99-A200A9B8CBB2}" name="Column10920"/>
    <tableColumn id="10921" xr3:uid="{BB91A119-2CEA-4999-AAA5-1017E2DCC623}" name="Column10921"/>
    <tableColumn id="10922" xr3:uid="{D00F0AB8-2C14-4903-B73C-DD18EE4C5A0A}" name="Column10922"/>
    <tableColumn id="10923" xr3:uid="{D31383D7-7A82-4097-B132-5FB586105756}" name="Column10923"/>
    <tableColumn id="10924" xr3:uid="{4F4DC9A5-BA60-4CD8-B9E3-3DE780517A66}" name="Column10924"/>
    <tableColumn id="10925" xr3:uid="{DB75725E-9DBE-41C7-8CD9-ADF6B96ED7C1}" name="Column10925"/>
    <tableColumn id="10926" xr3:uid="{E07CD83B-D2EA-4F0D-8ED4-553273FE1B96}" name="Column10926"/>
    <tableColumn id="10927" xr3:uid="{D99C120B-0E00-4657-8E04-5203428D3A19}" name="Column10927"/>
    <tableColumn id="10928" xr3:uid="{94E79A58-3356-4B67-9CD6-A9668E75A33C}" name="Column10928"/>
    <tableColumn id="10929" xr3:uid="{EEF52E93-10CC-4589-8A09-DF29E3D735EC}" name="Column10929"/>
    <tableColumn id="10930" xr3:uid="{65538BC0-E86E-4D27-BAFD-284D6D43A051}" name="Column10930"/>
    <tableColumn id="10931" xr3:uid="{5475B8F0-0AA4-49B8-821D-591B4C02B86C}" name="Column10931"/>
    <tableColumn id="10932" xr3:uid="{493C61AA-2DED-47DB-8A91-E6FC7C427413}" name="Column10932"/>
    <tableColumn id="10933" xr3:uid="{FCDFB887-F7EF-495B-996A-E64740FF246F}" name="Column10933"/>
    <tableColumn id="10934" xr3:uid="{F6878889-106D-4D4F-A322-26DCE3139E6B}" name="Column10934"/>
    <tableColumn id="10935" xr3:uid="{6CF5C09B-DFF5-4185-BC1F-D82B53EF3E7C}" name="Column10935"/>
    <tableColumn id="10936" xr3:uid="{B33EC55C-2EC4-40F1-9CD3-399778B7FF76}" name="Column10936"/>
    <tableColumn id="10937" xr3:uid="{547880E4-2CD2-4356-BBB7-AC16377CE287}" name="Column10937"/>
    <tableColumn id="10938" xr3:uid="{73B4EB68-33CA-422A-A7EA-C3E74BE09BDE}" name="Column10938"/>
    <tableColumn id="10939" xr3:uid="{18C2D266-F66F-4FA8-B84A-3F5C0DB48BAF}" name="Column10939"/>
    <tableColumn id="10940" xr3:uid="{4BABA0F1-3BD5-45EA-B884-4C5459F74047}" name="Column10940"/>
    <tableColumn id="10941" xr3:uid="{7BB82756-5868-4D82-A477-C4E69400E04E}" name="Column10941"/>
    <tableColumn id="10942" xr3:uid="{FA930083-1CA1-48E0-A334-4ED9A6388177}" name="Column10942"/>
    <tableColumn id="10943" xr3:uid="{2EF7B1BF-3F1C-4F59-AEB3-E229782E9479}" name="Column10943"/>
    <tableColumn id="10944" xr3:uid="{6796CC7A-0BA9-49B3-A20B-94850FBE3490}" name="Column10944"/>
    <tableColumn id="10945" xr3:uid="{F4BA5867-B896-4C54-8E5B-7C3A14653EA4}" name="Column10945"/>
    <tableColumn id="10946" xr3:uid="{CEA526E8-42B1-440D-AA8F-0083461F94AD}" name="Column10946"/>
    <tableColumn id="10947" xr3:uid="{7B7EB749-394C-499F-9A83-E6F905DB68C4}" name="Column10947"/>
    <tableColumn id="10948" xr3:uid="{EFE4B98C-0D67-4379-B11D-DF209BCCEF73}" name="Column10948"/>
    <tableColumn id="10949" xr3:uid="{1CE738AB-98CC-4918-9A64-5A071FD71F5C}" name="Column10949"/>
    <tableColumn id="10950" xr3:uid="{1687DFD4-0A45-4EEA-A947-2A165F3CD966}" name="Column10950"/>
    <tableColumn id="10951" xr3:uid="{224DB647-01F5-4F52-91FA-8C1620EDA5A7}" name="Column10951"/>
    <tableColumn id="10952" xr3:uid="{EB17180E-10F6-42B4-8DF1-4B226B9107CE}" name="Column10952"/>
    <tableColumn id="10953" xr3:uid="{02928643-BF0D-4C18-AB4E-209E6E50E441}" name="Column10953"/>
    <tableColumn id="10954" xr3:uid="{9CEB2239-0FAC-4EBD-AEF7-D68C33684750}" name="Column10954"/>
    <tableColumn id="10955" xr3:uid="{04A540F0-D9D3-41EF-9CD3-6660A1F66FB2}" name="Column10955"/>
    <tableColumn id="10956" xr3:uid="{8192501D-BE87-4374-96A1-53FB31952781}" name="Column10956"/>
    <tableColumn id="10957" xr3:uid="{DF8CF202-B445-41D5-8EBF-7D6521E735CB}" name="Column10957"/>
    <tableColumn id="10958" xr3:uid="{8B0A0265-32BA-4167-BE2F-3D2A9E1220C8}" name="Column10958"/>
    <tableColumn id="10959" xr3:uid="{D594E094-532E-4249-A8C3-D8C12D3AB3A7}" name="Column10959"/>
    <tableColumn id="10960" xr3:uid="{B374873A-C66B-4D3C-A9D2-BE229D71170E}" name="Column10960"/>
    <tableColumn id="10961" xr3:uid="{94B08F63-9E51-480E-A34F-D2741DB0060C}" name="Column10961"/>
    <tableColumn id="10962" xr3:uid="{0A54B03B-7F26-4D02-8309-D82D6D69ECDE}" name="Column10962"/>
    <tableColumn id="10963" xr3:uid="{B2509792-4FF4-49D1-B043-F47C2FE4474E}" name="Column10963"/>
    <tableColumn id="10964" xr3:uid="{6D44B723-E3CE-4863-A661-EAE7B37C9BC8}" name="Column10964"/>
    <tableColumn id="10965" xr3:uid="{F2D0879F-D12F-4AF6-9116-CBCBD7C8A573}" name="Column10965"/>
    <tableColumn id="10966" xr3:uid="{1C3C72C1-5AD5-4AA6-A1DC-8FE03A5B3B74}" name="Column10966"/>
    <tableColumn id="10967" xr3:uid="{41F5814B-535D-4017-94D5-51B22B2C666F}" name="Column10967"/>
    <tableColumn id="10968" xr3:uid="{67C521DA-29A6-4EB2-BF3F-E1EA6B17842A}" name="Column10968"/>
    <tableColumn id="10969" xr3:uid="{D5B5734F-ADD0-4EBD-AA00-9B636BFDA009}" name="Column10969"/>
    <tableColumn id="10970" xr3:uid="{AC992C61-5749-4BD5-B45D-7DAB4DD54F02}" name="Column10970"/>
    <tableColumn id="10971" xr3:uid="{CF068E4D-7EB8-4F59-95A2-152E34745A91}" name="Column10971"/>
    <tableColumn id="10972" xr3:uid="{14D33CD7-2C90-48FF-A098-D06DC8934A7F}" name="Column10972"/>
    <tableColumn id="10973" xr3:uid="{D8BDA740-6422-4CD6-8064-C3596038EFD8}" name="Column10973"/>
    <tableColumn id="10974" xr3:uid="{89C8AFD6-0527-4F83-AB82-27EF097AE54C}" name="Column10974"/>
    <tableColumn id="10975" xr3:uid="{B3DAC427-4D08-40FF-A328-F1F0692F78AA}" name="Column10975"/>
    <tableColumn id="10976" xr3:uid="{4939C6D8-E940-4C12-80C6-8D80C5FBED57}" name="Column10976"/>
    <tableColumn id="10977" xr3:uid="{B455D5EA-85DE-476B-83F4-AB01C9D63FC2}" name="Column10977"/>
    <tableColumn id="10978" xr3:uid="{BB16EA08-A1EF-492F-8344-DAB4A39518DE}" name="Column10978"/>
    <tableColumn id="10979" xr3:uid="{0E13FF0C-0E22-4524-958B-90E7A0613C4B}" name="Column10979"/>
    <tableColumn id="10980" xr3:uid="{0DDC8B39-E79E-4B5B-B250-22EF5F7D35CA}" name="Column10980"/>
    <tableColumn id="10981" xr3:uid="{19E9006E-EF6A-4A6F-A0C0-ED324D103DE2}" name="Column10981"/>
    <tableColumn id="10982" xr3:uid="{76896BED-EE4B-4F56-9329-E585CA6F7E4E}" name="Column10982"/>
    <tableColumn id="10983" xr3:uid="{99CBC978-50DD-405C-88A0-E9944B29E594}" name="Column10983"/>
    <tableColumn id="10984" xr3:uid="{92D1D8B6-63D8-431D-B4A5-64417D097B6F}" name="Column10984"/>
    <tableColumn id="10985" xr3:uid="{82EA1B04-0308-48A2-BD12-08205B9BEF0F}" name="Column10985"/>
    <tableColumn id="10986" xr3:uid="{A5AA945D-CB8F-49AC-AA6A-21FA5308A98B}" name="Column10986"/>
    <tableColumn id="10987" xr3:uid="{CE3C0B2E-A319-4270-93D6-93B7C39020D3}" name="Column10987"/>
    <tableColumn id="10988" xr3:uid="{FA40465E-D106-4977-B6AE-B05A4545DE0A}" name="Column10988"/>
    <tableColumn id="10989" xr3:uid="{893A3542-4150-4332-B4B9-B41DE10F44CC}" name="Column10989"/>
    <tableColumn id="10990" xr3:uid="{32AD8D33-83CD-4A25-94A4-E62DE7D11CEC}" name="Column10990"/>
    <tableColumn id="10991" xr3:uid="{F0295AE4-46D7-4E39-834A-87F6ED7C8E0E}" name="Column10991"/>
    <tableColumn id="10992" xr3:uid="{654289C8-BA45-4169-997A-DBC01396D987}" name="Column10992"/>
    <tableColumn id="10993" xr3:uid="{9A8F5D0F-9752-4C97-8C8F-94D69D7EF988}" name="Column10993"/>
    <tableColumn id="10994" xr3:uid="{7277FC9D-EB1F-414F-9657-99FB881A63AD}" name="Column10994"/>
    <tableColumn id="10995" xr3:uid="{9F015F19-2D16-4F21-912F-233CB2C58214}" name="Column10995"/>
    <tableColumn id="10996" xr3:uid="{FAC21706-8A03-434A-B813-3246E1863FCC}" name="Column10996"/>
    <tableColumn id="10997" xr3:uid="{4B84D7E6-171C-4D20-8C32-74BED0F6A6A0}" name="Column10997"/>
    <tableColumn id="10998" xr3:uid="{FE07E4BE-E1FB-4F38-9786-8FB9CF39EED4}" name="Column10998"/>
    <tableColumn id="10999" xr3:uid="{4FCB5971-558F-4849-9503-180EED3847EC}" name="Column10999"/>
    <tableColumn id="11000" xr3:uid="{BB7E99B1-BD1A-4A3D-9646-A55695170E84}" name="Column11000"/>
    <tableColumn id="11001" xr3:uid="{513033F8-9C69-4D7D-81BD-7082E45C2A29}" name="Column11001"/>
    <tableColumn id="11002" xr3:uid="{1817162E-6E74-49A3-9607-59FFFDBF17DF}" name="Column11002"/>
    <tableColumn id="11003" xr3:uid="{636F7556-6D37-48C8-955B-C85F1241B22A}" name="Column11003"/>
    <tableColumn id="11004" xr3:uid="{EFCA7E69-EC7B-4851-BC56-EF82337AB3CE}" name="Column11004"/>
    <tableColumn id="11005" xr3:uid="{F74209A8-7774-4492-94B4-B8F58494B09B}" name="Column11005"/>
    <tableColumn id="11006" xr3:uid="{2916C1DC-A3AC-43E9-A4DC-4D27C0E888AC}" name="Column11006"/>
    <tableColumn id="11007" xr3:uid="{DD06846F-F007-4EF8-A60B-5FEDF44F4C01}" name="Column11007"/>
    <tableColumn id="11008" xr3:uid="{346F8035-4E73-494D-990C-D15B8EF6F312}" name="Column11008"/>
    <tableColumn id="11009" xr3:uid="{80561FC8-9BA6-42DC-9913-92658AA2CE4B}" name="Column11009"/>
    <tableColumn id="11010" xr3:uid="{2DCBF5BD-A9FD-4831-8C34-A013BEDF0B70}" name="Column11010"/>
    <tableColumn id="11011" xr3:uid="{FB5095DC-CF16-45C3-A092-65707BE1A20B}" name="Column11011"/>
    <tableColumn id="11012" xr3:uid="{3A892385-8074-44BB-8B49-4DED663BA8D1}" name="Column11012"/>
    <tableColumn id="11013" xr3:uid="{A996BED6-DE30-4F72-A3AF-13ADFE160D24}" name="Column11013"/>
    <tableColumn id="11014" xr3:uid="{AF61878C-6983-4FC3-941E-2614DC059B7E}" name="Column11014"/>
    <tableColumn id="11015" xr3:uid="{8A2AE5DE-A736-4AE7-9219-F373C1A941B1}" name="Column11015"/>
    <tableColumn id="11016" xr3:uid="{6BE1A859-058F-466F-B7FF-9C948162EE09}" name="Column11016"/>
    <tableColumn id="11017" xr3:uid="{A9E23C9E-3AD7-41A8-AD5D-6DC2C16417FD}" name="Column11017"/>
    <tableColumn id="11018" xr3:uid="{20D8DAF2-C173-4253-B451-727AC8FA8014}" name="Column11018"/>
    <tableColumn id="11019" xr3:uid="{F2893780-0CA5-46A3-AA70-79D4765653DE}" name="Column11019"/>
    <tableColumn id="11020" xr3:uid="{2E2B820D-7A4A-4E28-867F-439C386A7A3F}" name="Column11020"/>
    <tableColumn id="11021" xr3:uid="{66DE7370-B5A7-42CE-80BD-2F87077C6359}" name="Column11021"/>
    <tableColumn id="11022" xr3:uid="{F4543C9A-7EB0-4702-9343-1252D57C50C1}" name="Column11022"/>
    <tableColumn id="11023" xr3:uid="{FA9A2855-1D3D-4140-8682-D8B02F4592CC}" name="Column11023"/>
    <tableColumn id="11024" xr3:uid="{A709C9EC-26B4-4016-AA55-51FCA7B51BC2}" name="Column11024"/>
    <tableColumn id="11025" xr3:uid="{1B4FA49E-C851-488D-9833-7E0BB4EFAC85}" name="Column11025"/>
    <tableColumn id="11026" xr3:uid="{4CA83D2E-CA90-45C5-81B1-A901D10D5B72}" name="Column11026"/>
    <tableColumn id="11027" xr3:uid="{94408468-4C58-46AA-9B6F-A7653CAB25F6}" name="Column11027"/>
    <tableColumn id="11028" xr3:uid="{E1FF361F-8674-4242-9B00-7C998973E6EB}" name="Column11028"/>
    <tableColumn id="11029" xr3:uid="{EEE9788B-A570-4453-867E-FE9F94281E0B}" name="Column11029"/>
    <tableColumn id="11030" xr3:uid="{250A8C87-D4CE-4651-B42A-207ACE21B297}" name="Column11030"/>
    <tableColumn id="11031" xr3:uid="{FD6683D9-CB98-4780-9807-4B6AD5457003}" name="Column11031"/>
    <tableColumn id="11032" xr3:uid="{A62BA9C0-DE41-4145-9B33-6E0593B72953}" name="Column11032"/>
    <tableColumn id="11033" xr3:uid="{09764AF9-985E-4DB1-94F8-EF338E885692}" name="Column11033"/>
    <tableColumn id="11034" xr3:uid="{519C46D8-B781-4969-A825-E1D31366C618}" name="Column11034"/>
    <tableColumn id="11035" xr3:uid="{D8E82185-12C8-4228-A421-20FBAB8406B4}" name="Column11035"/>
    <tableColumn id="11036" xr3:uid="{23FD41D6-BFDE-415A-AEF0-CF9127CC67DD}" name="Column11036"/>
    <tableColumn id="11037" xr3:uid="{45E0A7A3-77C3-4BAF-B6BD-6AB8F290FB91}" name="Column11037"/>
    <tableColumn id="11038" xr3:uid="{7C31B5A9-B6B2-4078-BF09-35EE38A88501}" name="Column11038"/>
    <tableColumn id="11039" xr3:uid="{AEB8B876-24B3-410D-BE11-51872E3BA1B5}" name="Column11039"/>
    <tableColumn id="11040" xr3:uid="{C6AA1673-A82F-47F1-A50C-0C1AE17D79DB}" name="Column11040"/>
    <tableColumn id="11041" xr3:uid="{EBC9BBDA-C878-4534-9D39-52F96DEA870A}" name="Column11041"/>
    <tableColumn id="11042" xr3:uid="{4A04425B-673A-4AFF-AFE6-10346CB53138}" name="Column11042"/>
    <tableColumn id="11043" xr3:uid="{FCE1CC83-1EF0-4117-9728-865D8E48A979}" name="Column11043"/>
    <tableColumn id="11044" xr3:uid="{9E022F72-9279-4E3A-95F5-F2C125A7D1AF}" name="Column11044"/>
    <tableColumn id="11045" xr3:uid="{EC61D553-ED26-42F6-B3CA-3CE08C890E8A}" name="Column11045"/>
    <tableColumn id="11046" xr3:uid="{83CF13B5-DD47-4299-A253-43AF7A4E2AE1}" name="Column11046"/>
    <tableColumn id="11047" xr3:uid="{E151138C-C31F-478C-9607-D7DF7778A4A0}" name="Column11047"/>
    <tableColumn id="11048" xr3:uid="{58D1824E-88C1-45E7-B7F2-E3525D5090D2}" name="Column11048"/>
    <tableColumn id="11049" xr3:uid="{1E2ABC4B-5D00-49C9-952D-2580F05DF038}" name="Column11049"/>
    <tableColumn id="11050" xr3:uid="{B3BA3941-EA66-49BA-9C43-3C76036A2C48}" name="Column11050"/>
    <tableColumn id="11051" xr3:uid="{98D9C6EA-653C-40A3-A453-2023DB8F2476}" name="Column11051"/>
    <tableColumn id="11052" xr3:uid="{9F6FEB43-FD36-409C-ADE3-CCDEDD249CC7}" name="Column11052"/>
    <tableColumn id="11053" xr3:uid="{1CB81533-ECC3-4E5B-9F22-A4878E5C835B}" name="Column11053"/>
    <tableColumn id="11054" xr3:uid="{F8D5D21A-6153-41FD-BB22-196BF76ACAED}" name="Column11054"/>
    <tableColumn id="11055" xr3:uid="{4772D3E0-A3C8-4652-9CD2-5266DA07C8CA}" name="Column11055"/>
    <tableColumn id="11056" xr3:uid="{DE79F3EC-1A78-495B-A136-A9C33DF4174C}" name="Column11056"/>
    <tableColumn id="11057" xr3:uid="{3C04D3DC-9529-4884-AC55-5E7D87D4BE02}" name="Column11057"/>
    <tableColumn id="11058" xr3:uid="{4511FA10-311B-4B5C-92C6-617D49322920}" name="Column11058"/>
    <tableColumn id="11059" xr3:uid="{C44794F2-5A70-4934-AECF-768DBF3163DB}" name="Column11059"/>
    <tableColumn id="11060" xr3:uid="{D65A2917-6F02-45C6-8873-18B8D7F8A3F7}" name="Column11060"/>
    <tableColumn id="11061" xr3:uid="{5B7BDC15-36E0-4AC3-A67F-553BF9A5A246}" name="Column11061"/>
    <tableColumn id="11062" xr3:uid="{FAE4727F-2C52-4008-AF54-6A1F683A8C80}" name="Column11062"/>
    <tableColumn id="11063" xr3:uid="{CB08C789-1A55-4DB3-B3CC-E4BC9FB82005}" name="Column11063"/>
    <tableColumn id="11064" xr3:uid="{A7A6E277-C619-4B80-B43F-7C3DF1BB9601}" name="Column11064"/>
    <tableColumn id="11065" xr3:uid="{6E3451FB-3F30-476D-9C9A-CFDD1988D1DB}" name="Column11065"/>
    <tableColumn id="11066" xr3:uid="{C85E7618-56A5-47E6-BC80-0E367165E2C9}" name="Column11066"/>
    <tableColumn id="11067" xr3:uid="{3878B30C-FBE3-4DD5-A154-4E19C37BA786}" name="Column11067"/>
    <tableColumn id="11068" xr3:uid="{A294D848-C7CF-487B-BF97-46DC01AE6DE9}" name="Column11068"/>
    <tableColumn id="11069" xr3:uid="{AB8E7DE6-273A-4839-9A48-AE81BA8BD29C}" name="Column11069"/>
    <tableColumn id="11070" xr3:uid="{69118BE7-16D1-487B-85E2-55FE8B872203}" name="Column11070"/>
    <tableColumn id="11071" xr3:uid="{B3EAEA58-E89D-4CB2-8C57-1959DF014E12}" name="Column11071"/>
    <tableColumn id="11072" xr3:uid="{6F022DC6-3053-4241-A9A1-EB0C30EE6E41}" name="Column11072"/>
    <tableColumn id="11073" xr3:uid="{FCED95C0-50F2-416F-8635-36819102FB5C}" name="Column11073"/>
    <tableColumn id="11074" xr3:uid="{5993260F-F2A1-4F46-B33A-E764174E3BF0}" name="Column11074"/>
    <tableColumn id="11075" xr3:uid="{2CECF953-9F68-489A-87C8-BE6F3763F3C3}" name="Column11075"/>
    <tableColumn id="11076" xr3:uid="{31C45AA7-AAA0-42CD-B600-ED493E62620D}" name="Column11076"/>
    <tableColumn id="11077" xr3:uid="{09A32301-3C69-4AFB-8BC6-D6CF00A05B53}" name="Column11077"/>
    <tableColumn id="11078" xr3:uid="{E5FC8E51-605C-46FB-8356-A6B6EF90D7C6}" name="Column11078"/>
    <tableColumn id="11079" xr3:uid="{0EB49124-513B-40A5-A3E5-F7A0063C211C}" name="Column11079"/>
    <tableColumn id="11080" xr3:uid="{AAF2B5D3-F4E9-405F-8B05-51D8A63F4E31}" name="Column11080"/>
    <tableColumn id="11081" xr3:uid="{1B8FBC03-9453-4EAB-A96B-8ED5BE4CAD41}" name="Column11081"/>
    <tableColumn id="11082" xr3:uid="{BAA17E2A-FC26-472A-82DA-E209BDDDEC96}" name="Column11082"/>
    <tableColumn id="11083" xr3:uid="{BA9CEC4D-F8D1-45AC-9634-48EC07E0DDC9}" name="Column11083"/>
    <tableColumn id="11084" xr3:uid="{A2683E34-AB1E-42FE-A336-CC5C2157C503}" name="Column11084"/>
    <tableColumn id="11085" xr3:uid="{8B652378-E7B9-4436-B845-27979C296E8D}" name="Column11085"/>
    <tableColumn id="11086" xr3:uid="{2E94A39C-2069-4343-BC2C-243AB43F156A}" name="Column11086"/>
    <tableColumn id="11087" xr3:uid="{7B34F65C-92D6-43DD-8BFE-780A00581AB5}" name="Column11087"/>
    <tableColumn id="11088" xr3:uid="{F7DB7E95-D68D-42D9-9725-D77A7E036EED}" name="Column11088"/>
    <tableColumn id="11089" xr3:uid="{70CCFB30-064C-420C-952F-5AC97215E0B7}" name="Column11089"/>
    <tableColumn id="11090" xr3:uid="{2E6CCCB6-E69B-48AB-A4F1-D363B0CAF922}" name="Column11090"/>
    <tableColumn id="11091" xr3:uid="{F43BD0D5-74BB-4E05-9A6A-2313093A1ECC}" name="Column11091"/>
    <tableColumn id="11092" xr3:uid="{35C048D8-D3D3-4C24-8027-543C95E3A587}" name="Column11092"/>
    <tableColumn id="11093" xr3:uid="{7857DADC-486C-4CEB-9F1C-35B5832DEF1E}" name="Column11093"/>
    <tableColumn id="11094" xr3:uid="{D95AD12A-79CC-4A6A-B806-E06854C2C8EB}" name="Column11094"/>
    <tableColumn id="11095" xr3:uid="{5F00D4BA-6657-4F37-9AB2-A8F77E82620C}" name="Column11095"/>
    <tableColumn id="11096" xr3:uid="{A3BA8639-CDD3-4ED7-8D75-323752E0F71B}" name="Column11096"/>
    <tableColumn id="11097" xr3:uid="{1EBF4A24-71D9-4C11-A080-B0EFCD2122F3}" name="Column11097"/>
    <tableColumn id="11098" xr3:uid="{0E775D31-9837-4461-8FA0-2FBCDA5A6225}" name="Column11098"/>
    <tableColumn id="11099" xr3:uid="{849586E8-A7F1-471F-885D-E1B56619CDDF}" name="Column11099"/>
    <tableColumn id="11100" xr3:uid="{051E572F-9705-48AE-B445-52E5CC04F9BE}" name="Column11100"/>
    <tableColumn id="11101" xr3:uid="{C54B35EE-0011-4DDE-B946-F7D163921FF4}" name="Column11101"/>
    <tableColumn id="11102" xr3:uid="{EDA79BAB-BD4A-4035-93A9-E34B46785396}" name="Column11102"/>
    <tableColumn id="11103" xr3:uid="{1CB70BD1-7B20-4A2E-9DA1-6D179AA51E9A}" name="Column11103"/>
    <tableColumn id="11104" xr3:uid="{90769355-E69D-44EA-8C8B-716A3D230AF7}" name="Column11104"/>
    <tableColumn id="11105" xr3:uid="{51D275B6-58BD-4D68-B8E7-48B5A2A217A6}" name="Column11105"/>
    <tableColumn id="11106" xr3:uid="{8010BD94-E3B6-4623-9BB3-A21F188CF46E}" name="Column11106"/>
    <tableColumn id="11107" xr3:uid="{28850AF3-C8F4-402E-B071-3BB3842C3CC7}" name="Column11107"/>
    <tableColumn id="11108" xr3:uid="{ACDFC838-8243-416C-92D6-72E5D0ED4DA6}" name="Column11108"/>
    <tableColumn id="11109" xr3:uid="{1C7DFBB4-9C07-4FFA-91D9-DE4AE85483C3}" name="Column11109"/>
    <tableColumn id="11110" xr3:uid="{81659222-65E2-4C67-A12C-F554C55974E0}" name="Column11110"/>
    <tableColumn id="11111" xr3:uid="{9FC1333C-B71F-4422-8C23-B6712ECD7627}" name="Column11111"/>
    <tableColumn id="11112" xr3:uid="{3CD61FB3-F1B8-4631-8DA0-421E11794065}" name="Column11112"/>
    <tableColumn id="11113" xr3:uid="{7BEFF845-DF9B-4BAD-B242-20183F8743D3}" name="Column11113"/>
    <tableColumn id="11114" xr3:uid="{F81D4270-12D8-4AA4-AD79-70CA6C7461F4}" name="Column11114"/>
    <tableColumn id="11115" xr3:uid="{A3FB4C0C-02A8-4323-9B68-F15EC22B1E76}" name="Column11115"/>
    <tableColumn id="11116" xr3:uid="{86A250CD-1944-4DB5-877D-4546708AC4F6}" name="Column11116"/>
    <tableColumn id="11117" xr3:uid="{4CC37914-6DD9-4624-B348-58B315780ED8}" name="Column11117"/>
    <tableColumn id="11118" xr3:uid="{087E39CF-A7A7-47D9-A789-A513C9831F65}" name="Column11118"/>
    <tableColumn id="11119" xr3:uid="{1F2B03C0-6891-41AD-A92E-10E6B22C619F}" name="Column11119"/>
    <tableColumn id="11120" xr3:uid="{3DCD5FFB-E7B5-46E8-B635-246035F1CD4F}" name="Column11120"/>
    <tableColumn id="11121" xr3:uid="{9C0D377D-C17D-4A00-9C54-04886A51995B}" name="Column11121"/>
    <tableColumn id="11122" xr3:uid="{A5147D37-6934-44F4-BA06-112B1D61C7AF}" name="Column11122"/>
    <tableColumn id="11123" xr3:uid="{DF2C8060-7D80-458B-8395-513DD43C3A49}" name="Column11123"/>
    <tableColumn id="11124" xr3:uid="{95073303-B743-4706-A63C-FF69AE3FB00C}" name="Column11124"/>
    <tableColumn id="11125" xr3:uid="{5C7AF1A4-0E0D-4CC6-B855-638F465ED03C}" name="Column11125"/>
    <tableColumn id="11126" xr3:uid="{BA76AD0F-2D8B-45C8-9A19-53E4F38B541F}" name="Column11126"/>
    <tableColumn id="11127" xr3:uid="{58CCB9BF-DCA8-4BF5-A868-647606AA7768}" name="Column11127"/>
    <tableColumn id="11128" xr3:uid="{AEFB2B32-4299-467B-BD6B-3743C5AA2E7D}" name="Column11128"/>
    <tableColumn id="11129" xr3:uid="{D4239860-2EB9-4D93-8E68-29F4468A3DEE}" name="Column11129"/>
    <tableColumn id="11130" xr3:uid="{6A770C5A-E2FF-41FB-944B-35093E726610}" name="Column11130"/>
    <tableColumn id="11131" xr3:uid="{A8B38262-16E0-488E-B682-01F3EF6848C6}" name="Column11131"/>
    <tableColumn id="11132" xr3:uid="{98162B2B-297C-46BE-9D49-23EB20B9BD30}" name="Column11132"/>
    <tableColumn id="11133" xr3:uid="{5A6C4B5F-5291-40A9-B395-D2AAC51CBAC3}" name="Column11133"/>
    <tableColumn id="11134" xr3:uid="{B2B43E8A-1AD4-43A3-9425-2B55433B9C2A}" name="Column11134"/>
    <tableColumn id="11135" xr3:uid="{FEE5C010-B8B5-4AEC-A974-7D665DC38538}" name="Column11135"/>
    <tableColumn id="11136" xr3:uid="{E16D0DC2-75F9-49BF-A7BD-A53E86548D20}" name="Column11136"/>
    <tableColumn id="11137" xr3:uid="{4876F587-7EB9-4AFB-B00E-8E96AC9CFDBE}" name="Column11137"/>
    <tableColumn id="11138" xr3:uid="{818A883C-A6DC-44D3-BFA0-FB62F93373F0}" name="Column11138"/>
    <tableColumn id="11139" xr3:uid="{82BD1411-5DE2-4CEE-8B18-742104FDCB3D}" name="Column11139"/>
    <tableColumn id="11140" xr3:uid="{542163F6-9B94-4D52-BBA2-F580EAF5EB24}" name="Column11140"/>
    <tableColumn id="11141" xr3:uid="{ABD158FB-CEF0-42CE-B78D-C6AEA3AAFC8C}" name="Column11141"/>
    <tableColumn id="11142" xr3:uid="{25CCF8C8-4D45-4DB6-979B-5083E139A535}" name="Column11142"/>
    <tableColumn id="11143" xr3:uid="{7542C2FE-F20A-41BB-9E43-DD10DB088364}" name="Column11143"/>
    <tableColumn id="11144" xr3:uid="{AFDBC408-5850-45F3-B4A7-59E17CD2882D}" name="Column11144"/>
    <tableColumn id="11145" xr3:uid="{9C9EDD2D-60A7-42C9-B54F-603C176FCE13}" name="Column11145"/>
    <tableColumn id="11146" xr3:uid="{E69D9CC3-CA2B-418A-AFC7-6A9E92DC12A3}" name="Column11146"/>
    <tableColumn id="11147" xr3:uid="{9295AD64-C17F-4CAF-BE38-519529348C4C}" name="Column11147"/>
    <tableColumn id="11148" xr3:uid="{55488496-D0AA-4591-8015-E4025B1A1B34}" name="Column11148"/>
    <tableColumn id="11149" xr3:uid="{9C6A4F6E-244C-4503-B34F-02D5F8ED3DD2}" name="Column11149"/>
    <tableColumn id="11150" xr3:uid="{64334932-4AE7-4DC6-8ABF-2CA4A236F124}" name="Column11150"/>
    <tableColumn id="11151" xr3:uid="{21F09A4F-E7FE-4BE8-BC8C-8FF3259D0476}" name="Column11151"/>
    <tableColumn id="11152" xr3:uid="{D69A12BF-871D-45E7-BE72-E85B0CC362E8}" name="Column11152"/>
    <tableColumn id="11153" xr3:uid="{A6AA479E-EC94-4DEF-AE74-37F6C845A60F}" name="Column11153"/>
    <tableColumn id="11154" xr3:uid="{A3975DC8-DE5C-4C49-B230-3A8DA26FFE2C}" name="Column11154"/>
    <tableColumn id="11155" xr3:uid="{1E35FBBC-9580-48C9-ABD6-32C69804AB98}" name="Column11155"/>
    <tableColumn id="11156" xr3:uid="{CEEE2B0D-D020-4D21-B780-5379FEA59723}" name="Column11156"/>
    <tableColumn id="11157" xr3:uid="{78618535-0CB0-48BF-B20A-8CA1F490C900}" name="Column11157"/>
    <tableColumn id="11158" xr3:uid="{370C5F26-DD5B-4278-8733-0524C0263937}" name="Column11158"/>
    <tableColumn id="11159" xr3:uid="{BD889FA5-2A13-42B3-B708-447BE3D185AC}" name="Column11159"/>
    <tableColumn id="11160" xr3:uid="{A57662AC-EAE9-40E3-A2BB-D1E383235DD3}" name="Column11160"/>
    <tableColumn id="11161" xr3:uid="{DDCBB46D-679B-4F98-9168-486409E20593}" name="Column11161"/>
    <tableColumn id="11162" xr3:uid="{26B06BE5-4D58-4FFA-BA73-F061828812A9}" name="Column11162"/>
    <tableColumn id="11163" xr3:uid="{76C35563-1E25-46F2-AD3B-1307FFF23414}" name="Column11163"/>
    <tableColumn id="11164" xr3:uid="{FF902361-ADC1-4758-B109-920DDED28E50}" name="Column11164"/>
    <tableColumn id="11165" xr3:uid="{9E90EF5E-D25F-44DB-ACFE-78C4F1DB74E3}" name="Column11165"/>
    <tableColumn id="11166" xr3:uid="{8286F9F8-EA0F-4CA9-A2F0-9D596BB38442}" name="Column11166"/>
    <tableColumn id="11167" xr3:uid="{2B8D5B21-61AC-4F1A-A9F2-1E900A5EA6B5}" name="Column11167"/>
    <tableColumn id="11168" xr3:uid="{E197A324-BEF3-46E5-9623-F9B81E0ADA4A}" name="Column11168"/>
    <tableColumn id="11169" xr3:uid="{4971307D-DBEF-43EC-9F1C-384ED86F5458}" name="Column11169"/>
    <tableColumn id="11170" xr3:uid="{39E532C8-60B3-4DCA-9BC3-82B1B96A2942}" name="Column11170"/>
    <tableColumn id="11171" xr3:uid="{DBF86B65-CDB4-4256-9630-E079F97FE673}" name="Column11171"/>
    <tableColumn id="11172" xr3:uid="{869CBAFF-3339-479E-AF35-B1DDB886A614}" name="Column11172"/>
    <tableColumn id="11173" xr3:uid="{7DF87A94-3813-4040-99CC-3D47993237F5}" name="Column11173"/>
    <tableColumn id="11174" xr3:uid="{7DDB829C-7A60-443D-AD79-60135E41CF07}" name="Column11174"/>
    <tableColumn id="11175" xr3:uid="{3D356A96-0CD7-4B76-8561-51ED00B9944F}" name="Column11175"/>
    <tableColumn id="11176" xr3:uid="{DCB0AFDB-A277-413E-BDA8-247747B11B52}" name="Column11176"/>
    <tableColumn id="11177" xr3:uid="{C1135A27-F64D-4C94-B622-B372C967C45D}" name="Column11177"/>
    <tableColumn id="11178" xr3:uid="{FC006030-7ECE-4004-AAB8-0C215BCD2C19}" name="Column11178"/>
    <tableColumn id="11179" xr3:uid="{71F41A00-A513-472D-8A09-D79B6961121E}" name="Column11179"/>
    <tableColumn id="11180" xr3:uid="{6DFEB60A-3173-4B15-B20B-B80421045605}" name="Column11180"/>
    <tableColumn id="11181" xr3:uid="{183C01B3-9740-4637-BCCA-78662CB9DAD5}" name="Column11181"/>
    <tableColumn id="11182" xr3:uid="{52B88D1E-0CBB-466A-A7A5-1F4C8CBBAA4D}" name="Column11182"/>
    <tableColumn id="11183" xr3:uid="{75234532-F9D3-4991-BA9F-62CBC45AE94F}" name="Column11183"/>
    <tableColumn id="11184" xr3:uid="{A8FE256D-AA46-4320-986A-7D7B30133AD8}" name="Column11184"/>
    <tableColumn id="11185" xr3:uid="{32E89C6A-0399-43B2-8072-6B621C98AF7E}" name="Column11185"/>
    <tableColumn id="11186" xr3:uid="{464CCC7B-5750-4736-A31F-BD616F77070E}" name="Column11186"/>
    <tableColumn id="11187" xr3:uid="{EA6C63FD-B6A7-47FE-9978-38D05E1D3D86}" name="Column11187"/>
    <tableColumn id="11188" xr3:uid="{6C942A71-5F81-48AB-BF8E-97E711681A18}" name="Column11188"/>
    <tableColumn id="11189" xr3:uid="{74D0554F-8415-4342-8013-935CD24B4807}" name="Column11189"/>
    <tableColumn id="11190" xr3:uid="{C033B80F-AA01-4DE6-8D8E-3F5B01C8C097}" name="Column11190"/>
    <tableColumn id="11191" xr3:uid="{67995DB4-9FF7-4BB9-8C8E-948D4945D152}" name="Column11191"/>
    <tableColumn id="11192" xr3:uid="{F9E026CD-4BF1-40EF-B009-063FE9D1FE27}" name="Column11192"/>
    <tableColumn id="11193" xr3:uid="{14ECFDAF-71D8-40AB-94D5-91E94F0E3CB4}" name="Column11193"/>
    <tableColumn id="11194" xr3:uid="{C7A65A6C-D283-42A4-903B-FE7D1BF5923A}" name="Column11194"/>
    <tableColumn id="11195" xr3:uid="{C423F2B4-6884-46DC-9029-08876629625B}" name="Column11195"/>
    <tableColumn id="11196" xr3:uid="{B4CDF9D9-43F5-4E89-8EDE-218620093A0F}" name="Column11196"/>
    <tableColumn id="11197" xr3:uid="{F071BBE5-2DAC-428D-BD74-58E4450876CB}" name="Column11197"/>
    <tableColumn id="11198" xr3:uid="{AB99B8C1-FFFE-4A62-85FB-17D73D01A606}" name="Column11198"/>
    <tableColumn id="11199" xr3:uid="{C2646F81-01EF-4F81-804C-16FACC144F70}" name="Column11199"/>
    <tableColumn id="11200" xr3:uid="{6B6A0E75-DDCC-4427-A1C0-2F0B47AB8B43}" name="Column11200"/>
    <tableColumn id="11201" xr3:uid="{E812E306-1B26-4C17-912C-939299C64827}" name="Column11201"/>
    <tableColumn id="11202" xr3:uid="{E68AE39B-09FF-4270-ADEF-A8D72D5475E6}" name="Column11202"/>
    <tableColumn id="11203" xr3:uid="{8FD1871E-D7C5-45F2-B5FC-292A80B92F70}" name="Column11203"/>
    <tableColumn id="11204" xr3:uid="{4C3A3159-02BB-4848-9CF7-4502976466ED}" name="Column11204"/>
    <tableColumn id="11205" xr3:uid="{27C14723-E3D7-47B2-9BC4-A54AB68B4999}" name="Column11205"/>
    <tableColumn id="11206" xr3:uid="{4591896C-E35A-430D-9CA7-093493779D5C}" name="Column11206"/>
    <tableColumn id="11207" xr3:uid="{AF5210FA-4C84-495F-9571-9834287C208B}" name="Column11207"/>
    <tableColumn id="11208" xr3:uid="{E8050C31-07D8-4F60-8DAD-021F3B4450A0}" name="Column11208"/>
    <tableColumn id="11209" xr3:uid="{7A8EED56-5FE4-44AD-889D-CFEE2DEB111D}" name="Column11209"/>
    <tableColumn id="11210" xr3:uid="{C7EE4D36-0AE3-41C6-B062-FB1FEB85F804}" name="Column11210"/>
    <tableColumn id="11211" xr3:uid="{0B2E150E-1AF6-4843-A5CF-D8688EF0D8E3}" name="Column11211"/>
    <tableColumn id="11212" xr3:uid="{A416F0AC-880D-4EC9-BD20-B1651C191CE0}" name="Column11212"/>
    <tableColumn id="11213" xr3:uid="{AA0AFECF-1686-46EE-B648-8345FB522101}" name="Column11213"/>
    <tableColumn id="11214" xr3:uid="{781FC810-7CC1-45EE-B467-ABB518D6E2F3}" name="Column11214"/>
    <tableColumn id="11215" xr3:uid="{7BC68A77-BDB5-4489-81C6-26951679F20D}" name="Column11215"/>
    <tableColumn id="11216" xr3:uid="{56772915-88BA-44B2-BB75-3625D354964F}" name="Column11216"/>
    <tableColumn id="11217" xr3:uid="{2755D920-1FC1-4D81-9611-4C697DFC3A93}" name="Column11217"/>
    <tableColumn id="11218" xr3:uid="{00120EA6-55DD-4F03-9D19-A445BB603F66}" name="Column11218"/>
    <tableColumn id="11219" xr3:uid="{9A2740A9-D851-48BA-B969-7C41F029CBFD}" name="Column11219"/>
    <tableColumn id="11220" xr3:uid="{FEEE81C8-75F9-4D10-A6D0-7AC6D679B38C}" name="Column11220"/>
    <tableColumn id="11221" xr3:uid="{2657BA31-8F41-4F9A-A0E9-BF815C849EF5}" name="Column11221"/>
    <tableColumn id="11222" xr3:uid="{12993143-ED11-4DF4-8D06-0463AECC2520}" name="Column11222"/>
    <tableColumn id="11223" xr3:uid="{C73CA67B-F967-4292-AC0E-45A1CF4B247D}" name="Column11223"/>
    <tableColumn id="11224" xr3:uid="{E1FB7C39-DAE4-4A8B-8E95-254F3AF3F754}" name="Column11224"/>
    <tableColumn id="11225" xr3:uid="{1E6D8B5B-3617-4084-A57D-2990BC952CA1}" name="Column11225"/>
    <tableColumn id="11226" xr3:uid="{E4F7D141-0365-4F60-ADFC-DAF1B59DE06E}" name="Column11226"/>
    <tableColumn id="11227" xr3:uid="{6067A2E0-FA81-422A-8BB3-73A9B6C99E20}" name="Column11227"/>
    <tableColumn id="11228" xr3:uid="{2C80FEDA-2464-4018-AB7F-49D34FFE8A85}" name="Column11228"/>
    <tableColumn id="11229" xr3:uid="{3F46E4D5-E01E-461E-A163-FE4D7F5069C6}" name="Column11229"/>
    <tableColumn id="11230" xr3:uid="{4E964735-D6CE-4AE6-B283-6D958C87EDB6}" name="Column11230"/>
    <tableColumn id="11231" xr3:uid="{8052556D-18A4-4F88-B6B8-7DD51B27033D}" name="Column11231"/>
    <tableColumn id="11232" xr3:uid="{AC14B5F0-6958-4F4F-B16D-F20B34C9CDCF}" name="Column11232"/>
    <tableColumn id="11233" xr3:uid="{D490A8B4-0D4E-4BCD-84B6-43319EE9E8CB}" name="Column11233"/>
    <tableColumn id="11234" xr3:uid="{E5BE3D3C-94ED-41B6-9806-B63DCA87C74B}" name="Column11234"/>
    <tableColumn id="11235" xr3:uid="{20189B84-118C-4F72-B4EC-1F52A26F42C5}" name="Column11235"/>
    <tableColumn id="11236" xr3:uid="{F78C94E8-999F-4C42-86C1-415ABB8C2A99}" name="Column11236"/>
    <tableColumn id="11237" xr3:uid="{EF6ABF00-2216-4B4C-9AD6-1BF00E557CE5}" name="Column11237"/>
    <tableColumn id="11238" xr3:uid="{537AE9DD-9309-4228-92ED-B5B2CBC73A54}" name="Column11238"/>
    <tableColumn id="11239" xr3:uid="{3E8CE4F6-67AE-40E5-9818-48D1D2C6181B}" name="Column11239"/>
    <tableColumn id="11240" xr3:uid="{B802A466-B210-4A23-80DF-CA421DE6668E}" name="Column11240"/>
    <tableColumn id="11241" xr3:uid="{80290358-B7CD-419A-A176-2AC2B0758BD9}" name="Column11241"/>
    <tableColumn id="11242" xr3:uid="{74EDFC5B-6EFF-4EA9-9FEB-0DBDCC4F13B3}" name="Column11242"/>
    <tableColumn id="11243" xr3:uid="{43B84979-568E-43E2-9208-D516E5FC9C57}" name="Column11243"/>
    <tableColumn id="11244" xr3:uid="{2C48A4F5-540D-4FD5-AA4A-33666A868AAF}" name="Column11244"/>
    <tableColumn id="11245" xr3:uid="{B66E86CB-8E0C-4270-BFB2-46672E0BD288}" name="Column11245"/>
    <tableColumn id="11246" xr3:uid="{DD71DE51-70AF-4E99-AB58-02095D27B7E4}" name="Column11246"/>
    <tableColumn id="11247" xr3:uid="{C872BB2C-E7B7-46D9-830C-3C75AC1407AD}" name="Column11247"/>
    <tableColumn id="11248" xr3:uid="{95BE2761-39B2-45A5-9485-A4B2B5BAC38F}" name="Column11248"/>
    <tableColumn id="11249" xr3:uid="{1ACA859F-E834-4478-AEDC-76355D267B55}" name="Column11249"/>
    <tableColumn id="11250" xr3:uid="{D9234B6C-0551-4ADA-8A27-616A8299F4D6}" name="Column11250"/>
    <tableColumn id="11251" xr3:uid="{CCA8B372-F4E2-4B44-9FF9-74ACB415196F}" name="Column11251"/>
    <tableColumn id="11252" xr3:uid="{8DCC0B70-34DD-455E-8137-F1117ADD4D99}" name="Column11252"/>
    <tableColumn id="11253" xr3:uid="{D1155386-B1C3-4625-861B-20CD403C7047}" name="Column11253"/>
    <tableColumn id="11254" xr3:uid="{AAF3A25C-A1DC-4120-B810-BD9039935A5A}" name="Column11254"/>
    <tableColumn id="11255" xr3:uid="{00484032-7469-4CB2-8724-4412F682E2AF}" name="Column11255"/>
    <tableColumn id="11256" xr3:uid="{71919C9E-9BF3-44ED-AB86-335A674CABB0}" name="Column11256"/>
    <tableColumn id="11257" xr3:uid="{E63B1E4A-E6EE-4FAE-8101-9E6E927DDFD5}" name="Column11257"/>
    <tableColumn id="11258" xr3:uid="{700743BB-6B15-4788-A961-886BCDF441E4}" name="Column11258"/>
    <tableColumn id="11259" xr3:uid="{5221C5EB-5EA3-4273-97E1-D83763FB804E}" name="Column11259"/>
    <tableColumn id="11260" xr3:uid="{EF82B402-42BA-4190-B092-EE6B9604FB54}" name="Column11260"/>
    <tableColumn id="11261" xr3:uid="{A84656EA-8EC9-44E0-A5C2-9393818DCAB2}" name="Column11261"/>
    <tableColumn id="11262" xr3:uid="{B7616FCD-A11F-43FC-83B0-BF80BD307C26}" name="Column11262"/>
    <tableColumn id="11263" xr3:uid="{D58FF128-EBF1-40D7-8081-426D2458F888}" name="Column11263"/>
    <tableColumn id="11264" xr3:uid="{5100D5F1-FC4A-40C3-9152-26814E2284C5}" name="Column11264"/>
    <tableColumn id="11265" xr3:uid="{AAF762FA-68DB-4D30-B2D9-27FDE1994726}" name="Column11265"/>
    <tableColumn id="11266" xr3:uid="{4241DBC2-6FF9-4845-ADA5-B9BE9D045D86}" name="Column11266"/>
    <tableColumn id="11267" xr3:uid="{055E5847-42C4-4ACA-AE91-9FBBAE08DEF1}" name="Column11267"/>
    <tableColumn id="11268" xr3:uid="{FD82FA1B-B0D8-4526-9552-54ED55A24B8C}" name="Column11268"/>
    <tableColumn id="11269" xr3:uid="{C4222C4B-2D1D-486C-B4A2-21BCE29A1E49}" name="Column11269"/>
    <tableColumn id="11270" xr3:uid="{3EB5AD05-CE60-45E3-8926-609431C7786B}" name="Column11270"/>
    <tableColumn id="11271" xr3:uid="{DA9FE1B4-6C63-43F1-9B46-5C6A30D7E75A}" name="Column11271"/>
    <tableColumn id="11272" xr3:uid="{95B86A11-65B5-42B9-9398-645F80DDF881}" name="Column11272"/>
    <tableColumn id="11273" xr3:uid="{FD90FF6D-D1D7-4725-B94C-F54CA0C3272A}" name="Column11273"/>
    <tableColumn id="11274" xr3:uid="{CBDAD954-1035-4FED-B721-5A3985C87239}" name="Column11274"/>
    <tableColumn id="11275" xr3:uid="{49B03ABF-F1B2-4156-A9B1-E891B3E1909A}" name="Column11275"/>
    <tableColumn id="11276" xr3:uid="{4F463A0D-8DCB-4228-92B0-DB5529B43BF2}" name="Column11276"/>
    <tableColumn id="11277" xr3:uid="{D52E54B9-37A2-4A84-8561-B4BD97C01D87}" name="Column11277"/>
    <tableColumn id="11278" xr3:uid="{1FA899C6-3A07-4F56-83AC-01AA8B8A3A5E}" name="Column11278"/>
    <tableColumn id="11279" xr3:uid="{4C5EB7BF-5C89-4B15-89CF-B1CC9512E9BB}" name="Column11279"/>
    <tableColumn id="11280" xr3:uid="{15043ACF-8717-487F-8693-5E6104ABE24E}" name="Column11280"/>
    <tableColumn id="11281" xr3:uid="{DA264893-AF7A-4F69-A0FA-34925F6147B7}" name="Column11281"/>
    <tableColumn id="11282" xr3:uid="{328010A4-B32F-433B-87D7-565873CAB9EB}" name="Column11282"/>
    <tableColumn id="11283" xr3:uid="{5AC2BF93-3D9D-470D-BF98-817356CCAE51}" name="Column11283"/>
    <tableColumn id="11284" xr3:uid="{C989AAB2-9BB4-4225-ACB4-4CC481FE10CA}" name="Column11284"/>
    <tableColumn id="11285" xr3:uid="{B2F33DCB-4F59-4815-9688-0830DE4771AC}" name="Column11285"/>
    <tableColumn id="11286" xr3:uid="{43BD992C-AF8F-4AAA-8BE1-CB7B914E571E}" name="Column11286"/>
    <tableColumn id="11287" xr3:uid="{F3CD7423-D9C8-4E24-B6CD-5AE1C83E0A5B}" name="Column11287"/>
    <tableColumn id="11288" xr3:uid="{EE306730-75C6-421E-B79C-3E7E49AB49A1}" name="Column11288"/>
    <tableColumn id="11289" xr3:uid="{ED25ABEA-E001-4AA1-837F-D1DEA573BDF8}" name="Column11289"/>
    <tableColumn id="11290" xr3:uid="{AEBBDEFF-1D9E-440C-AF08-16A06B3A967F}" name="Column11290"/>
    <tableColumn id="11291" xr3:uid="{AFE602F5-9F2B-49D9-A9A5-5699743AC7DD}" name="Column11291"/>
    <tableColumn id="11292" xr3:uid="{584A425D-DD7C-4325-B357-6DD3E6772AF5}" name="Column11292"/>
    <tableColumn id="11293" xr3:uid="{935F3FA6-22E1-45FB-9C44-9EC13D06E222}" name="Column11293"/>
    <tableColumn id="11294" xr3:uid="{C1CD9069-A97E-448E-9215-8BACCF7C84EE}" name="Column11294"/>
    <tableColumn id="11295" xr3:uid="{9BF9A147-A1D1-4303-9351-1362447B5E2A}" name="Column11295"/>
    <tableColumn id="11296" xr3:uid="{344D0A96-EC39-41EF-9F8B-41E554672669}" name="Column11296"/>
    <tableColumn id="11297" xr3:uid="{1641EC1F-C8D5-4137-BBB3-359C5EBC0387}" name="Column11297"/>
    <tableColumn id="11298" xr3:uid="{412E1305-A3DB-4A3F-8DEF-1FD20CAADC03}" name="Column11298"/>
    <tableColumn id="11299" xr3:uid="{AFE6CB16-59C9-45C9-AA57-7874B105EDD8}" name="Column11299"/>
    <tableColumn id="11300" xr3:uid="{5F0D4902-D0DA-4945-A560-E38113C8DC71}" name="Column11300"/>
    <tableColumn id="11301" xr3:uid="{E15DC82A-A1A0-4EAF-A7CB-45D523E0D07B}" name="Column11301"/>
    <tableColumn id="11302" xr3:uid="{9FFA9E1F-BC68-4195-BF44-8CD9872FB7B9}" name="Column11302"/>
    <tableColumn id="11303" xr3:uid="{C5C5DB82-AECD-49F7-B3EF-622F25CDF498}" name="Column11303"/>
    <tableColumn id="11304" xr3:uid="{1D85924A-549E-49C0-AB9D-C79F0BF2A849}" name="Column11304"/>
    <tableColumn id="11305" xr3:uid="{D121DB42-C427-4212-8979-6528C074F687}" name="Column11305"/>
    <tableColumn id="11306" xr3:uid="{73387F0D-7FDA-4E08-B27D-6BAEA1BB9FD4}" name="Column11306"/>
    <tableColumn id="11307" xr3:uid="{6640C41C-3613-4BD7-A6EB-DF7FE5A33F34}" name="Column11307"/>
    <tableColumn id="11308" xr3:uid="{7E1048E5-30F2-437A-9060-AFAD016875CB}" name="Column11308"/>
    <tableColumn id="11309" xr3:uid="{2816336C-2AAA-4498-896D-1A332A50517F}" name="Column11309"/>
    <tableColumn id="11310" xr3:uid="{3AF5DEEE-0373-47D7-9597-831D1737D395}" name="Column11310"/>
    <tableColumn id="11311" xr3:uid="{5EE6E692-CA46-401F-A248-0F67751D1CAB}" name="Column11311"/>
    <tableColumn id="11312" xr3:uid="{C82FD2DA-2B70-4146-9D77-1C8EA6E0593B}" name="Column11312"/>
    <tableColumn id="11313" xr3:uid="{BE083788-76D6-4C8E-BDC9-A9D6FDA533FE}" name="Column11313"/>
    <tableColumn id="11314" xr3:uid="{900232CD-DFC1-48DD-AD83-762AC294EEBD}" name="Column11314"/>
    <tableColumn id="11315" xr3:uid="{67530932-E657-48E6-88CA-7376F0007AAA}" name="Column11315"/>
    <tableColumn id="11316" xr3:uid="{75C11470-1D17-4AF0-9CEE-05BA22CCC82E}" name="Column11316"/>
    <tableColumn id="11317" xr3:uid="{208A3BCF-F315-4BB0-8236-ADC8C5167DA4}" name="Column11317"/>
    <tableColumn id="11318" xr3:uid="{0BC17DA3-E04A-42E3-A042-1E442F879DC3}" name="Column11318"/>
    <tableColumn id="11319" xr3:uid="{F6798B02-3C81-47E9-960A-8E2EB8436C80}" name="Column11319"/>
    <tableColumn id="11320" xr3:uid="{893701CC-228E-4DB6-96F3-CB83E3BEDD26}" name="Column11320"/>
    <tableColumn id="11321" xr3:uid="{733E4AC2-33ED-43D7-9BDC-00E96ED124E7}" name="Column11321"/>
    <tableColumn id="11322" xr3:uid="{8236E1CD-E05A-453F-9576-F411D252F3D1}" name="Column11322"/>
    <tableColumn id="11323" xr3:uid="{BDDE883D-41F4-442B-A430-518534FA665E}" name="Column11323"/>
    <tableColumn id="11324" xr3:uid="{D2414E2C-6B8A-47D7-B09D-0242F200D1B6}" name="Column11324"/>
    <tableColumn id="11325" xr3:uid="{B25BC52B-51D1-4C53-BA8F-118CEB903A27}" name="Column11325"/>
    <tableColumn id="11326" xr3:uid="{34F732C9-DDBD-4F79-808D-7150E14E8341}" name="Column11326"/>
    <tableColumn id="11327" xr3:uid="{EB8CBF7F-E7A9-40ED-9329-65AA0E4385FA}" name="Column11327"/>
    <tableColumn id="11328" xr3:uid="{890893A1-CAE8-4CE7-AABA-B91DD17FF2BD}" name="Column11328"/>
    <tableColumn id="11329" xr3:uid="{26B026A8-5695-4D01-82AD-35D4AAA671B6}" name="Column11329"/>
    <tableColumn id="11330" xr3:uid="{D13350AC-76DD-4B6C-9500-5323D4DDDFC9}" name="Column11330"/>
    <tableColumn id="11331" xr3:uid="{2899A290-B8DE-47C6-BB3D-DB3B918DBA4B}" name="Column11331"/>
    <tableColumn id="11332" xr3:uid="{2ACEAC49-D232-418F-B959-865442678B54}" name="Column11332"/>
    <tableColumn id="11333" xr3:uid="{57870D27-97FF-4FD0-AEEB-7A0CE0660E94}" name="Column11333"/>
    <tableColumn id="11334" xr3:uid="{4E373532-EA15-4397-B64B-32ECBE25C50B}" name="Column11334"/>
    <tableColumn id="11335" xr3:uid="{665ACE20-7F88-465B-AFA9-2E015F9E8651}" name="Column11335"/>
    <tableColumn id="11336" xr3:uid="{AEEE87F6-40C2-45B1-82B5-F3AC2EE3C099}" name="Column11336"/>
    <tableColumn id="11337" xr3:uid="{1368D560-5C21-477B-B4DC-F58E641DB76B}" name="Column11337"/>
    <tableColumn id="11338" xr3:uid="{E6D31A3F-994D-4B49-8FFC-659B392D73A6}" name="Column11338"/>
    <tableColumn id="11339" xr3:uid="{0490A103-3DCF-4126-AA4E-A9032EA18193}" name="Column11339"/>
    <tableColumn id="11340" xr3:uid="{242C2816-5065-4FBE-9964-A098096F88AF}" name="Column11340"/>
    <tableColumn id="11341" xr3:uid="{2AEFD5C1-4C9F-44D1-BFA2-57231F7E2AB3}" name="Column11341"/>
    <tableColumn id="11342" xr3:uid="{AD014FC4-3A77-4E2C-BE6F-874DE181B10C}" name="Column11342"/>
    <tableColumn id="11343" xr3:uid="{79A884D7-096E-4DD2-A950-8CF022B25249}" name="Column11343"/>
    <tableColumn id="11344" xr3:uid="{6FE692E4-2309-4C34-86E9-28E7F183559F}" name="Column11344"/>
    <tableColumn id="11345" xr3:uid="{D713489F-2FAF-4A49-8D82-99E7D3B77542}" name="Column11345"/>
    <tableColumn id="11346" xr3:uid="{109FD84B-CC0B-45AC-8AC0-F5E347BE6D7F}" name="Column11346"/>
    <tableColumn id="11347" xr3:uid="{11CB1061-7096-406E-B995-9EA67328F3FB}" name="Column11347"/>
    <tableColumn id="11348" xr3:uid="{F4ED100A-A30B-4140-959A-804D8E809284}" name="Column11348"/>
    <tableColumn id="11349" xr3:uid="{6CC24FCD-32D4-468F-BAFD-7BF26029C42A}" name="Column11349"/>
    <tableColumn id="11350" xr3:uid="{FB5BB454-6E0B-414F-B4AD-4D50E469E32A}" name="Column11350"/>
    <tableColumn id="11351" xr3:uid="{94C917E7-CBEB-4ED1-99F3-8F0FE2C03B14}" name="Column11351"/>
    <tableColumn id="11352" xr3:uid="{7481FDBE-5A82-4CC8-9127-8264F891857B}" name="Column11352"/>
    <tableColumn id="11353" xr3:uid="{2A4241A5-4DC1-4BEB-B0D1-E9901D12D9EF}" name="Column11353"/>
    <tableColumn id="11354" xr3:uid="{F8414550-3178-4815-9B5B-A6252D79C451}" name="Column11354"/>
    <tableColumn id="11355" xr3:uid="{3EECD82C-07AD-40BE-BC7C-955724ADD113}" name="Column11355"/>
    <tableColumn id="11356" xr3:uid="{FAFD8277-93C9-475B-8147-35918B6BFCDD}" name="Column11356"/>
    <tableColumn id="11357" xr3:uid="{B1EBED6B-217D-4678-83C1-B03E15AA8EC0}" name="Column11357"/>
    <tableColumn id="11358" xr3:uid="{503612A5-F1EB-448F-921D-CBF5E25F76B9}" name="Column11358"/>
    <tableColumn id="11359" xr3:uid="{844CA46E-D836-44F9-99C9-C95145B2F42D}" name="Column11359"/>
    <tableColumn id="11360" xr3:uid="{47DBF0E8-FFC5-43F7-94F6-8258497A7462}" name="Column11360"/>
    <tableColumn id="11361" xr3:uid="{44C82D21-75B8-4759-BBD1-68D6FF20D79F}" name="Column11361"/>
    <tableColumn id="11362" xr3:uid="{4FA07CC4-2615-480F-A765-5AE4C270F35F}" name="Column11362"/>
    <tableColumn id="11363" xr3:uid="{45943BE4-337E-4C34-A2FF-334A9F4C2F54}" name="Column11363"/>
    <tableColumn id="11364" xr3:uid="{AFB75E94-921C-4C99-ABFC-F5F4158B9457}" name="Column11364"/>
    <tableColumn id="11365" xr3:uid="{DDDC86EC-1175-4919-9E8F-D54954F06E02}" name="Column11365"/>
    <tableColumn id="11366" xr3:uid="{A11F156F-66E4-40F4-82EE-4293C752EAFE}" name="Column11366"/>
    <tableColumn id="11367" xr3:uid="{1A057768-45A2-43D0-8927-D25711EEDF6F}" name="Column11367"/>
    <tableColumn id="11368" xr3:uid="{D5F49B01-7D86-4816-9339-7290571F3CF2}" name="Column11368"/>
    <tableColumn id="11369" xr3:uid="{4DDDFCA4-D9CD-4EE5-B3E7-90FA7E4CA668}" name="Column11369"/>
    <tableColumn id="11370" xr3:uid="{25C40EDE-6D29-4ABF-A598-3F08D457119F}" name="Column11370"/>
    <tableColumn id="11371" xr3:uid="{720CED98-E2A3-4857-A12D-20E0D802CB7D}" name="Column11371"/>
    <tableColumn id="11372" xr3:uid="{07412717-1051-4E0B-842B-E532480EE18F}" name="Column11372"/>
    <tableColumn id="11373" xr3:uid="{8E843C8E-054F-43C8-9EC6-EF806B64D20B}" name="Column11373"/>
    <tableColumn id="11374" xr3:uid="{DF752243-4C82-4A02-9E6A-6A09AF346357}" name="Column11374"/>
    <tableColumn id="11375" xr3:uid="{CB3B89E3-45B8-43EC-ACE4-974DD4EE26F7}" name="Column11375"/>
    <tableColumn id="11376" xr3:uid="{CDAAC31F-715C-4B13-B168-5635B29140BD}" name="Column11376"/>
    <tableColumn id="11377" xr3:uid="{5F8FDD2E-721D-4617-A4B0-2C617B36F50C}" name="Column11377"/>
    <tableColumn id="11378" xr3:uid="{B586110D-5AAC-48FF-89C2-CA5B9BF272F2}" name="Column11378"/>
    <tableColumn id="11379" xr3:uid="{C3D36174-CD0A-400C-99C5-B741B581F1FF}" name="Column11379"/>
    <tableColumn id="11380" xr3:uid="{034D30B5-851F-4714-8316-CC0188FF8164}" name="Column11380"/>
    <tableColumn id="11381" xr3:uid="{06CB4C79-44A1-4A28-BD53-5C8DA153EC51}" name="Column11381"/>
    <tableColumn id="11382" xr3:uid="{4CF948FA-520E-46DB-8F15-834C16241314}" name="Column11382"/>
    <tableColumn id="11383" xr3:uid="{E199C93D-EFE8-4DAB-859B-F712CDA986DD}" name="Column11383"/>
    <tableColumn id="11384" xr3:uid="{1DA510AB-D36C-44CD-86D1-3DFAA41C36BE}" name="Column11384"/>
    <tableColumn id="11385" xr3:uid="{D72B197A-B464-4732-AAAB-E6929292A8E7}" name="Column11385"/>
    <tableColumn id="11386" xr3:uid="{B8B2CEFE-0284-4534-8A16-FB66C50D6E7A}" name="Column11386"/>
    <tableColumn id="11387" xr3:uid="{3D4CED46-C9C5-4FE6-8665-F9FBB2A4C395}" name="Column11387"/>
    <tableColumn id="11388" xr3:uid="{722E60C8-C189-40E8-AE52-3DBE94046A57}" name="Column11388"/>
    <tableColumn id="11389" xr3:uid="{97ABF430-977C-4BB9-8A0E-EFC232A30153}" name="Column11389"/>
    <tableColumn id="11390" xr3:uid="{141D8EA5-E686-4BD0-8FEB-28FB4CC989E7}" name="Column11390"/>
    <tableColumn id="11391" xr3:uid="{93F14DE3-E326-4A15-B448-D62B3C5B4905}" name="Column11391"/>
    <tableColumn id="11392" xr3:uid="{FA954AD9-3B5C-4F6C-BEA2-35F7A8B99DFF}" name="Column11392"/>
    <tableColumn id="11393" xr3:uid="{13A1DDE7-B57F-4EAD-AEBC-B7B4F29CBD49}" name="Column11393"/>
    <tableColumn id="11394" xr3:uid="{19CAE6C1-65A4-4C8A-8C2D-26F935DD41D9}" name="Column11394"/>
    <tableColumn id="11395" xr3:uid="{AB7D9AE6-EFB1-47D6-A4A7-C1AE48FE54C7}" name="Column11395"/>
    <tableColumn id="11396" xr3:uid="{B0C7F963-5669-436A-B9A6-DDAE56714E02}" name="Column11396"/>
    <tableColumn id="11397" xr3:uid="{126E0BA6-07FE-4978-ADB7-F68BE5BD5F4D}" name="Column11397"/>
    <tableColumn id="11398" xr3:uid="{F739B856-A824-4579-BA9D-4AF05B8A8DC7}" name="Column11398"/>
    <tableColumn id="11399" xr3:uid="{002EE021-9F66-4EAF-A66D-558DD1E6148D}" name="Column11399"/>
    <tableColumn id="11400" xr3:uid="{05FC5E54-DB2F-4A14-B9FC-4497CE4AA6E1}" name="Column11400"/>
    <tableColumn id="11401" xr3:uid="{C6BBB3D6-352B-4283-8FCE-467EE807B423}" name="Column11401"/>
    <tableColumn id="11402" xr3:uid="{512BBE7D-F0EB-4E4D-BF77-FC81CCA11C95}" name="Column11402"/>
    <tableColumn id="11403" xr3:uid="{877E50E2-7DF3-45E5-9FA7-91E1C4296870}" name="Column11403"/>
    <tableColumn id="11404" xr3:uid="{AD85BAA9-8749-49C9-A7CE-F41B5B79387E}" name="Column11404"/>
    <tableColumn id="11405" xr3:uid="{D71F1A7F-DD88-4097-B736-70ADDCB1C2EC}" name="Column11405"/>
    <tableColumn id="11406" xr3:uid="{51313B04-051A-42D6-A0B8-62978BEA0EBF}" name="Column11406"/>
    <tableColumn id="11407" xr3:uid="{4AA68AA9-E80C-4A5F-891E-2AA8892A9916}" name="Column11407"/>
    <tableColumn id="11408" xr3:uid="{A757567B-4A13-485C-A994-8652AFB09DC1}" name="Column11408"/>
    <tableColumn id="11409" xr3:uid="{542FFA68-6249-4D60-9CA8-060F10DCED7E}" name="Column11409"/>
    <tableColumn id="11410" xr3:uid="{B101D6C0-6976-4D8C-9D32-152CCA0A1F37}" name="Column11410"/>
    <tableColumn id="11411" xr3:uid="{211A4A14-13F7-4402-8D35-F8ED9636F723}" name="Column11411"/>
    <tableColumn id="11412" xr3:uid="{E004125C-3883-46BE-BBFB-9EA23B6A2F0A}" name="Column11412"/>
    <tableColumn id="11413" xr3:uid="{C25988D4-E09D-43FA-B752-7380E3791E21}" name="Column11413"/>
    <tableColumn id="11414" xr3:uid="{EB06A230-67FB-4B1A-9D95-E303607CD216}" name="Column11414"/>
    <tableColumn id="11415" xr3:uid="{64499FF7-5004-4B10-8A2C-60ADA186D875}" name="Column11415"/>
    <tableColumn id="11416" xr3:uid="{3FCE3D87-E453-466C-ADFA-FB8A668A36A4}" name="Column11416"/>
    <tableColumn id="11417" xr3:uid="{CA82BDDC-F286-45BE-97F4-5541C89334AF}" name="Column11417"/>
    <tableColumn id="11418" xr3:uid="{E34025BF-C2A5-42A8-820D-9F121A489EB3}" name="Column11418"/>
    <tableColumn id="11419" xr3:uid="{0F0E9D90-0DF3-47C5-95E6-1CFCB8BCEF1C}" name="Column11419"/>
    <tableColumn id="11420" xr3:uid="{86E8A5F2-C536-4365-93EE-3CBDEC2D33B5}" name="Column11420"/>
    <tableColumn id="11421" xr3:uid="{AEA1A7A2-6AB6-4A58-9DE5-B3CE5931E45B}" name="Column11421"/>
    <tableColumn id="11422" xr3:uid="{C2FEEBE6-B863-4233-ABAD-9C710FAEBFD5}" name="Column11422"/>
    <tableColumn id="11423" xr3:uid="{8BFFE4EA-AFE7-4E2A-A23C-431B5B707ACA}" name="Column11423"/>
    <tableColumn id="11424" xr3:uid="{91ABDD48-B0E3-47F6-8FEA-F72DC6D89B87}" name="Column11424"/>
    <tableColumn id="11425" xr3:uid="{73930011-36E1-4EA2-85DC-548C3FF20417}" name="Column11425"/>
    <tableColumn id="11426" xr3:uid="{E4DEA4EB-623B-43D0-BDD9-25326A0AAAD1}" name="Column11426"/>
    <tableColumn id="11427" xr3:uid="{92724D39-670B-419E-A1FD-9CA23CE7A501}" name="Column11427"/>
    <tableColumn id="11428" xr3:uid="{D7D11797-E232-4D8D-83BD-5E28B4FFFBC7}" name="Column11428"/>
    <tableColumn id="11429" xr3:uid="{7C85804C-36A4-4AAB-8A7D-ACF321662B54}" name="Column11429"/>
    <tableColumn id="11430" xr3:uid="{94EF2781-B7C9-42C7-8612-115118D40E88}" name="Column11430"/>
    <tableColumn id="11431" xr3:uid="{4B2F1796-4AAA-4442-81A4-4BE115CDE622}" name="Column11431"/>
    <tableColumn id="11432" xr3:uid="{BF0700EC-255E-4986-AE9B-B8F19B17DF31}" name="Column11432"/>
    <tableColumn id="11433" xr3:uid="{073A29D8-E5F5-4369-9E4E-2BA0B4E0DEBC}" name="Column11433"/>
    <tableColumn id="11434" xr3:uid="{2B9D4560-5ABE-4925-9832-A89353F9BA95}" name="Column11434"/>
    <tableColumn id="11435" xr3:uid="{1D3833B9-AE6C-44D9-B9CF-5C598FEF1F0A}" name="Column11435"/>
    <tableColumn id="11436" xr3:uid="{1E5853D9-42B5-42BE-8EB3-4CC9F1701F18}" name="Column11436"/>
    <tableColumn id="11437" xr3:uid="{C6CCD6D8-92F2-4254-8A48-4836A7F793A8}" name="Column11437"/>
    <tableColumn id="11438" xr3:uid="{E37BD8CE-6FAB-4CD5-AF94-CA7F6A750C7F}" name="Column11438"/>
    <tableColumn id="11439" xr3:uid="{385F01DD-F68D-4D94-B1A9-1600CB0EFC7C}" name="Column11439"/>
    <tableColumn id="11440" xr3:uid="{E1E16AAB-6641-4AFF-A083-E9719C29A80A}" name="Column11440"/>
    <tableColumn id="11441" xr3:uid="{70DBA0C3-D317-4273-9808-2D3AC1847527}" name="Column11441"/>
    <tableColumn id="11442" xr3:uid="{57D4F09B-4D04-4BB3-AD04-CDAB358E26D2}" name="Column11442"/>
    <tableColumn id="11443" xr3:uid="{AD22CE03-B74F-4D3C-8048-2B2CEFA7F9E7}" name="Column11443"/>
    <tableColumn id="11444" xr3:uid="{897864F3-8286-4372-925B-B4B228895D96}" name="Column11444"/>
    <tableColumn id="11445" xr3:uid="{DB959C46-4343-471F-A23A-3E1BD8BBD5E0}" name="Column11445"/>
    <tableColumn id="11446" xr3:uid="{9499C4C3-35CF-4CCE-840A-E41025E264CA}" name="Column11446"/>
    <tableColumn id="11447" xr3:uid="{044998C4-3983-4CE3-9FC9-1EE966022C4D}" name="Column11447"/>
    <tableColumn id="11448" xr3:uid="{FF8319A2-C9E4-4D57-B628-7B984B6DA9ED}" name="Column11448"/>
    <tableColumn id="11449" xr3:uid="{4DC0B18E-A0DF-416E-8055-6A47B58DA47B}" name="Column11449"/>
    <tableColumn id="11450" xr3:uid="{624EAC14-273B-4BDB-BC97-32A4C2996E82}" name="Column11450"/>
    <tableColumn id="11451" xr3:uid="{044EF780-9A1B-4518-9A2C-E1D56A56D5F1}" name="Column11451"/>
    <tableColumn id="11452" xr3:uid="{A6585543-2DE9-4786-8EB7-CBA1E1FB9852}" name="Column11452"/>
    <tableColumn id="11453" xr3:uid="{66A095C0-2B67-4ED6-AAB8-BF192E89C23B}" name="Column11453"/>
    <tableColumn id="11454" xr3:uid="{C4C4BCEA-E0FA-4D20-9FEC-168C39C2E2F4}" name="Column11454"/>
    <tableColumn id="11455" xr3:uid="{74C0420B-8176-4519-8BD6-5BB374C7DAA5}" name="Column11455"/>
    <tableColumn id="11456" xr3:uid="{9C0368FE-4C24-4960-904E-4A5B09591D0C}" name="Column11456"/>
    <tableColumn id="11457" xr3:uid="{8118D083-2F3B-44A1-BF0E-DC5E38400B21}" name="Column11457"/>
    <tableColumn id="11458" xr3:uid="{B9EA0F10-12E2-4A70-90D1-34FCF0E53478}" name="Column11458"/>
    <tableColumn id="11459" xr3:uid="{4A0CF84E-86E8-462A-88AE-4300BA36ADE4}" name="Column11459"/>
    <tableColumn id="11460" xr3:uid="{302091AD-A187-4679-9961-25C1A1A0B2F8}" name="Column11460"/>
    <tableColumn id="11461" xr3:uid="{27E9AAC2-B6E6-4A28-AF85-DCCE342B0DFE}" name="Column11461"/>
    <tableColumn id="11462" xr3:uid="{89C8D127-1F92-4597-AAEE-E70A96B5645B}" name="Column11462"/>
    <tableColumn id="11463" xr3:uid="{398CA8E1-B106-4017-B92C-787C38786EC7}" name="Column11463"/>
    <tableColumn id="11464" xr3:uid="{C82FCEFB-1938-4876-9ECE-80873A6762BF}" name="Column11464"/>
    <tableColumn id="11465" xr3:uid="{803AE6D6-4A5B-4B84-8AEA-FB27062ED8B9}" name="Column11465"/>
    <tableColumn id="11466" xr3:uid="{242A93A6-C26C-4242-84CF-AE68B1F15232}" name="Column11466"/>
    <tableColumn id="11467" xr3:uid="{A95E96AE-A2BF-4BAB-B902-07E784FCC76B}" name="Column11467"/>
    <tableColumn id="11468" xr3:uid="{4758A409-88BA-41FA-8F05-6B4E9E8E69A0}" name="Column11468"/>
    <tableColumn id="11469" xr3:uid="{AAC36B03-7E40-4193-8FAD-4031BB10CC61}" name="Column11469"/>
    <tableColumn id="11470" xr3:uid="{66BBAD77-BBD7-41AB-A525-120A2A87AD09}" name="Column11470"/>
    <tableColumn id="11471" xr3:uid="{812F8B41-E622-4880-B0F6-7C697243C663}" name="Column11471"/>
    <tableColumn id="11472" xr3:uid="{E4167B5A-172D-4710-BFFA-1A6EB8314B7C}" name="Column11472"/>
    <tableColumn id="11473" xr3:uid="{338D6F43-2C0B-4069-AB13-0F587F8887EA}" name="Column11473"/>
    <tableColumn id="11474" xr3:uid="{B52D466F-C0D0-4910-B104-147DF01E58CC}" name="Column11474"/>
    <tableColumn id="11475" xr3:uid="{80CC1327-5669-4D3B-8655-0A415D64113E}" name="Column11475"/>
    <tableColumn id="11476" xr3:uid="{4D8C3B15-DADB-49BF-A9E9-D87CC9092491}" name="Column11476"/>
    <tableColumn id="11477" xr3:uid="{F2AEA0E3-1665-40DC-99E8-603EAC5CBD20}" name="Column11477"/>
    <tableColumn id="11478" xr3:uid="{095F502C-5E31-4778-B000-DFEB814BDD51}" name="Column11478"/>
    <tableColumn id="11479" xr3:uid="{26C96F21-720D-4424-9FBC-FEF7C59AE24B}" name="Column11479"/>
    <tableColumn id="11480" xr3:uid="{365F0C28-541A-42F7-88A9-C074F3EBE05E}" name="Column11480"/>
    <tableColumn id="11481" xr3:uid="{901EFD0F-8900-452F-A93B-7877EF52B72A}" name="Column11481"/>
    <tableColumn id="11482" xr3:uid="{3A267F22-2ABA-49A2-9F8A-A810500D6B3C}" name="Column11482"/>
    <tableColumn id="11483" xr3:uid="{5796781E-7C9E-4CF8-A5F6-A166D973F283}" name="Column11483"/>
    <tableColumn id="11484" xr3:uid="{BB62526F-A146-47DA-B773-2EFD83B99923}" name="Column11484"/>
    <tableColumn id="11485" xr3:uid="{31D8EB17-0828-450C-ADDC-E8E25AE7B027}" name="Column11485"/>
    <tableColumn id="11486" xr3:uid="{48CED660-210A-44F6-8824-9ABF7B8DC547}" name="Column11486"/>
    <tableColumn id="11487" xr3:uid="{1B7869A4-6AB8-4C9B-BB30-7599E50DFAFD}" name="Column11487"/>
    <tableColumn id="11488" xr3:uid="{94816369-A2DD-4AFB-86DD-B9A06ABBC2BF}" name="Column11488"/>
    <tableColumn id="11489" xr3:uid="{7A1994A1-C78C-42D2-A567-16F0BC351C6E}" name="Column11489"/>
    <tableColumn id="11490" xr3:uid="{9F3EEAB7-BC3C-4352-AA94-76D5766547A1}" name="Column11490"/>
    <tableColumn id="11491" xr3:uid="{72DEE901-C571-4CE9-9637-E2AB9824E406}" name="Column11491"/>
    <tableColumn id="11492" xr3:uid="{D3BF5DE1-4BED-4CD1-8201-D5F137BA8AAF}" name="Column11492"/>
    <tableColumn id="11493" xr3:uid="{2878E721-4C2D-4962-997A-8E5B3CAAC171}" name="Column11493"/>
    <tableColumn id="11494" xr3:uid="{AFD76B17-1761-482B-9C3C-54640493FB3E}" name="Column11494"/>
    <tableColumn id="11495" xr3:uid="{826E4954-05B7-4769-B958-969569574098}" name="Column11495"/>
    <tableColumn id="11496" xr3:uid="{B0B8BDA7-2507-4B68-94B8-4F3A4DA44300}" name="Column11496"/>
    <tableColumn id="11497" xr3:uid="{02B8CE7A-9A13-4B14-9494-C8F22915E2E4}" name="Column11497"/>
    <tableColumn id="11498" xr3:uid="{AC5E047D-BD46-4D39-9594-5B6414D946B3}" name="Column11498"/>
    <tableColumn id="11499" xr3:uid="{F7333347-19A8-4608-A7D1-1EFC9C6C8132}" name="Column11499"/>
    <tableColumn id="11500" xr3:uid="{ED74E9A2-2082-4BB7-B329-C1CF95B4F9F3}" name="Column11500"/>
    <tableColumn id="11501" xr3:uid="{E254B460-6F47-4515-AD47-7E12E80AF268}" name="Column11501"/>
    <tableColumn id="11502" xr3:uid="{49C931DE-0941-4C6E-A813-D9972FF71D2F}" name="Column11502"/>
    <tableColumn id="11503" xr3:uid="{829BAA38-3021-4639-9D0A-4F4BAE0C69F7}" name="Column11503"/>
    <tableColumn id="11504" xr3:uid="{54EB7B89-0642-478B-B28D-ED8C865DD5B8}" name="Column11504"/>
    <tableColumn id="11505" xr3:uid="{3DF50F74-CEC9-4DD7-BD97-40C05D1C2CB0}" name="Column11505"/>
    <tableColumn id="11506" xr3:uid="{B9C5BC6C-237E-43D0-AC66-8CE758858054}" name="Column11506"/>
    <tableColumn id="11507" xr3:uid="{343A2605-04F6-409B-91B4-59A911B39AA8}" name="Column11507"/>
    <tableColumn id="11508" xr3:uid="{6B606B46-9911-4985-9764-DBBC0DCCD835}" name="Column11508"/>
    <tableColumn id="11509" xr3:uid="{3428A5AB-35E3-4DC8-A23D-020EF7B5C3F0}" name="Column11509"/>
    <tableColumn id="11510" xr3:uid="{33968C2E-F353-49E1-BA3D-FBD38600ADBE}" name="Column11510"/>
    <tableColumn id="11511" xr3:uid="{ABE14A67-0B70-47A8-8DE5-9A4B52AF035E}" name="Column11511"/>
    <tableColumn id="11512" xr3:uid="{7596A7A7-3749-43DA-A5B1-66882BDE5B30}" name="Column11512"/>
    <tableColumn id="11513" xr3:uid="{F67E77C0-3801-4ED4-A8EE-24BB2B1114A0}" name="Column11513"/>
    <tableColumn id="11514" xr3:uid="{5334ECEF-4C17-4D30-89B2-D4273AE78A6F}" name="Column11514"/>
    <tableColumn id="11515" xr3:uid="{E8690F15-1867-43DC-BB1C-EDB96953E95B}" name="Column11515"/>
    <tableColumn id="11516" xr3:uid="{40F72A8C-5168-4ECD-88D0-A6B15EF8D685}" name="Column11516"/>
    <tableColumn id="11517" xr3:uid="{7EBA15DE-DA60-4635-BCAF-29AC7541706D}" name="Column11517"/>
    <tableColumn id="11518" xr3:uid="{3872B4B7-853C-4A06-BD9D-118623C7488B}" name="Column11518"/>
    <tableColumn id="11519" xr3:uid="{429A0D8C-E17F-4D78-A3FA-101B865B24B4}" name="Column11519"/>
    <tableColumn id="11520" xr3:uid="{0DB969A1-2C45-456F-8CDE-ABCAC7CA634A}" name="Column11520"/>
    <tableColumn id="11521" xr3:uid="{55950989-46E6-42D0-9CFA-2E98B7C6523C}" name="Column11521"/>
    <tableColumn id="11522" xr3:uid="{701EB4A8-F8ED-4EDC-9049-D55528698725}" name="Column11522"/>
    <tableColumn id="11523" xr3:uid="{3EB97E05-9235-4B6B-A20D-0C79CAAC112A}" name="Column11523"/>
    <tableColumn id="11524" xr3:uid="{A66D963D-2B4F-4AC8-BD5F-A5DD4E24116D}" name="Column11524"/>
    <tableColumn id="11525" xr3:uid="{F5AE8638-E836-4906-BD5B-504935BFD175}" name="Column11525"/>
    <tableColumn id="11526" xr3:uid="{F60F6FA2-8AAA-4EC3-BD36-02D53D7C10D8}" name="Column11526"/>
    <tableColumn id="11527" xr3:uid="{A5992C5F-08A0-4606-9A97-18E73CAC30C9}" name="Column11527"/>
    <tableColumn id="11528" xr3:uid="{5ADF376F-1684-43B8-9001-7E8F7041F7CA}" name="Column11528"/>
    <tableColumn id="11529" xr3:uid="{17437037-AD42-441F-87BD-CCCDECF91B4E}" name="Column11529"/>
    <tableColumn id="11530" xr3:uid="{269D6295-B0F5-4693-B1AC-334C7EA441E4}" name="Column11530"/>
    <tableColumn id="11531" xr3:uid="{70B5AF47-20C9-4323-BD75-FD4B8573A6E2}" name="Column11531"/>
    <tableColumn id="11532" xr3:uid="{FF886E27-46CB-4102-9D6B-88DD7C730496}" name="Column11532"/>
    <tableColumn id="11533" xr3:uid="{3BAFCD80-3955-4563-9AC4-6BF91424ED74}" name="Column11533"/>
    <tableColumn id="11534" xr3:uid="{07086DAD-9E7E-4DF1-8B15-D57A7E659252}" name="Column11534"/>
    <tableColumn id="11535" xr3:uid="{61FC7C78-7602-40EE-829F-852BCC931CC3}" name="Column11535"/>
    <tableColumn id="11536" xr3:uid="{C4CF213C-9FE8-41AB-8CB9-1DA1F35F4BA1}" name="Column11536"/>
    <tableColumn id="11537" xr3:uid="{7FB4DB47-DB14-4E30-A204-55D1C4F82913}" name="Column11537"/>
    <tableColumn id="11538" xr3:uid="{A7BC9997-035A-4738-90D8-CBFA70952BBB}" name="Column11538"/>
    <tableColumn id="11539" xr3:uid="{A4548C20-6A80-4BF5-BE0C-B7BABF5D8F9F}" name="Column11539"/>
    <tableColumn id="11540" xr3:uid="{E4FFB874-2C25-42B5-93A2-F6A77101800A}" name="Column11540"/>
    <tableColumn id="11541" xr3:uid="{ACE1BC1D-B2A5-45E3-A851-8D65DCD5C3B9}" name="Column11541"/>
    <tableColumn id="11542" xr3:uid="{1C945EFA-D882-4E40-809E-AA402E35A3F0}" name="Column11542"/>
    <tableColumn id="11543" xr3:uid="{C187A4CA-4DBA-45C6-B300-A33CF4D931F3}" name="Column11543"/>
    <tableColumn id="11544" xr3:uid="{ABD56E50-18E2-4A69-94B3-08485E71531B}" name="Column11544"/>
    <tableColumn id="11545" xr3:uid="{EDF871AB-A68D-49A1-BE35-69483897A9A1}" name="Column11545"/>
    <tableColumn id="11546" xr3:uid="{8ED0196C-9F2F-477D-9A57-5E90FDF4EF17}" name="Column11546"/>
    <tableColumn id="11547" xr3:uid="{1543F7AA-B41C-4C64-A437-49F78CF49222}" name="Column11547"/>
    <tableColumn id="11548" xr3:uid="{2D129CE0-C1DF-449D-9284-10E078381DDF}" name="Column11548"/>
    <tableColumn id="11549" xr3:uid="{3AF8C6D7-734A-479B-B40D-D63526A84215}" name="Column11549"/>
    <tableColumn id="11550" xr3:uid="{75DBCF84-2B61-4530-AE73-5B5EFCE3D50E}" name="Column11550"/>
    <tableColumn id="11551" xr3:uid="{FE67281C-86A2-42FE-9E58-EF4D8D6F71D2}" name="Column11551"/>
    <tableColumn id="11552" xr3:uid="{6E6A88AF-6EE8-418C-B7F5-9424097B6F8F}" name="Column11552"/>
    <tableColumn id="11553" xr3:uid="{0CA9ED99-C088-4B54-B436-8117922D13DD}" name="Column11553"/>
    <tableColumn id="11554" xr3:uid="{DF55E423-AC6F-48ED-8BDD-4EA04D838562}" name="Column11554"/>
    <tableColumn id="11555" xr3:uid="{9DF1759C-9AA1-4329-A0FC-D0804F509BE8}" name="Column11555"/>
    <tableColumn id="11556" xr3:uid="{19980F8D-2BC2-4C84-95D6-874F98969BAD}" name="Column11556"/>
    <tableColumn id="11557" xr3:uid="{B8C261E6-F5EC-4A9D-A83D-4FACF4D97F7F}" name="Column11557"/>
    <tableColumn id="11558" xr3:uid="{B86C7FE5-8386-4185-B520-9A71A6B9B87D}" name="Column11558"/>
    <tableColumn id="11559" xr3:uid="{1EA39A18-DCA2-488E-A1D4-639D48221719}" name="Column11559"/>
    <tableColumn id="11560" xr3:uid="{44F1AFD8-CDF1-4157-A131-283F181605C4}" name="Column11560"/>
    <tableColumn id="11561" xr3:uid="{1325E207-05EC-41A5-B20E-F88ABD88ED61}" name="Column11561"/>
    <tableColumn id="11562" xr3:uid="{A67AA8B8-DA28-41FF-B85B-9B6B0033DC26}" name="Column11562"/>
    <tableColumn id="11563" xr3:uid="{F1BB6C9F-9B66-46E1-8F9F-6DB46935F5E7}" name="Column11563"/>
    <tableColumn id="11564" xr3:uid="{AC4041DA-D91C-42AB-9D45-1B835930B92E}" name="Column11564"/>
    <tableColumn id="11565" xr3:uid="{90F67515-EC47-4E02-B1BE-95CABA79AB27}" name="Column11565"/>
    <tableColumn id="11566" xr3:uid="{F67B678D-E526-43F6-AC24-8BA156D5CEB7}" name="Column11566"/>
    <tableColumn id="11567" xr3:uid="{1C9FAE95-7653-4B68-B44B-D40C0BF990AA}" name="Column11567"/>
    <tableColumn id="11568" xr3:uid="{BA134FA6-0FEB-42BE-A1CE-FBC4C76EB609}" name="Column11568"/>
    <tableColumn id="11569" xr3:uid="{48FD1752-14A9-4BE2-BBDD-DE1575C9E86F}" name="Column11569"/>
    <tableColumn id="11570" xr3:uid="{887DFD27-CB94-4660-97CE-1758AE11F41B}" name="Column11570"/>
    <tableColumn id="11571" xr3:uid="{E767D8DE-77F0-4CEB-861D-7E74DECA9FE1}" name="Column11571"/>
    <tableColumn id="11572" xr3:uid="{61BE7E54-29A5-4234-9BD2-61B5DFFF1705}" name="Column11572"/>
    <tableColumn id="11573" xr3:uid="{D1B97FDD-5347-4B8B-98EE-4D081DB5A792}" name="Column11573"/>
    <tableColumn id="11574" xr3:uid="{0117EC9B-6C81-4045-B949-F8F2BC66B096}" name="Column11574"/>
    <tableColumn id="11575" xr3:uid="{23FCF429-B2CC-43BF-AE42-860BD7A3258C}" name="Column11575"/>
    <tableColumn id="11576" xr3:uid="{68128699-2302-4C3A-9C07-D9649492C975}" name="Column11576"/>
    <tableColumn id="11577" xr3:uid="{D7417876-AB3D-4A3B-8769-1EA888D5E37D}" name="Column11577"/>
    <tableColumn id="11578" xr3:uid="{CBCA19B1-5464-4DC6-8AF6-A91D4972BBFE}" name="Column11578"/>
    <tableColumn id="11579" xr3:uid="{9B4E8EF5-EA3E-4915-8D1E-6779005BDBCE}" name="Column11579"/>
    <tableColumn id="11580" xr3:uid="{56CA50B3-759A-4E69-9F82-1D032C6C880E}" name="Column11580"/>
    <tableColumn id="11581" xr3:uid="{B1E33A54-E457-4508-950B-2977501A27E6}" name="Column11581"/>
    <tableColumn id="11582" xr3:uid="{07350763-683E-49FE-A154-D9C327C83A7E}" name="Column11582"/>
    <tableColumn id="11583" xr3:uid="{C9679AFD-C497-4752-92DA-BEE2816B73AD}" name="Column11583"/>
    <tableColumn id="11584" xr3:uid="{9F06419E-B4CF-4D62-AE23-3764D9AEC3F6}" name="Column11584"/>
    <tableColumn id="11585" xr3:uid="{C39B63C3-CEA8-42B3-8631-F6153336837B}" name="Column11585"/>
    <tableColumn id="11586" xr3:uid="{85F06CDF-8933-43F6-A90D-5C980A61B0A8}" name="Column11586"/>
    <tableColumn id="11587" xr3:uid="{21BA76FE-9F9C-4CA6-8605-1DA60D15D646}" name="Column11587"/>
    <tableColumn id="11588" xr3:uid="{9BAD9FB5-EBF3-4AA1-ADE9-0CB9CF47D322}" name="Column11588"/>
    <tableColumn id="11589" xr3:uid="{CDD39709-1D73-450E-AF30-0235D65640D2}" name="Column11589"/>
    <tableColumn id="11590" xr3:uid="{458F6259-A2D7-454B-B1F6-BF00754C8A60}" name="Column11590"/>
    <tableColumn id="11591" xr3:uid="{41762D39-9065-4F89-99C0-3ECD52C9DCE6}" name="Column11591"/>
    <tableColumn id="11592" xr3:uid="{6766FC97-5E4B-4195-A166-DFD18840EB5C}" name="Column11592"/>
    <tableColumn id="11593" xr3:uid="{591847B9-D634-4E98-8FF7-DD5A17B8A303}" name="Column11593"/>
    <tableColumn id="11594" xr3:uid="{CE1EC723-6A79-4388-BF1A-95C7E53F63EA}" name="Column11594"/>
    <tableColumn id="11595" xr3:uid="{9AA3E938-F883-4DF3-91A4-185BE26FE2F1}" name="Column11595"/>
    <tableColumn id="11596" xr3:uid="{1DF9A9F2-9B77-4766-A181-15F7C179F2C9}" name="Column11596"/>
    <tableColumn id="11597" xr3:uid="{A7D26F7B-9320-4338-B375-3BC1916E3F4E}" name="Column11597"/>
    <tableColumn id="11598" xr3:uid="{47ADFAFD-CEF9-4B1F-A000-7FE65BCCD10B}" name="Column11598"/>
    <tableColumn id="11599" xr3:uid="{E7B9283A-8D33-4C5D-916C-D6F0EF565C62}" name="Column11599"/>
    <tableColumn id="11600" xr3:uid="{44DC5473-2251-40E4-B92B-E01E4677F484}" name="Column11600"/>
    <tableColumn id="11601" xr3:uid="{7B42EA49-DD99-4E9A-8773-902D14BB996B}" name="Column11601"/>
    <tableColumn id="11602" xr3:uid="{5B394991-E06E-437E-BCE0-D9FF703D0130}" name="Column11602"/>
    <tableColumn id="11603" xr3:uid="{E900F8E5-C50D-48FD-BA2F-A55DDCD624CB}" name="Column11603"/>
    <tableColumn id="11604" xr3:uid="{A8855584-4773-44D2-91E2-00BA0D142810}" name="Column11604"/>
    <tableColumn id="11605" xr3:uid="{A7A8F566-2524-41D6-876D-D966F5581DA3}" name="Column11605"/>
    <tableColumn id="11606" xr3:uid="{E9735E89-7B81-48E7-83A8-7F67CEAFE47F}" name="Column11606"/>
    <tableColumn id="11607" xr3:uid="{FF38AC68-A2E2-41A9-9693-59FCCD13C16D}" name="Column11607"/>
    <tableColumn id="11608" xr3:uid="{41935F31-7510-4436-8B47-ACEB9AAFFAE3}" name="Column11608"/>
    <tableColumn id="11609" xr3:uid="{56880D20-3403-47B0-A5FB-F94D2B764244}" name="Column11609"/>
    <tableColumn id="11610" xr3:uid="{2325C07B-59CE-41AB-8FEA-EF92E7CDB3D5}" name="Column11610"/>
    <tableColumn id="11611" xr3:uid="{384D0594-8924-4B18-9D55-5E88694E9670}" name="Column11611"/>
    <tableColumn id="11612" xr3:uid="{54F44011-2D17-4F74-B321-FE57E9841FBE}" name="Column11612"/>
    <tableColumn id="11613" xr3:uid="{E4853F0A-24AC-4901-BD54-34814060FEF1}" name="Column11613"/>
    <tableColumn id="11614" xr3:uid="{99B0D964-4B02-4F23-B84C-5261AEFCFCFB}" name="Column11614"/>
    <tableColumn id="11615" xr3:uid="{885BD271-43F5-45C3-B179-8C293BFCD646}" name="Column11615"/>
    <tableColumn id="11616" xr3:uid="{05EC0898-25D4-4C53-8ACF-EFD428F60470}" name="Column11616"/>
    <tableColumn id="11617" xr3:uid="{30B8CA95-D386-469B-92A1-9E488DFBCECA}" name="Column11617"/>
    <tableColumn id="11618" xr3:uid="{743A774E-D601-446A-8918-A4B4A752434F}" name="Column11618"/>
    <tableColumn id="11619" xr3:uid="{80F9CEAD-8026-499D-8906-B17C1AC3CCF7}" name="Column11619"/>
    <tableColumn id="11620" xr3:uid="{EB4DCFBC-DA7B-4DF6-AEA4-8EF5F88F7A28}" name="Column11620"/>
    <tableColumn id="11621" xr3:uid="{66ED2B73-B444-466D-B685-67EABD425058}" name="Column11621"/>
    <tableColumn id="11622" xr3:uid="{0E0EC9CC-B26F-45A8-9179-0D16B3295C3D}" name="Column11622"/>
    <tableColumn id="11623" xr3:uid="{909572E7-309C-4285-B457-54B0848DF577}" name="Column11623"/>
    <tableColumn id="11624" xr3:uid="{B2B6B5D6-9EAE-4C94-9ECC-CF782F6B5227}" name="Column11624"/>
    <tableColumn id="11625" xr3:uid="{FB164793-6F90-4DDC-9F04-29DA17207CD1}" name="Column11625"/>
    <tableColumn id="11626" xr3:uid="{43CFA340-6A4B-4F70-8ABD-205D4D791E5E}" name="Column11626"/>
    <tableColumn id="11627" xr3:uid="{8763458F-ACFB-4BFF-9E49-AF4C5BF25C91}" name="Column11627"/>
    <tableColumn id="11628" xr3:uid="{1B1EEAE6-1207-4880-B042-DC1DE6942E8E}" name="Column11628"/>
    <tableColumn id="11629" xr3:uid="{2C48161C-BB79-44B0-8901-4592FC4A8E59}" name="Column11629"/>
    <tableColumn id="11630" xr3:uid="{D0E5AC06-DB1C-4C06-BC67-72521B7D8877}" name="Column11630"/>
    <tableColumn id="11631" xr3:uid="{39976489-25C5-4C29-BF8B-AC0B6BA5FDEA}" name="Column11631"/>
    <tableColumn id="11632" xr3:uid="{014C166B-1233-4FAA-8C77-4D3AB76D81A9}" name="Column11632"/>
    <tableColumn id="11633" xr3:uid="{17748B4B-AC5B-4031-AA05-D1ED99308DA2}" name="Column11633"/>
    <tableColumn id="11634" xr3:uid="{C176CAFC-8D1A-4CAC-9CFB-5FBC0940DEBA}" name="Column11634"/>
    <tableColumn id="11635" xr3:uid="{2D5B3A29-F87D-4CB9-94A2-2E6CB83B6335}" name="Column11635"/>
    <tableColumn id="11636" xr3:uid="{533717B7-D257-4D47-A99B-7D4B1E5DC10D}" name="Column11636"/>
    <tableColumn id="11637" xr3:uid="{B6A4D907-45D7-47AD-AB2E-6E8EF412379D}" name="Column11637"/>
    <tableColumn id="11638" xr3:uid="{4592F2C5-70CB-4F0A-A384-5EF2A23566B5}" name="Column11638"/>
    <tableColumn id="11639" xr3:uid="{42DEDD3C-0CC5-46C9-ABB0-C861B84B6A54}" name="Column11639"/>
    <tableColumn id="11640" xr3:uid="{43A735AD-D821-4EB5-A4F1-672A1BEF6C3A}" name="Column11640"/>
    <tableColumn id="11641" xr3:uid="{85C8E219-4832-4681-AC15-F55573B6AAAA}" name="Column11641"/>
    <tableColumn id="11642" xr3:uid="{5FC9D185-D381-4586-A293-7BE522C714CF}" name="Column11642"/>
    <tableColumn id="11643" xr3:uid="{8BFE0899-9812-4FA7-B6A9-17E9EB9185D5}" name="Column11643"/>
    <tableColumn id="11644" xr3:uid="{8AE67EDE-363C-4AC8-BB71-4E72063D0BAB}" name="Column11644"/>
    <tableColumn id="11645" xr3:uid="{97C896F0-A892-4AEE-AA48-5FFEABC89EA1}" name="Column11645"/>
    <tableColumn id="11646" xr3:uid="{B3CB9E0E-ACBB-4380-98FA-B5CB1A2B03F4}" name="Column11646"/>
    <tableColumn id="11647" xr3:uid="{75E5BB94-41D9-45C4-8264-BAAD23D8AC74}" name="Column11647"/>
    <tableColumn id="11648" xr3:uid="{A1336F76-A222-4CD8-B40C-4591D1762024}" name="Column11648"/>
    <tableColumn id="11649" xr3:uid="{D6A05E03-1C27-4EE8-AC02-EF4AA2F8B877}" name="Column11649"/>
    <tableColumn id="11650" xr3:uid="{0945CDFA-0557-4E5C-8760-AD7042F0FBF4}" name="Column11650"/>
    <tableColumn id="11651" xr3:uid="{F66CC607-D583-4F02-80C5-6867A230F61F}" name="Column11651"/>
    <tableColumn id="11652" xr3:uid="{A93A00DD-B3B7-4600-8B2D-D69D4CACF339}" name="Column11652"/>
    <tableColumn id="11653" xr3:uid="{24180992-9F28-42AC-8558-3C6BE72A4522}" name="Column11653"/>
    <tableColumn id="11654" xr3:uid="{10FCA612-429D-483F-BB3A-96FE121FA52A}" name="Column11654"/>
    <tableColumn id="11655" xr3:uid="{112C0CD3-EEA1-478F-A7B8-33DCDD1D8CDC}" name="Column11655"/>
    <tableColumn id="11656" xr3:uid="{2CE12BB1-00FF-4254-838C-DF7E34EDF45A}" name="Column11656"/>
    <tableColumn id="11657" xr3:uid="{299C4945-1FF2-4EC7-8D06-BB090A1B969E}" name="Column11657"/>
    <tableColumn id="11658" xr3:uid="{6916307B-4C64-4943-B350-1DD73E019F49}" name="Column11658"/>
    <tableColumn id="11659" xr3:uid="{F60FAD9F-1158-4500-BA78-24805EEC1DB6}" name="Column11659"/>
    <tableColumn id="11660" xr3:uid="{C58E422E-472D-4154-B0E6-F7E569883E5E}" name="Column11660"/>
    <tableColumn id="11661" xr3:uid="{A61FB73F-38AB-4D0E-9372-D01639907B77}" name="Column11661"/>
    <tableColumn id="11662" xr3:uid="{6CABC696-44CD-45E1-A6A3-23CC6A4136C6}" name="Column11662"/>
    <tableColumn id="11663" xr3:uid="{5F2E9C91-2759-49C8-B612-85F1F51220E6}" name="Column11663"/>
    <tableColumn id="11664" xr3:uid="{73CC89E2-11C6-49AA-95F7-C458755ED69F}" name="Column11664"/>
    <tableColumn id="11665" xr3:uid="{69AE42D0-C3AE-4A98-B0B2-2075B1A4B713}" name="Column11665"/>
    <tableColumn id="11666" xr3:uid="{6DEC3D4C-EDFA-4D70-89DF-C8E08A1A7156}" name="Column11666"/>
    <tableColumn id="11667" xr3:uid="{926F8FCE-4274-482C-B72A-35A49BB8CD94}" name="Column11667"/>
    <tableColumn id="11668" xr3:uid="{7AC8EAD0-7969-4270-947C-E117E6BB6540}" name="Column11668"/>
    <tableColumn id="11669" xr3:uid="{F454E225-B8F8-41C3-B406-8BF609B5C786}" name="Column11669"/>
    <tableColumn id="11670" xr3:uid="{B81CFE3B-1F45-4255-89DE-70ABE0E71039}" name="Column11670"/>
    <tableColumn id="11671" xr3:uid="{109655AE-4C56-490D-A4B7-75F76E7D70A5}" name="Column11671"/>
    <tableColumn id="11672" xr3:uid="{162C806D-2CA3-4DA6-8C61-695597BA42CF}" name="Column11672"/>
    <tableColumn id="11673" xr3:uid="{1E18F03A-0AEC-40DB-BF13-BD1CDBD3C6AB}" name="Column11673"/>
    <tableColumn id="11674" xr3:uid="{096FD46C-4614-48F4-AB28-A53422A12C0E}" name="Column11674"/>
    <tableColumn id="11675" xr3:uid="{1B12E178-8971-46C7-9935-E1F64F760A30}" name="Column11675"/>
    <tableColumn id="11676" xr3:uid="{72231162-02F0-4311-B67F-3234DA1C75B9}" name="Column11676"/>
    <tableColumn id="11677" xr3:uid="{F9455A03-2842-4A0B-B054-BBBEFEC2023E}" name="Column11677"/>
    <tableColumn id="11678" xr3:uid="{B589DAD1-4211-4737-8908-0A0CA6985DCF}" name="Column11678"/>
    <tableColumn id="11679" xr3:uid="{7F047F73-CB97-4FBB-B15E-76A9287226B3}" name="Column11679"/>
    <tableColumn id="11680" xr3:uid="{7B935630-A42B-4BBC-A0AD-326AE0FB6A9C}" name="Column11680"/>
    <tableColumn id="11681" xr3:uid="{05376D42-9241-4C50-8BF2-984D442C1820}" name="Column11681"/>
    <tableColumn id="11682" xr3:uid="{E3552AB8-203C-40C9-B137-48A199599164}" name="Column11682"/>
    <tableColumn id="11683" xr3:uid="{98E348CF-EA9E-43BF-8F36-B1A88F9F3C77}" name="Column11683"/>
    <tableColumn id="11684" xr3:uid="{218717DA-3EDD-4816-AB0F-CC237219758F}" name="Column11684"/>
    <tableColumn id="11685" xr3:uid="{56C10F33-1F5E-424A-B02D-A1E27A096877}" name="Column11685"/>
    <tableColumn id="11686" xr3:uid="{85ED934B-0164-4097-A495-BF299A8468D1}" name="Column11686"/>
    <tableColumn id="11687" xr3:uid="{4CE61269-06C7-4946-BF61-0EF656BAA360}" name="Column11687"/>
    <tableColumn id="11688" xr3:uid="{7855B4D9-5A5D-404A-9C6C-A813F471BBAB}" name="Column11688"/>
    <tableColumn id="11689" xr3:uid="{B53C1600-CAB8-4DA4-88E1-7534F165C593}" name="Column11689"/>
    <tableColumn id="11690" xr3:uid="{832542D0-CD29-492B-8185-B2D72AF625E2}" name="Column11690"/>
    <tableColumn id="11691" xr3:uid="{C78F23A5-AA95-48B5-BEC2-5AFFAFB4B17F}" name="Column11691"/>
    <tableColumn id="11692" xr3:uid="{F84B72E7-C887-4F23-94A7-10853740F9F6}" name="Column11692"/>
    <tableColumn id="11693" xr3:uid="{253F11A2-8BD0-44E1-A88A-DB9D04A7E317}" name="Column11693"/>
    <tableColumn id="11694" xr3:uid="{CE87AB1A-86C0-4DA8-9DFF-85ECB5C7D113}" name="Column11694"/>
    <tableColumn id="11695" xr3:uid="{AA049A92-A839-493E-AC3D-E0C4E48F1121}" name="Column11695"/>
    <tableColumn id="11696" xr3:uid="{04877D22-FF3E-420E-93DA-1C5D0B8E69B8}" name="Column11696"/>
    <tableColumn id="11697" xr3:uid="{E759D2C4-7B4B-4196-9573-D5B5911BD508}" name="Column11697"/>
    <tableColumn id="11698" xr3:uid="{4655AA6F-E587-4FEA-AB0E-9ED403FE10FD}" name="Column11698"/>
    <tableColumn id="11699" xr3:uid="{710CC47F-5E65-4635-8721-3C5B35AF89D4}" name="Column11699"/>
    <tableColumn id="11700" xr3:uid="{1DA875F3-BE32-4BE4-9428-6B58E7ECCDAE}" name="Column11700"/>
    <tableColumn id="11701" xr3:uid="{7E839457-31DD-4D66-B178-A2727D37D535}" name="Column11701"/>
    <tableColumn id="11702" xr3:uid="{4F112D0D-BC6F-4975-9ACA-E6DC76E2F754}" name="Column11702"/>
    <tableColumn id="11703" xr3:uid="{35A3D695-F526-44B9-BF06-1C6CDD78D140}" name="Column11703"/>
    <tableColumn id="11704" xr3:uid="{0D3E93C5-2B6B-4A62-AF6B-F2AF29391BC8}" name="Column11704"/>
    <tableColumn id="11705" xr3:uid="{50F411B2-54BF-4068-BFE3-430C94232DCB}" name="Column11705"/>
    <tableColumn id="11706" xr3:uid="{D49F49D9-870A-4ED7-81BE-1CBEBD9FB1A2}" name="Column11706"/>
    <tableColumn id="11707" xr3:uid="{583A5134-6FD3-4F73-ABEF-E5D9E7E9BAD8}" name="Column11707"/>
    <tableColumn id="11708" xr3:uid="{60B6E2BA-1700-4CD1-9727-71D2C58405BD}" name="Column11708"/>
    <tableColumn id="11709" xr3:uid="{D90C9250-D679-4A2F-BD57-C7E7DE785F57}" name="Column11709"/>
    <tableColumn id="11710" xr3:uid="{F91A0568-8E57-4C9C-87DD-40901F5D4436}" name="Column11710"/>
    <tableColumn id="11711" xr3:uid="{26E86A8C-F19D-4173-9687-2CC40AA59F55}" name="Column11711"/>
    <tableColumn id="11712" xr3:uid="{9D97A383-6BC6-4DFC-9D0C-C598EEDEFCD8}" name="Column11712"/>
    <tableColumn id="11713" xr3:uid="{2371478A-B318-4062-B594-A7B7B00ED978}" name="Column11713"/>
    <tableColumn id="11714" xr3:uid="{692807FF-C219-4A10-A472-C3D529919D07}" name="Column11714"/>
    <tableColumn id="11715" xr3:uid="{00FB76A0-8EAF-4BDB-9814-AAADC239DAEB}" name="Column11715"/>
    <tableColumn id="11716" xr3:uid="{5BE29CF3-B664-4CD6-966C-770D8414D9AB}" name="Column11716"/>
    <tableColumn id="11717" xr3:uid="{BE78F451-3351-4383-9256-34043F71CF68}" name="Column11717"/>
    <tableColumn id="11718" xr3:uid="{E2856981-576C-491C-B52D-499725499400}" name="Column11718"/>
    <tableColumn id="11719" xr3:uid="{09E2BCC5-5B8F-4317-A48D-E8A8D5E7355F}" name="Column11719"/>
    <tableColumn id="11720" xr3:uid="{C17ABC8B-834A-4A15-8063-8BEFFC3C3028}" name="Column11720"/>
    <tableColumn id="11721" xr3:uid="{587B5932-3B86-4763-9B7F-DCF8703BF773}" name="Column11721"/>
    <tableColumn id="11722" xr3:uid="{600351E3-DA56-42BB-A86A-BCCF39E50FBA}" name="Column11722"/>
    <tableColumn id="11723" xr3:uid="{6F6A58DD-3CA2-421C-8A74-74F7A74AD782}" name="Column11723"/>
    <tableColumn id="11724" xr3:uid="{11E1F779-2B9C-4A92-95ED-3E60C92AC0A0}" name="Column11724"/>
    <tableColumn id="11725" xr3:uid="{330CDC7F-1CF4-490D-9B98-1CCFAB0FA083}" name="Column11725"/>
    <tableColumn id="11726" xr3:uid="{00EF217E-6854-4195-9AE2-A3FF77680B16}" name="Column11726"/>
    <tableColumn id="11727" xr3:uid="{580DABAD-FCB8-44AD-89C1-F081BBEAB867}" name="Column11727"/>
    <tableColumn id="11728" xr3:uid="{ADF2D3AE-E16B-4850-BA67-8EEF41C4BCDA}" name="Column11728"/>
    <tableColumn id="11729" xr3:uid="{AEDA5A1B-E389-4085-A204-280AE2029CC1}" name="Column11729"/>
    <tableColumn id="11730" xr3:uid="{1FCF30D1-7AEA-4127-818E-DE9256212112}" name="Column11730"/>
    <tableColumn id="11731" xr3:uid="{44755343-9BBF-46EB-92E1-52C03C96B93B}" name="Column11731"/>
    <tableColumn id="11732" xr3:uid="{DD7683F3-EAE3-4E30-8ABF-7C5309190C3E}" name="Column11732"/>
    <tableColumn id="11733" xr3:uid="{29576EFC-948E-4FF9-9F51-CD244D01D262}" name="Column11733"/>
    <tableColumn id="11734" xr3:uid="{A0F931AE-1453-4B33-858B-26FCFB699C55}" name="Column11734"/>
    <tableColumn id="11735" xr3:uid="{9A690F98-F9F6-47E7-A333-527388588430}" name="Column11735"/>
    <tableColumn id="11736" xr3:uid="{8835DDA7-7ABC-438F-B757-47E07C0C783E}" name="Column11736"/>
    <tableColumn id="11737" xr3:uid="{D788629B-05C4-43C0-A800-33CFB89294AE}" name="Column11737"/>
    <tableColumn id="11738" xr3:uid="{EAE9362B-6A1A-45BB-A9FC-927A7BE4AF85}" name="Column11738"/>
    <tableColumn id="11739" xr3:uid="{8E78122C-5813-4A61-9C2E-1F397E9556CB}" name="Column11739"/>
    <tableColumn id="11740" xr3:uid="{1E565F43-B06E-4F39-9C57-DFA624041ECD}" name="Column11740"/>
    <tableColumn id="11741" xr3:uid="{423185B7-0D76-4379-BAC6-BED9626835B7}" name="Column11741"/>
    <tableColumn id="11742" xr3:uid="{EAEFFCEB-198A-443B-BD13-CD1B3C3ABC08}" name="Column11742"/>
    <tableColumn id="11743" xr3:uid="{BFE611E5-F016-4C1B-80CA-71C7A6E1A957}" name="Column11743"/>
    <tableColumn id="11744" xr3:uid="{1EAF263D-19A1-410F-A181-A4E44367F218}" name="Column11744"/>
    <tableColumn id="11745" xr3:uid="{536FABCE-6D8B-421C-80CE-027401F688B8}" name="Column11745"/>
    <tableColumn id="11746" xr3:uid="{7CE02921-9608-477C-A517-3375C89A1CB5}" name="Column11746"/>
    <tableColumn id="11747" xr3:uid="{E66D9C6F-FE95-43B0-A327-C46E2C3D25D9}" name="Column11747"/>
    <tableColumn id="11748" xr3:uid="{4058943E-C7D0-41FE-8245-59282B49E302}" name="Column11748"/>
    <tableColumn id="11749" xr3:uid="{49757E0E-8D07-4E66-A15B-7F450A4BBA21}" name="Column11749"/>
    <tableColumn id="11750" xr3:uid="{BB828BD0-32FC-4C1D-8D93-39FA1D43B885}" name="Column11750"/>
    <tableColumn id="11751" xr3:uid="{B194CB28-D89A-41EE-A3F8-28F3E730F0F0}" name="Column11751"/>
    <tableColumn id="11752" xr3:uid="{5DB220A9-0C08-4FC9-A0DF-7CB54C40FFC6}" name="Column11752"/>
    <tableColumn id="11753" xr3:uid="{0D5101FA-982D-481C-8EA1-529DDD1E0178}" name="Column11753"/>
    <tableColumn id="11754" xr3:uid="{CA0F7F0A-2388-472F-9F33-AED017EBCA42}" name="Column11754"/>
    <tableColumn id="11755" xr3:uid="{8ECA6D73-07C7-46F3-A743-A62501D809C3}" name="Column11755"/>
    <tableColumn id="11756" xr3:uid="{A4E56538-9094-47E3-A316-DD948D789D92}" name="Column11756"/>
    <tableColumn id="11757" xr3:uid="{C4AED757-C3CA-4E9C-9EAB-149500F7F517}" name="Column11757"/>
    <tableColumn id="11758" xr3:uid="{A697F995-AA4F-4F2E-AB28-75BA23286BBB}" name="Column11758"/>
    <tableColumn id="11759" xr3:uid="{6B8D2253-EB5D-4F64-922F-8EBDE6F15A81}" name="Column11759"/>
    <tableColumn id="11760" xr3:uid="{21C2DD78-5BC7-4B64-B3F6-8315FA4A9CF7}" name="Column11760"/>
    <tableColumn id="11761" xr3:uid="{932EC6E0-EDCD-48AD-9884-519D88954E02}" name="Column11761"/>
    <tableColumn id="11762" xr3:uid="{D4DEEDA2-FDD5-4B20-B450-198602BEBD7C}" name="Column11762"/>
    <tableColumn id="11763" xr3:uid="{63174A07-A660-4AC8-A319-FD46D1D5ED97}" name="Column11763"/>
    <tableColumn id="11764" xr3:uid="{6D42F409-A0D8-4415-B47E-8AF5BBBEC345}" name="Column11764"/>
    <tableColumn id="11765" xr3:uid="{12794EFF-1AE4-495C-906E-322E2B7B6528}" name="Column11765"/>
    <tableColumn id="11766" xr3:uid="{8FF1E85A-B206-4785-83D6-355146028287}" name="Column11766"/>
    <tableColumn id="11767" xr3:uid="{B3BC4991-0533-4930-B612-F364D5CCB24F}" name="Column11767"/>
    <tableColumn id="11768" xr3:uid="{2C7B7E6F-4A4D-48A4-BEEE-F8DB5D1B9AE0}" name="Column11768"/>
    <tableColumn id="11769" xr3:uid="{1518A88B-514E-431F-9420-E280B9626DF8}" name="Column11769"/>
    <tableColumn id="11770" xr3:uid="{28FA6471-B74F-45D9-AE27-753930794E6F}" name="Column11770"/>
    <tableColumn id="11771" xr3:uid="{462FD525-98B9-44C1-BD04-EE8FDB86E243}" name="Column11771"/>
    <tableColumn id="11772" xr3:uid="{E69AA6BB-D09B-427F-BA7D-A4C3CEA2C043}" name="Column11772"/>
    <tableColumn id="11773" xr3:uid="{5CA393F2-3ED3-4470-9342-4A62FB26551F}" name="Column11773"/>
    <tableColumn id="11774" xr3:uid="{0E68EEA3-C21E-4145-820B-4AFE8E5F5DD8}" name="Column11774"/>
    <tableColumn id="11775" xr3:uid="{58D27F86-F6C4-4CEC-9317-3BA66AC8C2CE}" name="Column11775"/>
    <tableColumn id="11776" xr3:uid="{5D5BE945-891F-4DA1-94F5-0FAB005C3627}" name="Column11776"/>
    <tableColumn id="11777" xr3:uid="{F7C2E745-87AE-4BE3-91DF-3FCEC19304B3}" name="Column11777"/>
    <tableColumn id="11778" xr3:uid="{775147E7-1DFE-42BD-A710-A1153E967871}" name="Column11778"/>
    <tableColumn id="11779" xr3:uid="{C502CF6C-4597-484D-B3E4-50E48D50ABE9}" name="Column11779"/>
    <tableColumn id="11780" xr3:uid="{151CB416-E27A-4C89-B41F-D6C15CF79637}" name="Column11780"/>
    <tableColumn id="11781" xr3:uid="{08388EA1-AAB2-4D5C-8302-80D04DEE1A5F}" name="Column11781"/>
    <tableColumn id="11782" xr3:uid="{474B4232-3DF1-425A-85EE-D225808D3F6D}" name="Column11782"/>
    <tableColumn id="11783" xr3:uid="{CE2CBB98-395C-4A48-B4DD-D88911722D66}" name="Column11783"/>
    <tableColumn id="11784" xr3:uid="{93CDB02D-A365-4B25-B983-2042AF4DFA36}" name="Column11784"/>
    <tableColumn id="11785" xr3:uid="{581CDD14-BDEE-4F4C-810C-117C7695CB6F}" name="Column11785"/>
    <tableColumn id="11786" xr3:uid="{CE014DDE-87C3-4313-A3B8-3F88394246E8}" name="Column11786"/>
    <tableColumn id="11787" xr3:uid="{4D6AA730-C0BB-435B-8703-87DB633C6DD1}" name="Column11787"/>
    <tableColumn id="11788" xr3:uid="{E89A8A6D-723D-4D66-B804-2364C26D9B8A}" name="Column11788"/>
    <tableColumn id="11789" xr3:uid="{BEC3413D-FB0B-49C3-9C68-4D6A2FD3BFDE}" name="Column11789"/>
    <tableColumn id="11790" xr3:uid="{51850C9F-C1A9-4D09-9370-ABB81855CE6D}" name="Column11790"/>
    <tableColumn id="11791" xr3:uid="{212E43D2-F2A7-4AC6-841C-FEB238AF1B92}" name="Column11791"/>
    <tableColumn id="11792" xr3:uid="{3B84C675-0D69-4866-9C19-3FD73364ADA4}" name="Column11792"/>
    <tableColumn id="11793" xr3:uid="{C66FFBDA-0D16-45E1-968B-72DF5E1BB646}" name="Column11793"/>
    <tableColumn id="11794" xr3:uid="{0F17881C-7FD0-474E-A0E8-9BF2640AA800}" name="Column11794"/>
    <tableColumn id="11795" xr3:uid="{2197D403-2D76-4268-9160-503A25FDB0EA}" name="Column11795"/>
    <tableColumn id="11796" xr3:uid="{DBD6033F-E1A1-4300-A7E4-F63DD8FCE4F6}" name="Column11796"/>
    <tableColumn id="11797" xr3:uid="{86BD2FC3-C627-4C56-84EA-3FA7535AC9E4}" name="Column11797"/>
    <tableColumn id="11798" xr3:uid="{825ED329-495B-43AD-A14E-30D76E1E676A}" name="Column11798"/>
    <tableColumn id="11799" xr3:uid="{E6C4ED0F-0226-4438-BBF1-E8C02E0A44DF}" name="Column11799"/>
    <tableColumn id="11800" xr3:uid="{87DA5EE0-5A82-4026-9B22-30E9A202435F}" name="Column11800"/>
    <tableColumn id="11801" xr3:uid="{4AB7A6D0-458F-4400-93C9-B4BA8520F2EB}" name="Column11801"/>
    <tableColumn id="11802" xr3:uid="{4630FE9D-0CD0-425F-9586-D6C932496E15}" name="Column11802"/>
    <tableColumn id="11803" xr3:uid="{75449E84-96BA-4255-8C3A-DF5708D5E5ED}" name="Column11803"/>
    <tableColumn id="11804" xr3:uid="{085B12A1-89D5-4409-B8B9-3F230E2CCCE0}" name="Column11804"/>
    <tableColumn id="11805" xr3:uid="{D7729E74-6962-4D1D-8CD8-FD4CCAD05184}" name="Column11805"/>
    <tableColumn id="11806" xr3:uid="{41309737-606B-4061-901A-BBAB51E82DA8}" name="Column11806"/>
    <tableColumn id="11807" xr3:uid="{09FE2D1F-132F-4326-B989-60259F101CA3}" name="Column11807"/>
    <tableColumn id="11808" xr3:uid="{E810DC6B-89F6-4220-B0F8-99DA124D97C6}" name="Column11808"/>
    <tableColumn id="11809" xr3:uid="{5D314904-4F94-496F-A015-5421F520D2D0}" name="Column11809"/>
    <tableColumn id="11810" xr3:uid="{58784AC4-6C59-4876-AA04-E83BA5F7EA36}" name="Column11810"/>
    <tableColumn id="11811" xr3:uid="{E45E1925-E867-4F24-8CB7-85A4AA5253A2}" name="Column11811"/>
    <tableColumn id="11812" xr3:uid="{E83B3C86-3DCA-433F-B777-AE7B88366D0A}" name="Column11812"/>
    <tableColumn id="11813" xr3:uid="{0DF56E7F-BAF8-4740-9657-2C90FD86631A}" name="Column11813"/>
    <tableColumn id="11814" xr3:uid="{215C6852-44F5-4B4D-98D6-753DA91652A5}" name="Column11814"/>
    <tableColumn id="11815" xr3:uid="{EA541EE5-609D-4C51-B529-D6FB0DBF26C7}" name="Column11815"/>
    <tableColumn id="11816" xr3:uid="{5B44FFC0-98C3-449B-B12A-99686EC1966A}" name="Column11816"/>
    <tableColumn id="11817" xr3:uid="{85AD657A-E968-4241-9DB7-732237511779}" name="Column11817"/>
    <tableColumn id="11818" xr3:uid="{2F4B934C-AC6F-4DA7-9391-3D8B7CFE50B6}" name="Column11818"/>
    <tableColumn id="11819" xr3:uid="{8FE10603-48CD-492A-A0CB-1D6512D470A6}" name="Column11819"/>
    <tableColumn id="11820" xr3:uid="{B08EB8BF-8516-4B01-B676-AE1CC035F91C}" name="Column11820"/>
    <tableColumn id="11821" xr3:uid="{7C364DBA-4250-4E25-8474-ACC882B0EA64}" name="Column11821"/>
    <tableColumn id="11822" xr3:uid="{A2F1499C-79E1-48A0-BAC1-8A9FA3E0B07F}" name="Column11822"/>
    <tableColumn id="11823" xr3:uid="{F6681A11-15FD-4373-BFEA-1928CF2C74EB}" name="Column11823"/>
    <tableColumn id="11824" xr3:uid="{0459D4FF-8C78-4C23-B954-916AE92A4D7F}" name="Column11824"/>
    <tableColumn id="11825" xr3:uid="{DFB10B04-B037-4A81-AD1E-579C8727F200}" name="Column11825"/>
    <tableColumn id="11826" xr3:uid="{44F6E2BF-114B-4AB3-B51D-73F06C7508AE}" name="Column11826"/>
    <tableColumn id="11827" xr3:uid="{C3F5FA69-EAF5-47A4-BEA8-279AAAF8FC15}" name="Column11827"/>
    <tableColumn id="11828" xr3:uid="{DF1AD16F-63F6-4C89-95A3-A0008EEF9D62}" name="Column11828"/>
    <tableColumn id="11829" xr3:uid="{3B156880-6740-4492-9A7D-DF77A601DE9E}" name="Column11829"/>
    <tableColumn id="11830" xr3:uid="{02DBFBFA-1C18-4FC9-A840-5249CF075E71}" name="Column11830"/>
    <tableColumn id="11831" xr3:uid="{725AFF73-9B10-447F-BCD2-1A8943FEF55D}" name="Column11831"/>
    <tableColumn id="11832" xr3:uid="{AE9F23B4-2FAD-4E38-8DE6-C03356A00054}" name="Column11832"/>
    <tableColumn id="11833" xr3:uid="{31D37FD6-B9BD-49E2-AEDD-CF32DEE589AB}" name="Column11833"/>
    <tableColumn id="11834" xr3:uid="{991B6C2D-58DA-4FBC-BA70-C91D6DDFF8E2}" name="Column11834"/>
    <tableColumn id="11835" xr3:uid="{D7943E68-2B84-40D0-B06E-2B7566368D5E}" name="Column11835"/>
    <tableColumn id="11836" xr3:uid="{4F2CAC41-FD0A-4127-86DB-D68A2134A7E4}" name="Column11836"/>
    <tableColumn id="11837" xr3:uid="{87C420E8-3ED6-45B3-91F5-C4F900F05302}" name="Column11837"/>
    <tableColumn id="11838" xr3:uid="{814DB075-086A-4BA8-82C6-D9938FEB9D72}" name="Column11838"/>
    <tableColumn id="11839" xr3:uid="{BA4B2EB8-28BB-4C7F-B3EC-A8723FA7941C}" name="Column11839"/>
    <tableColumn id="11840" xr3:uid="{A7A26561-CA98-46EC-BB4A-22FF0C375FC7}" name="Column11840"/>
    <tableColumn id="11841" xr3:uid="{84B6690E-9C61-4EEC-A196-FD99D0B6CF84}" name="Column11841"/>
    <tableColumn id="11842" xr3:uid="{93144247-3CC1-436B-81ED-6562AE506685}" name="Column11842"/>
    <tableColumn id="11843" xr3:uid="{73BDE77F-C897-4823-8B73-52AE5D99BEF4}" name="Column11843"/>
    <tableColumn id="11844" xr3:uid="{85F31630-82D2-46ED-B66F-7B46DBCF309C}" name="Column11844"/>
    <tableColumn id="11845" xr3:uid="{082EF17B-E28F-48F5-A388-0EB0D01C25FB}" name="Column11845"/>
    <tableColumn id="11846" xr3:uid="{604333E2-741D-4508-8FFA-F24AE78404E0}" name="Column11846"/>
    <tableColumn id="11847" xr3:uid="{4DF1A382-5752-4D04-A625-A0F4F3A1F6FD}" name="Column11847"/>
    <tableColumn id="11848" xr3:uid="{5ECB1F28-8A41-44FB-80A2-8382613B5E3B}" name="Column11848"/>
    <tableColumn id="11849" xr3:uid="{BD87915D-9F4D-48CD-8C58-B9327E9FB4CD}" name="Column11849"/>
    <tableColumn id="11850" xr3:uid="{B59F783A-DB52-483F-819B-2A36C01AEA76}" name="Column11850"/>
    <tableColumn id="11851" xr3:uid="{45CD6419-50B0-43ED-B6FC-65657B7B171F}" name="Column11851"/>
    <tableColumn id="11852" xr3:uid="{1B998CDC-4B94-4B7C-A880-09ACF5A023FC}" name="Column11852"/>
    <tableColumn id="11853" xr3:uid="{B1B229E5-3083-4A94-8F1E-6D297933294B}" name="Column11853"/>
    <tableColumn id="11854" xr3:uid="{A1B52185-F8A7-401B-9BE5-2611E586BB6F}" name="Column11854"/>
    <tableColumn id="11855" xr3:uid="{69978A8C-C891-4B78-8080-2F58D3A8E13A}" name="Column11855"/>
    <tableColumn id="11856" xr3:uid="{1F055AA6-2D13-4C09-A96C-D06D1AC0A3C6}" name="Column11856"/>
    <tableColumn id="11857" xr3:uid="{C6F79996-643E-41D3-A54A-6B3433A55B7A}" name="Column11857"/>
    <tableColumn id="11858" xr3:uid="{50E48B64-20F6-43D7-B9E3-B1BD4DA67230}" name="Column11858"/>
    <tableColumn id="11859" xr3:uid="{6E4AC299-B1E2-48D5-9408-08D1DAD36E62}" name="Column11859"/>
    <tableColumn id="11860" xr3:uid="{83E6F2FB-047F-4D86-B7B4-F8CFF72FB5F1}" name="Column11860"/>
    <tableColumn id="11861" xr3:uid="{7F086949-E0AC-4CA6-9430-2A16A62F9AFD}" name="Column11861"/>
    <tableColumn id="11862" xr3:uid="{09E92977-EFC8-48B2-A4FF-30482924DE98}" name="Column11862"/>
    <tableColumn id="11863" xr3:uid="{FE74574F-6A1B-4DAC-B8EA-29611C1C80AD}" name="Column11863"/>
    <tableColumn id="11864" xr3:uid="{8E006E60-23A2-44E8-A05D-215BDCA3C0AC}" name="Column11864"/>
    <tableColumn id="11865" xr3:uid="{5871829D-D61A-43E3-9E9C-E7B88F402485}" name="Column11865"/>
    <tableColumn id="11866" xr3:uid="{F8003BDA-ADA3-48C3-9C98-3CC7EB37CECE}" name="Column11866"/>
    <tableColumn id="11867" xr3:uid="{803F476F-7AAB-4916-B755-0944909AB7E6}" name="Column11867"/>
    <tableColumn id="11868" xr3:uid="{1535238B-3BE0-49BF-8514-5177FB9E94D2}" name="Column11868"/>
    <tableColumn id="11869" xr3:uid="{4F7CBEBB-F917-4A3E-9213-7993E82D34AC}" name="Column11869"/>
    <tableColumn id="11870" xr3:uid="{26F75793-4132-41ED-B783-AC86F5454A68}" name="Column11870"/>
    <tableColumn id="11871" xr3:uid="{17F166A0-E5AE-48FB-AEC3-1FA9CA0A3F9A}" name="Column11871"/>
    <tableColumn id="11872" xr3:uid="{6C19A628-82B8-48AB-AD7D-EC2047D375BE}" name="Column11872"/>
    <tableColumn id="11873" xr3:uid="{85A4DF0B-AF93-4290-8E9F-1548683C4390}" name="Column11873"/>
    <tableColumn id="11874" xr3:uid="{10A96F22-8623-4972-8D33-9A8AA8C20FAF}" name="Column11874"/>
    <tableColumn id="11875" xr3:uid="{F36B73FB-B608-4388-9171-0D1B00BF37D0}" name="Column11875"/>
    <tableColumn id="11876" xr3:uid="{7F8D62C8-389D-4819-9F50-13FB78D575CC}" name="Column11876"/>
    <tableColumn id="11877" xr3:uid="{9BFDDFAC-8B4B-40A9-8462-2CB33E5AAE4D}" name="Column11877"/>
    <tableColumn id="11878" xr3:uid="{C3C7E949-E3C1-478B-943E-1A4AFA780D76}" name="Column11878"/>
    <tableColumn id="11879" xr3:uid="{5F2AED90-3D5F-466F-94D3-B6561A73E184}" name="Column11879"/>
    <tableColumn id="11880" xr3:uid="{40DBA0C0-68CA-443E-B1D4-FE97B340349F}" name="Column11880"/>
    <tableColumn id="11881" xr3:uid="{564D7E5C-D955-42FD-9DEC-C1D08D1D6BD3}" name="Column11881"/>
    <tableColumn id="11882" xr3:uid="{D38F9869-736B-405E-91E7-9904BCA6EBEA}" name="Column11882"/>
    <tableColumn id="11883" xr3:uid="{F4D03E98-D975-4961-8A40-A6D052B17DA9}" name="Column11883"/>
    <tableColumn id="11884" xr3:uid="{A9287CC3-E1EC-4F78-8B78-C8B4A38C55BD}" name="Column11884"/>
    <tableColumn id="11885" xr3:uid="{CC69483F-25BE-4CE7-B8C1-4CE7F9ADFF4F}" name="Column11885"/>
    <tableColumn id="11886" xr3:uid="{0AC0F25D-2CDE-48FC-A555-701EB359B011}" name="Column11886"/>
    <tableColumn id="11887" xr3:uid="{C5E87CC7-C8D3-4EE6-8719-E3D270D9A0B0}" name="Column11887"/>
    <tableColumn id="11888" xr3:uid="{38964E73-3925-4C17-9C81-3F6F1F01B384}" name="Column11888"/>
    <tableColumn id="11889" xr3:uid="{72B61E6C-2F57-4D3E-82CC-5219FC0901C1}" name="Column11889"/>
    <tableColumn id="11890" xr3:uid="{620057DF-4A8E-4E83-9E13-B1145AD666E5}" name="Column11890"/>
    <tableColumn id="11891" xr3:uid="{518F67DA-FD32-4B66-AF65-C1BE0D23F3A6}" name="Column11891"/>
    <tableColumn id="11892" xr3:uid="{4BA66794-424E-43B1-8E53-1D0756BBBEEB}" name="Column11892"/>
    <tableColumn id="11893" xr3:uid="{581065EF-41EC-4560-98BC-E0A739DA4C71}" name="Column11893"/>
    <tableColumn id="11894" xr3:uid="{041D2B1E-E6AE-4BA0-A702-37768611EE2F}" name="Column11894"/>
    <tableColumn id="11895" xr3:uid="{92B2B233-6D4B-41DD-BDEE-CB891AAD0263}" name="Column11895"/>
    <tableColumn id="11896" xr3:uid="{08234148-04A3-4EDE-B94F-0940589F6B9F}" name="Column11896"/>
    <tableColumn id="11897" xr3:uid="{D8FB54D7-233B-421C-801B-512D1D0C91AA}" name="Column11897"/>
    <tableColumn id="11898" xr3:uid="{A90DDF86-EE17-4759-8325-30522A8CC563}" name="Column11898"/>
    <tableColumn id="11899" xr3:uid="{D00F029F-B636-4419-8923-DD850A397F5B}" name="Column11899"/>
    <tableColumn id="11900" xr3:uid="{A056B337-EE26-4A0D-B01D-07FB9100B88A}" name="Column11900"/>
    <tableColumn id="11901" xr3:uid="{34D4BB1B-85BB-4836-92EB-BDEB18FE418C}" name="Column11901"/>
    <tableColumn id="11902" xr3:uid="{228E9DA0-89DB-48B8-AD3E-702954212BF7}" name="Column11902"/>
    <tableColumn id="11903" xr3:uid="{D7332843-11DC-41D3-B61C-5742AE3C6EBB}" name="Column11903"/>
    <tableColumn id="11904" xr3:uid="{E1ED7F3A-F800-455D-9122-14825EF7064D}" name="Column11904"/>
    <tableColumn id="11905" xr3:uid="{C4C959B1-95B7-4C25-8C02-96EB259251E1}" name="Column11905"/>
    <tableColumn id="11906" xr3:uid="{72AFBAD8-C81E-4C78-BF3B-FFF001F3A9D5}" name="Column11906"/>
    <tableColumn id="11907" xr3:uid="{46677BCF-8FCD-4552-85FB-867453B5FCB3}" name="Column11907"/>
    <tableColumn id="11908" xr3:uid="{B234E86D-C759-456B-83AD-E23B761FE6C8}" name="Column11908"/>
    <tableColumn id="11909" xr3:uid="{2CE19D0F-D890-45A2-B447-1483603364C6}" name="Column11909"/>
    <tableColumn id="11910" xr3:uid="{992B6194-66A7-441D-AB55-0AB711C5E1AF}" name="Column11910"/>
    <tableColumn id="11911" xr3:uid="{07E6BBBF-F5F8-453C-A1EE-B3E382B9E1D6}" name="Column11911"/>
    <tableColumn id="11912" xr3:uid="{C9A8912E-75DE-4D76-9691-69D6E36D210F}" name="Column11912"/>
    <tableColumn id="11913" xr3:uid="{CB684EAA-2FD7-412D-9B7B-EDE5BA1BC735}" name="Column11913"/>
    <tableColumn id="11914" xr3:uid="{FED67D2A-E9CF-4238-A324-6FC6E59E7269}" name="Column11914"/>
    <tableColumn id="11915" xr3:uid="{C2065991-4258-4FA8-A94B-11512D9481D3}" name="Column11915"/>
    <tableColumn id="11916" xr3:uid="{064C2F08-4C9A-4BDA-B6D4-A20AF98C75C6}" name="Column11916"/>
    <tableColumn id="11917" xr3:uid="{E1DA7ACB-7E90-429F-A2A7-84C2BFBEDCFF}" name="Column11917"/>
    <tableColumn id="11918" xr3:uid="{9324A235-CE68-452C-A823-CB2FA5674CB8}" name="Column11918"/>
    <tableColumn id="11919" xr3:uid="{212919D2-CFFF-4DA7-9B79-F33B8B3270F2}" name="Column11919"/>
    <tableColumn id="11920" xr3:uid="{180BA4FF-2FCC-44C5-ACA3-F6D7A4396DEC}" name="Column11920"/>
    <tableColumn id="11921" xr3:uid="{69365063-4A1C-431D-9F41-E6F51011FC6D}" name="Column11921"/>
    <tableColumn id="11922" xr3:uid="{5CDE827A-2DF2-4EF5-BF93-8C8F7172DEDF}" name="Column11922"/>
    <tableColumn id="11923" xr3:uid="{5FD6A7B9-90C4-43B3-B34F-BAE13F7CFABF}" name="Column11923"/>
    <tableColumn id="11924" xr3:uid="{24458C8A-D0CE-4252-81B9-1CAF044735E3}" name="Column11924"/>
    <tableColumn id="11925" xr3:uid="{18A3FEC3-BFA1-424B-A38F-AE023B64F37D}" name="Column11925"/>
    <tableColumn id="11926" xr3:uid="{3DF3957D-27B4-47C4-AAD8-7146E78131AF}" name="Column11926"/>
    <tableColumn id="11927" xr3:uid="{F850CEDE-8A58-4240-AD44-9CC74718FB1B}" name="Column11927"/>
    <tableColumn id="11928" xr3:uid="{06A3DBF9-55D9-420F-AAEB-39484D8EB7E5}" name="Column11928"/>
    <tableColumn id="11929" xr3:uid="{358F60E0-B08D-48C7-A0EA-8634D1966F50}" name="Column11929"/>
    <tableColumn id="11930" xr3:uid="{1587B9F6-9B3C-4648-97F1-BF5AE847AFB4}" name="Column11930"/>
    <tableColumn id="11931" xr3:uid="{9CB495AF-8D65-41FC-8EE6-0BED4741EECE}" name="Column11931"/>
    <tableColumn id="11932" xr3:uid="{C8EA6A41-BE73-407F-9309-89A12BDB65F9}" name="Column11932"/>
    <tableColumn id="11933" xr3:uid="{AB6781D1-C661-4B38-A1AE-17F8D3E218B8}" name="Column11933"/>
    <tableColumn id="11934" xr3:uid="{43C272D3-0FA3-416B-AC29-F45778C42A3C}" name="Column11934"/>
    <tableColumn id="11935" xr3:uid="{2A56AE4E-5EF2-4277-BBA3-0518872046D8}" name="Column11935"/>
    <tableColumn id="11936" xr3:uid="{6E3F5443-D3FD-4B0B-9497-EABF6AF6BB1D}" name="Column11936"/>
    <tableColumn id="11937" xr3:uid="{9D726152-3942-4B5D-B670-4B853DB2BEC4}" name="Column11937"/>
    <tableColumn id="11938" xr3:uid="{C125D6CC-BE9F-4086-9764-750DECEF5CE3}" name="Column11938"/>
    <tableColumn id="11939" xr3:uid="{3E00566E-FBB0-45A5-B256-C59EAF8C9437}" name="Column11939"/>
    <tableColumn id="11940" xr3:uid="{08C577B3-CA31-43DB-818B-A62DF54F9773}" name="Column11940"/>
    <tableColumn id="11941" xr3:uid="{236F150C-99C1-41DF-9256-58791D82099D}" name="Column11941"/>
    <tableColumn id="11942" xr3:uid="{E980D749-5B42-4100-86F8-F3280BF558BF}" name="Column11942"/>
    <tableColumn id="11943" xr3:uid="{51E5DE03-1BA7-4CDB-9A58-93288F9F7FFF}" name="Column11943"/>
    <tableColumn id="11944" xr3:uid="{8135C591-FB7C-480F-8E3D-E2DF32F4B889}" name="Column11944"/>
    <tableColumn id="11945" xr3:uid="{BB2F1756-4A12-4281-835D-DAF35674B742}" name="Column11945"/>
    <tableColumn id="11946" xr3:uid="{D7DA030B-3A09-478F-BCE8-B2C74CED2423}" name="Column11946"/>
    <tableColumn id="11947" xr3:uid="{BAFC0E05-C81D-4D2C-ADBA-D27E40320EF0}" name="Column11947"/>
    <tableColumn id="11948" xr3:uid="{9C10E1D6-73E0-4C12-AAE5-9FD3C809288C}" name="Column11948"/>
    <tableColumn id="11949" xr3:uid="{8372F91C-BF8A-4C05-B392-4C57E313145C}" name="Column11949"/>
    <tableColumn id="11950" xr3:uid="{A021281A-DEE5-4818-AFAA-50B38DFF6EDA}" name="Column11950"/>
    <tableColumn id="11951" xr3:uid="{A0ED872A-D77A-4497-82C0-E24671636BC4}" name="Column11951"/>
    <tableColumn id="11952" xr3:uid="{F762B60D-5A17-456D-AFDE-0FF4835AF435}" name="Column11952"/>
    <tableColumn id="11953" xr3:uid="{9EBE89F0-B06C-4BDF-9CA7-6B9D914AB7BE}" name="Column11953"/>
    <tableColumn id="11954" xr3:uid="{D4032091-6272-452C-AEA4-330DD0159FE0}" name="Column11954"/>
    <tableColumn id="11955" xr3:uid="{2D3D3FAD-2D35-4878-8A83-D12C73D127C1}" name="Column11955"/>
    <tableColumn id="11956" xr3:uid="{3F1AC70B-578F-46AC-9A0F-A50D6A085199}" name="Column11956"/>
    <tableColumn id="11957" xr3:uid="{2C808BCC-F798-4662-A79B-41FAC287FBCB}" name="Column11957"/>
    <tableColumn id="11958" xr3:uid="{8BF85F48-78BB-45FE-B9E9-42239B28C052}" name="Column11958"/>
    <tableColumn id="11959" xr3:uid="{972676F4-7958-4940-B7A2-9C4D8D4AA7A4}" name="Column11959"/>
    <tableColumn id="11960" xr3:uid="{642681FD-D1B6-4AE5-8D58-EAA76AE4BE6E}" name="Column11960"/>
    <tableColumn id="11961" xr3:uid="{A2908F9E-97F3-4C11-A19A-9B6F37EDC24A}" name="Column11961"/>
    <tableColumn id="11962" xr3:uid="{C6A55731-FC74-4718-9D11-36D394519F07}" name="Column11962"/>
    <tableColumn id="11963" xr3:uid="{C73FA982-F709-4F93-A3E5-83F5B5D222CB}" name="Column11963"/>
    <tableColumn id="11964" xr3:uid="{ACDA26A6-12F1-4BD3-9389-A70DEAC839F5}" name="Column11964"/>
    <tableColumn id="11965" xr3:uid="{6861B070-FE78-466E-A8B2-A6E649759D3C}" name="Column11965"/>
    <tableColumn id="11966" xr3:uid="{BADE6A56-082A-4FF4-9DAD-FA24BD78A6C5}" name="Column11966"/>
    <tableColumn id="11967" xr3:uid="{2694BBC0-3DBA-44C4-A61D-106140CFB5C4}" name="Column11967"/>
    <tableColumn id="11968" xr3:uid="{0FA513CE-AE70-4033-9CD2-9A51F702B47E}" name="Column11968"/>
    <tableColumn id="11969" xr3:uid="{16DE5C86-F5C3-4259-AF4A-1C87B8407FF2}" name="Column11969"/>
    <tableColumn id="11970" xr3:uid="{3167FCA5-53C1-4DFC-BE8E-8252FAB13952}" name="Column11970"/>
    <tableColumn id="11971" xr3:uid="{6439330E-CF0A-4C99-AEBE-3180EB88A349}" name="Column11971"/>
    <tableColumn id="11972" xr3:uid="{47213CCF-FCD8-4CD4-B948-6F7A62CE48C0}" name="Column11972"/>
    <tableColumn id="11973" xr3:uid="{16C57F72-2AD1-453B-B175-2A7E85F3B595}" name="Column11973"/>
    <tableColumn id="11974" xr3:uid="{DD89A76E-7D59-4365-8C93-C80CC77F167D}" name="Column11974"/>
    <tableColumn id="11975" xr3:uid="{957FC210-97B5-4BA0-8274-9062F51271A5}" name="Column11975"/>
    <tableColumn id="11976" xr3:uid="{17DC5451-4B33-4F85-9A7F-C1FC00987472}" name="Column11976"/>
    <tableColumn id="11977" xr3:uid="{C9857480-7449-422C-B9CF-8DFE3D71125F}" name="Column11977"/>
    <tableColumn id="11978" xr3:uid="{66758A5E-A106-4782-8B18-02D834F06B3E}" name="Column11978"/>
    <tableColumn id="11979" xr3:uid="{C39AB240-4E78-46C9-89E8-3C6D9EAD1BBA}" name="Column11979"/>
    <tableColumn id="11980" xr3:uid="{741B3B24-15C0-4AEE-ABAE-B263907CB1DB}" name="Column11980"/>
    <tableColumn id="11981" xr3:uid="{AD158DB6-8270-4A23-A49B-245FD4CD7A36}" name="Column11981"/>
    <tableColumn id="11982" xr3:uid="{4BAE3F3E-F35D-4BA5-B894-B5AD06213B5B}" name="Column11982"/>
    <tableColumn id="11983" xr3:uid="{6E89E607-31E6-4134-A1AA-B8C1B0C4F444}" name="Column11983"/>
    <tableColumn id="11984" xr3:uid="{A96DEDDB-42CC-42C0-A525-54C900B3B952}" name="Column11984"/>
    <tableColumn id="11985" xr3:uid="{B2FC84E7-4F41-4657-9F91-E914A9F172C1}" name="Column11985"/>
    <tableColumn id="11986" xr3:uid="{B6824D06-F483-44B6-879B-140CE70B3973}" name="Column11986"/>
    <tableColumn id="11987" xr3:uid="{858EBEA3-11ED-4305-AF72-C6538E732461}" name="Column11987"/>
    <tableColumn id="11988" xr3:uid="{43FECF88-5A06-43E3-A381-3F54A78B0D9B}" name="Column11988"/>
    <tableColumn id="11989" xr3:uid="{4F1DDE7D-2D21-4E06-9327-C96A741086EC}" name="Column11989"/>
    <tableColumn id="11990" xr3:uid="{DE834D6A-3E2A-4CBE-AEC7-F28310C086A1}" name="Column11990"/>
    <tableColumn id="11991" xr3:uid="{6DAEF0DD-7C65-4749-8AEA-E3F8EB27E36F}" name="Column11991"/>
    <tableColumn id="11992" xr3:uid="{F63386DE-7342-4D22-93F6-22185538B92B}" name="Column11992"/>
    <tableColumn id="11993" xr3:uid="{9081C565-8A58-46C0-9822-084528048F8B}" name="Column11993"/>
    <tableColumn id="11994" xr3:uid="{E44E8E7F-8CD8-40B3-8D96-19878FAF8566}" name="Column11994"/>
    <tableColumn id="11995" xr3:uid="{BD2D682A-3169-422B-8EAA-B706C39B4A37}" name="Column11995"/>
    <tableColumn id="11996" xr3:uid="{25386C0D-36E3-4076-8952-7600FC2A406A}" name="Column11996"/>
    <tableColumn id="11997" xr3:uid="{C1051583-9CEE-497A-B160-14D5500C99DE}" name="Column11997"/>
    <tableColumn id="11998" xr3:uid="{41424402-4EF8-47DB-8D65-BC01EC8DFFB9}" name="Column11998"/>
    <tableColumn id="11999" xr3:uid="{0645EE73-7991-4A3B-9DAF-0B289727D183}" name="Column11999"/>
    <tableColumn id="12000" xr3:uid="{D87E5686-E68B-4387-8DD5-3C3CBD7BF502}" name="Column12000"/>
    <tableColumn id="12001" xr3:uid="{51C6CD4A-56B1-4EBB-BCC6-E41183AA7EE1}" name="Column12001"/>
    <tableColumn id="12002" xr3:uid="{5FF08D08-B600-4186-8415-001752DFBEF2}" name="Column12002"/>
    <tableColumn id="12003" xr3:uid="{934A223C-7927-4210-9C62-BD9595D80D48}" name="Column12003"/>
    <tableColumn id="12004" xr3:uid="{70A513C6-965D-445D-B5BA-53DF3939FC00}" name="Column12004"/>
    <tableColumn id="12005" xr3:uid="{57718F70-1B36-483A-8598-34A0ACA96416}" name="Column12005"/>
    <tableColumn id="12006" xr3:uid="{8277DFFD-5D5F-469C-8C2B-AA13B4558048}" name="Column12006"/>
    <tableColumn id="12007" xr3:uid="{04854E6C-5CD8-4790-9A57-1E9A76807AD1}" name="Column12007"/>
    <tableColumn id="12008" xr3:uid="{CE99B2B2-1D7D-4C16-8B0A-0A9B8429BCB1}" name="Column12008"/>
    <tableColumn id="12009" xr3:uid="{CCB3AC00-D4FC-4974-BD51-AEF3EC14BC98}" name="Column12009"/>
    <tableColumn id="12010" xr3:uid="{8F622EE8-BA0A-4243-B004-5637160B2334}" name="Column12010"/>
    <tableColumn id="12011" xr3:uid="{8B376AC1-49B3-40AB-BE58-47F38E3FDCFB}" name="Column12011"/>
    <tableColumn id="12012" xr3:uid="{D8C3C808-D554-482F-B8C6-437D8F5DDC87}" name="Column12012"/>
    <tableColumn id="12013" xr3:uid="{C3483A51-EA49-43A6-A673-662974B623EC}" name="Column12013"/>
    <tableColumn id="12014" xr3:uid="{E79F4790-9CCB-4332-B9B3-FC8B8F43C18C}" name="Column12014"/>
    <tableColumn id="12015" xr3:uid="{0477D7B4-13E4-419B-8124-4DF29BB4AD90}" name="Column12015"/>
    <tableColumn id="12016" xr3:uid="{ECC6D18B-A811-48F8-8DD1-EAAACF5BB9BA}" name="Column12016"/>
    <tableColumn id="12017" xr3:uid="{CE4B2D1E-4FCE-45BB-85CF-1E2A737AB345}" name="Column12017"/>
    <tableColumn id="12018" xr3:uid="{EA40D607-5F0C-4D71-B9B6-64A9E7BF8FBC}" name="Column12018"/>
    <tableColumn id="12019" xr3:uid="{D854D284-5447-4C12-B083-B7F93EA02073}" name="Column12019"/>
    <tableColumn id="12020" xr3:uid="{C9BB5E2B-5F72-4C3C-B711-C63EA3C8B360}" name="Column12020"/>
    <tableColumn id="12021" xr3:uid="{ABA14078-586D-45C6-A252-AE7B37576BA6}" name="Column12021"/>
    <tableColumn id="12022" xr3:uid="{A6FDB41F-48FA-45AB-BDAF-01A01531DA56}" name="Column12022"/>
    <tableColumn id="12023" xr3:uid="{61A0225E-124B-46FE-BCD9-07D033260B65}" name="Column12023"/>
    <tableColumn id="12024" xr3:uid="{10A837F5-E259-44F9-B528-84A58569C4BF}" name="Column12024"/>
    <tableColumn id="12025" xr3:uid="{EB7D5E24-49AD-4A2A-A525-8571A45F81E6}" name="Column12025"/>
    <tableColumn id="12026" xr3:uid="{17161F21-B6F6-4EAF-9CC6-2754A06BC542}" name="Column12026"/>
    <tableColumn id="12027" xr3:uid="{AF0E9A2F-B9FE-41E4-8A53-9579B677292D}" name="Column12027"/>
    <tableColumn id="12028" xr3:uid="{6B30F6D4-99DF-47BE-9984-F6E9DD16602C}" name="Column12028"/>
    <tableColumn id="12029" xr3:uid="{A361B2BC-A17A-4E06-9C06-CD3900A0AC02}" name="Column12029"/>
    <tableColumn id="12030" xr3:uid="{17858439-4AA4-4467-8761-4C007A3AC7E1}" name="Column12030"/>
    <tableColumn id="12031" xr3:uid="{D9852604-E985-4D51-A83D-E8D0658EA51A}" name="Column12031"/>
    <tableColumn id="12032" xr3:uid="{596F7609-ABB8-472C-BDC8-E4DADF70A57F}" name="Column12032"/>
    <tableColumn id="12033" xr3:uid="{02EC26C9-10EE-4087-98BF-C233D8E86BB1}" name="Column12033"/>
    <tableColumn id="12034" xr3:uid="{4C406E63-5869-42A9-83B2-B57C55BA16EF}" name="Column12034"/>
    <tableColumn id="12035" xr3:uid="{650AC56F-A97F-4760-AE58-00107725468A}" name="Column12035"/>
    <tableColumn id="12036" xr3:uid="{30C9BBC3-8CAA-450A-B37D-32258CD202DF}" name="Column12036"/>
    <tableColumn id="12037" xr3:uid="{C53A8FD0-35BF-4839-954D-D39050BA8FB1}" name="Column12037"/>
    <tableColumn id="12038" xr3:uid="{2C6E3577-E51E-4886-9EB8-B51CAB2B02E9}" name="Column12038"/>
    <tableColumn id="12039" xr3:uid="{189A7DB1-A9B2-4FAC-A090-3E50CF09E3B6}" name="Column12039"/>
    <tableColumn id="12040" xr3:uid="{12228362-92E9-4D7A-9E3B-274896C8CA83}" name="Column12040"/>
    <tableColumn id="12041" xr3:uid="{CE6A7732-5CC1-49A2-9B13-267A142C49BA}" name="Column12041"/>
    <tableColumn id="12042" xr3:uid="{35F1FF43-E5D5-4EEE-904C-B55CA7308B8A}" name="Column12042"/>
    <tableColumn id="12043" xr3:uid="{E75A2CE7-FC48-4048-BF57-FF6A036CA4BC}" name="Column12043"/>
    <tableColumn id="12044" xr3:uid="{E4A53F92-FED5-455E-A8B5-FC6AADA747A7}" name="Column12044"/>
    <tableColumn id="12045" xr3:uid="{A5044A19-3411-4CC7-8F1B-8C16B2173D7C}" name="Column12045"/>
    <tableColumn id="12046" xr3:uid="{BCA77B1F-AD45-4D92-87D4-2C506A48AC57}" name="Column12046"/>
    <tableColumn id="12047" xr3:uid="{86A6AC9A-9192-4693-A8DD-63C3720608EB}" name="Column12047"/>
    <tableColumn id="12048" xr3:uid="{01F3140D-5FA9-4D69-8F68-A2954CA84696}" name="Column12048"/>
    <tableColumn id="12049" xr3:uid="{932A5570-2A22-4F43-A0E5-64D939B587E9}" name="Column12049"/>
    <tableColumn id="12050" xr3:uid="{7224AE93-811B-4C75-96B3-4A42024619A3}" name="Column12050"/>
    <tableColumn id="12051" xr3:uid="{3D796328-950F-495F-B770-C872B5CE946E}" name="Column12051"/>
    <tableColumn id="12052" xr3:uid="{D37BF949-BB68-4469-A31E-C0E0569DA585}" name="Column12052"/>
    <tableColumn id="12053" xr3:uid="{5942B5FB-C242-4D46-A18E-F07A7CDE825C}" name="Column12053"/>
    <tableColumn id="12054" xr3:uid="{3DAD475E-DDEC-4685-8625-6C6996E94BDD}" name="Column12054"/>
    <tableColumn id="12055" xr3:uid="{795ABD36-1495-49D3-964E-C9156C2DAD79}" name="Column12055"/>
    <tableColumn id="12056" xr3:uid="{E530C42D-FDCA-4676-8AFE-A0DAAC3ADAC7}" name="Column12056"/>
    <tableColumn id="12057" xr3:uid="{05E5F96F-375B-4199-BFFD-953199E56E18}" name="Column12057"/>
    <tableColumn id="12058" xr3:uid="{53B634C8-B969-448E-80BD-0E5B91D7A20E}" name="Column12058"/>
    <tableColumn id="12059" xr3:uid="{667BD7B5-2234-4B5C-9B60-978281D129EF}" name="Column12059"/>
    <tableColumn id="12060" xr3:uid="{2A5ED8E2-C01C-43FE-8BE8-3CFCB3C6F843}" name="Column12060"/>
    <tableColumn id="12061" xr3:uid="{EE96EE8B-D91C-4032-AD93-7AA0401AD955}" name="Column12061"/>
    <tableColumn id="12062" xr3:uid="{95DFFD6B-6B77-44D2-B1D3-CD8A05C69778}" name="Column12062"/>
    <tableColumn id="12063" xr3:uid="{E0537322-FDA9-42D9-B0F7-68F3FD662339}" name="Column12063"/>
    <tableColumn id="12064" xr3:uid="{88BD3AE5-8A57-4672-9CB6-1BE34F90F279}" name="Column12064"/>
    <tableColumn id="12065" xr3:uid="{A9C6DFED-22E0-4EBA-8500-B0DA16DA7F7D}" name="Column12065"/>
    <tableColumn id="12066" xr3:uid="{85722625-5C0E-4B61-AF19-A8C92ED0D748}" name="Column12066"/>
    <tableColumn id="12067" xr3:uid="{AE2460AD-96CE-4BD0-A8AF-FC1C753F7BA7}" name="Column12067"/>
    <tableColumn id="12068" xr3:uid="{5ADADDE2-4CE0-40FF-9429-B20D3C5FC041}" name="Column12068"/>
    <tableColumn id="12069" xr3:uid="{C434F0CA-1DB1-4A55-AFE9-1315317EC627}" name="Column12069"/>
    <tableColumn id="12070" xr3:uid="{20B07666-AE09-472A-A57F-9FF65A2BA6DB}" name="Column12070"/>
    <tableColumn id="12071" xr3:uid="{051E2F45-77D6-45E2-901C-EA82ED54E424}" name="Column12071"/>
    <tableColumn id="12072" xr3:uid="{0769F00F-38B8-47BA-B40E-0C096EC92582}" name="Column12072"/>
    <tableColumn id="12073" xr3:uid="{BF3DC34F-DD13-4A47-9EF2-FFFEC8359FB5}" name="Column12073"/>
    <tableColumn id="12074" xr3:uid="{BBA34BB6-F066-4118-AB03-E46041C16F37}" name="Column12074"/>
    <tableColumn id="12075" xr3:uid="{5942FE0C-8325-4F4B-B2F9-7AE489820651}" name="Column12075"/>
    <tableColumn id="12076" xr3:uid="{7203D902-0474-4FE4-ACAF-68EF334789B1}" name="Column12076"/>
    <tableColumn id="12077" xr3:uid="{5A404F47-2BE4-49CC-9CEE-DC91593BBE14}" name="Column12077"/>
    <tableColumn id="12078" xr3:uid="{F06DD67A-C8E4-4957-A8A2-6079BDE83467}" name="Column12078"/>
    <tableColumn id="12079" xr3:uid="{5B2EBDEA-573E-472B-A94A-A2DD29B9F4A0}" name="Column12079"/>
    <tableColumn id="12080" xr3:uid="{8BC436DB-1803-43EE-9AD2-B6F6BC4FD6DB}" name="Column12080"/>
    <tableColumn id="12081" xr3:uid="{9E1B0A1A-7654-431C-9C86-9A9DC1E6A77B}" name="Column12081"/>
    <tableColumn id="12082" xr3:uid="{D0DF8FB9-B8CC-4A8D-B0C9-F27CE5B556E2}" name="Column12082"/>
    <tableColumn id="12083" xr3:uid="{7A0B55CF-238C-4828-9722-D31E213A8B38}" name="Column12083"/>
    <tableColumn id="12084" xr3:uid="{7CAB80C5-4C3A-4F22-B06F-8995E1434F43}" name="Column12084"/>
    <tableColumn id="12085" xr3:uid="{1125D9DF-46D8-4CB8-938E-66ACD10F1A40}" name="Column12085"/>
    <tableColumn id="12086" xr3:uid="{537EDADF-7AA0-4B29-8808-5EAFE1E196EF}" name="Column12086"/>
    <tableColumn id="12087" xr3:uid="{6F2D1393-E723-4BCB-9372-0A7209E4DA69}" name="Column12087"/>
    <tableColumn id="12088" xr3:uid="{4D361C3B-3BF2-40CB-8816-141BC2A89A8B}" name="Column12088"/>
    <tableColumn id="12089" xr3:uid="{A7205CC5-1580-42CA-9E2E-F941ED07F419}" name="Column12089"/>
    <tableColumn id="12090" xr3:uid="{144D9DA6-AE29-45BD-ADB0-DE0F34F9EC55}" name="Column12090"/>
    <tableColumn id="12091" xr3:uid="{AE39363E-7F0D-491A-805A-A95F98AFD593}" name="Column12091"/>
    <tableColumn id="12092" xr3:uid="{09DA37E7-236F-4E9A-BD1E-235C0879A2E0}" name="Column12092"/>
    <tableColumn id="12093" xr3:uid="{6CC20695-0E81-4D2F-A05E-6971B52501C8}" name="Column12093"/>
    <tableColumn id="12094" xr3:uid="{66AB0AC2-CBC0-48D4-A91A-22FB02906919}" name="Column12094"/>
    <tableColumn id="12095" xr3:uid="{A57991A4-9230-4777-8838-32B1C193433B}" name="Column12095"/>
    <tableColumn id="12096" xr3:uid="{DC5D18D3-AC44-4AC5-931A-E00623880E38}" name="Column12096"/>
    <tableColumn id="12097" xr3:uid="{63752C52-6737-4D8B-AFF2-E109759BE350}" name="Column12097"/>
    <tableColumn id="12098" xr3:uid="{A5DFF85C-272D-483C-8452-768A2C38D1FC}" name="Column12098"/>
    <tableColumn id="12099" xr3:uid="{2F6A0A10-2DE2-410D-8528-61ABB99D207A}" name="Column12099"/>
    <tableColumn id="12100" xr3:uid="{E35FD7C4-94BF-4A72-AB5A-06A10FC70A38}" name="Column12100"/>
    <tableColumn id="12101" xr3:uid="{507BDB4C-9A9C-486E-BF4C-9D54E188264C}" name="Column12101"/>
    <tableColumn id="12102" xr3:uid="{DAF78E90-4EAF-4BF3-B5E7-6891D165CEC9}" name="Column12102"/>
    <tableColumn id="12103" xr3:uid="{BAE33EC0-1BAD-418E-8D59-EE8ED2925240}" name="Column12103"/>
    <tableColumn id="12104" xr3:uid="{FB96215E-3BE5-4359-BB0B-C2DEFD746F4C}" name="Column12104"/>
    <tableColumn id="12105" xr3:uid="{90D208CF-9E43-443B-9B84-CC20248A7FF2}" name="Column12105"/>
    <tableColumn id="12106" xr3:uid="{5630A5B3-8DA9-49D2-8DFC-5841684F260D}" name="Column12106"/>
    <tableColumn id="12107" xr3:uid="{F358DA31-8108-4B41-8AAC-90A459E72E8F}" name="Column12107"/>
    <tableColumn id="12108" xr3:uid="{6097888E-08A1-4921-9440-F7682EE01ACE}" name="Column12108"/>
    <tableColumn id="12109" xr3:uid="{F9B27AFD-6A7D-4CAE-8766-D61B68C43C6A}" name="Column12109"/>
    <tableColumn id="12110" xr3:uid="{D32503BF-790C-43D5-A353-609C6333D4B8}" name="Column12110"/>
    <tableColumn id="12111" xr3:uid="{B59156D2-7841-47D0-9E2A-38DA28DB95C7}" name="Column12111"/>
    <tableColumn id="12112" xr3:uid="{63B9F61C-3CCC-4996-B90A-E07C834D9720}" name="Column12112"/>
    <tableColumn id="12113" xr3:uid="{2B52C96B-E932-44A1-A863-D7F42E1BDE25}" name="Column12113"/>
    <tableColumn id="12114" xr3:uid="{933396B4-899C-4D32-82C1-AD78E8AFA7A0}" name="Column12114"/>
    <tableColumn id="12115" xr3:uid="{B197B3C3-C9DE-4BED-B6BE-D481EA60CCCB}" name="Column12115"/>
    <tableColumn id="12116" xr3:uid="{6487FB4E-A5AB-4BA6-8D9F-443F10FCC725}" name="Column12116"/>
    <tableColumn id="12117" xr3:uid="{1FDFFB34-3132-4AF3-B83F-128842E46F91}" name="Column12117"/>
    <tableColumn id="12118" xr3:uid="{E11E0A82-760F-4176-9E5D-6446DF6EEC4B}" name="Column12118"/>
    <tableColumn id="12119" xr3:uid="{C675ED93-C6BB-4195-BDE6-19DF3F0DC8C8}" name="Column12119"/>
    <tableColumn id="12120" xr3:uid="{0003B23A-F88A-401A-97C6-995695F64C7F}" name="Column12120"/>
    <tableColumn id="12121" xr3:uid="{AE3382B3-1931-40E2-B395-FF97B118A4FC}" name="Column12121"/>
    <tableColumn id="12122" xr3:uid="{4D55B7A9-3FEF-47DE-A1D1-16DE6C18E733}" name="Column12122"/>
    <tableColumn id="12123" xr3:uid="{A43A63DE-D977-4CC7-83B7-26CE0F60D5E4}" name="Column12123"/>
    <tableColumn id="12124" xr3:uid="{63F29C0A-163E-4A81-8B4A-4F1CA8C947AA}" name="Column12124"/>
    <tableColumn id="12125" xr3:uid="{6B7E17F3-161B-46B2-829C-7285BE4474E8}" name="Column12125"/>
    <tableColumn id="12126" xr3:uid="{68003FAC-6FF6-430E-8831-E74681C7C59B}" name="Column12126"/>
    <tableColumn id="12127" xr3:uid="{4802BE64-D25D-4884-9037-B5298B07CECA}" name="Column12127"/>
    <tableColumn id="12128" xr3:uid="{5B4E2C93-0414-4C9D-A703-6053D4DD79D7}" name="Column12128"/>
    <tableColumn id="12129" xr3:uid="{F7858444-CE15-44BF-9987-15A824B372CE}" name="Column12129"/>
    <tableColumn id="12130" xr3:uid="{88AFFE21-EDA9-403C-B751-7879497A72E8}" name="Column12130"/>
    <tableColumn id="12131" xr3:uid="{799A6112-15A8-4639-ADD7-7625D5FF2C69}" name="Column12131"/>
    <tableColumn id="12132" xr3:uid="{4EC32A9D-82E7-4103-9435-6BED464F67C2}" name="Column12132"/>
    <tableColumn id="12133" xr3:uid="{4B2EE77E-439C-4C03-B73F-2077BFBB4DDD}" name="Column12133"/>
    <tableColumn id="12134" xr3:uid="{F04B0254-53F7-4E61-A082-A10202AF5D41}" name="Column12134"/>
    <tableColumn id="12135" xr3:uid="{F9F2903D-1E8F-4359-A105-30CCA030946D}" name="Column12135"/>
    <tableColumn id="12136" xr3:uid="{75BADA3E-AE28-4B5E-9E35-EAAE0870463D}" name="Column12136"/>
    <tableColumn id="12137" xr3:uid="{8F7DAE74-0E01-4CED-9D0D-BF118A7EA32C}" name="Column12137"/>
    <tableColumn id="12138" xr3:uid="{57311049-0B6E-4292-9CA7-68E920D26FEE}" name="Column12138"/>
    <tableColumn id="12139" xr3:uid="{80E11557-F626-4701-BEEA-786A2B6B0D49}" name="Column12139"/>
    <tableColumn id="12140" xr3:uid="{3C8B155A-3055-4F95-8CF1-1AE305728217}" name="Column12140"/>
    <tableColumn id="12141" xr3:uid="{1D7CFE21-B17A-4CD1-B1D6-814AED7CBB16}" name="Column12141"/>
    <tableColumn id="12142" xr3:uid="{1294EAAB-FEE3-400A-82BC-D9A55C51C073}" name="Column12142"/>
    <tableColumn id="12143" xr3:uid="{B73762C8-22A1-43E7-B728-8355B7EE4DBC}" name="Column12143"/>
    <tableColumn id="12144" xr3:uid="{22D569D4-F716-44A4-8C7E-0783EE627586}" name="Column12144"/>
    <tableColumn id="12145" xr3:uid="{C6DDFAB4-6117-46F3-82FB-961AE2E02044}" name="Column12145"/>
    <tableColumn id="12146" xr3:uid="{A5171EF9-7FFA-4E7E-ADC4-6CAA2126CC2E}" name="Column12146"/>
    <tableColumn id="12147" xr3:uid="{67195AA0-40D5-4661-BE49-11EE3487300F}" name="Column12147"/>
    <tableColumn id="12148" xr3:uid="{2BE4C06E-A917-401C-8203-FB1D8E296638}" name="Column12148"/>
    <tableColumn id="12149" xr3:uid="{AE53BBCB-3A5B-4F0B-8FBC-435AD338F536}" name="Column12149"/>
    <tableColumn id="12150" xr3:uid="{31DACE57-58A4-45E3-84D9-309B585B0D6C}" name="Column12150"/>
    <tableColumn id="12151" xr3:uid="{CAB38501-DE6E-4327-AC07-0D08DCEAE665}" name="Column12151"/>
    <tableColumn id="12152" xr3:uid="{70BBE5EB-0066-48BF-8AD1-DE64C67823CF}" name="Column12152"/>
    <tableColumn id="12153" xr3:uid="{44A1E4DD-9D37-4F91-B404-AA633F0349D7}" name="Column12153"/>
    <tableColumn id="12154" xr3:uid="{AC5C7336-3FA9-458C-B851-A6C400E99C73}" name="Column12154"/>
    <tableColumn id="12155" xr3:uid="{D2EEEF5A-8EED-4864-BFBA-AF3A36B4D450}" name="Column12155"/>
    <tableColumn id="12156" xr3:uid="{223A9754-6914-4E92-B048-DCF33682F259}" name="Column12156"/>
    <tableColumn id="12157" xr3:uid="{20022FAB-1CFC-448A-8D00-C5BB143FCE02}" name="Column12157"/>
    <tableColumn id="12158" xr3:uid="{A00E5E61-05A1-4E1B-B090-E4B20BB7DF11}" name="Column12158"/>
    <tableColumn id="12159" xr3:uid="{FB3F67AF-A210-473A-A638-1786FFE90C53}" name="Column12159"/>
    <tableColumn id="12160" xr3:uid="{DFD88E91-0149-4714-BFDC-A2E79BCD862F}" name="Column12160"/>
    <tableColumn id="12161" xr3:uid="{ABF82E21-1698-45C1-A818-5754A31588D7}" name="Column12161"/>
    <tableColumn id="12162" xr3:uid="{0CC78CF1-E508-4861-A6DC-816D30F7ECA8}" name="Column12162"/>
    <tableColumn id="12163" xr3:uid="{A78ED932-9CDE-449B-A4FF-287F3CDFFA77}" name="Column12163"/>
    <tableColumn id="12164" xr3:uid="{A93F2B51-74F1-42BA-B40B-F0C4E1DB4ABE}" name="Column12164"/>
    <tableColumn id="12165" xr3:uid="{497150A8-E6BD-4BD9-A236-0D21EE6F2CA9}" name="Column12165"/>
    <tableColumn id="12166" xr3:uid="{171A8202-4BEB-43BC-8095-5571086747C9}" name="Column12166"/>
    <tableColumn id="12167" xr3:uid="{A3661EB8-6A55-4A55-B053-E5E35EF1497F}" name="Column12167"/>
    <tableColumn id="12168" xr3:uid="{8A5A3563-AE50-4B80-8F57-92C7AD0936EF}" name="Column12168"/>
    <tableColumn id="12169" xr3:uid="{7F1DA1B3-38F1-4EA2-8205-65A82636ADD2}" name="Column12169"/>
    <tableColumn id="12170" xr3:uid="{0900AE5B-EACC-43B5-8FCC-14FBC262A15F}" name="Column12170"/>
    <tableColumn id="12171" xr3:uid="{D6359996-2C16-452F-8EAB-52DEF495710D}" name="Column12171"/>
    <tableColumn id="12172" xr3:uid="{931CDF4B-6522-4277-97C3-C45F6E9F1F3F}" name="Column12172"/>
    <tableColumn id="12173" xr3:uid="{34010582-AEDC-4204-BB4D-608F65BBBF7D}" name="Column12173"/>
    <tableColumn id="12174" xr3:uid="{2B0E6F11-A214-43D0-AC5A-F6C490A206EE}" name="Column12174"/>
    <tableColumn id="12175" xr3:uid="{F6DCD351-8EE0-435A-AF9D-4BE656550471}" name="Column12175"/>
    <tableColumn id="12176" xr3:uid="{BD65C631-C544-4486-B492-9EAFCFDAB6BB}" name="Column12176"/>
    <tableColumn id="12177" xr3:uid="{11FE6A9D-CA2E-4715-897E-E1BCCD53921D}" name="Column12177"/>
    <tableColumn id="12178" xr3:uid="{CC08CA8C-DE97-470C-8D9E-2ED080DACCAC}" name="Column12178"/>
    <tableColumn id="12179" xr3:uid="{4F89B0C9-390F-495F-A48C-47FF4C3C23D7}" name="Column12179"/>
    <tableColumn id="12180" xr3:uid="{7C0D4880-E29D-44F9-9604-75C4653B14F3}" name="Column12180"/>
    <tableColumn id="12181" xr3:uid="{B6A109E1-92BF-4F42-B94A-E91AA6A522A9}" name="Column12181"/>
    <tableColumn id="12182" xr3:uid="{4538D3B6-D453-420D-BDE4-2619A13CC8F6}" name="Column12182"/>
    <tableColumn id="12183" xr3:uid="{C0DE48D3-A0B8-4338-A5F5-1FBD91DCEBDE}" name="Column12183"/>
    <tableColumn id="12184" xr3:uid="{96D51805-A248-42EB-A92D-4D42151887A3}" name="Column12184"/>
    <tableColumn id="12185" xr3:uid="{5173EC1F-FCD3-482F-BAD3-EA2D9288D4DB}" name="Column12185"/>
    <tableColumn id="12186" xr3:uid="{25160779-CB6E-4171-9773-65E23A01094B}" name="Column12186"/>
    <tableColumn id="12187" xr3:uid="{9F775370-16A6-41BC-83C4-F2F03AE219B5}" name="Column12187"/>
    <tableColumn id="12188" xr3:uid="{16482A23-8C8B-41E3-AB43-239648FDB96F}" name="Column12188"/>
    <tableColumn id="12189" xr3:uid="{28EE3BE4-9A74-40B6-BCC6-9F7B2FDB2984}" name="Column12189"/>
    <tableColumn id="12190" xr3:uid="{9CDE5AB6-8DC1-4251-B58B-00D6F667801B}" name="Column12190"/>
    <tableColumn id="12191" xr3:uid="{98B4134D-B294-4E7F-A1F4-F60940B5E255}" name="Column12191"/>
    <tableColumn id="12192" xr3:uid="{3FABA1C1-3CF1-4A5F-96F0-D918B73216C8}" name="Column12192"/>
    <tableColumn id="12193" xr3:uid="{0EB2F684-6F00-44C7-909E-E736BC634428}" name="Column12193"/>
    <tableColumn id="12194" xr3:uid="{767EAB7D-F5B7-403B-9967-84241A42C7CB}" name="Column12194"/>
    <tableColumn id="12195" xr3:uid="{63D35294-638A-4E78-8F17-F21C2E407A00}" name="Column12195"/>
    <tableColumn id="12196" xr3:uid="{38A19A7D-0274-4497-AD0A-12B88F913AF4}" name="Column12196"/>
    <tableColumn id="12197" xr3:uid="{78BDE10F-44E0-47C5-BE46-0A783058E4DE}" name="Column12197"/>
    <tableColumn id="12198" xr3:uid="{BDF31986-BC75-4A15-BE9D-065548569962}" name="Column12198"/>
    <tableColumn id="12199" xr3:uid="{5DBD86C8-FC2E-48BF-8884-2CD1E37543D8}" name="Column12199"/>
    <tableColumn id="12200" xr3:uid="{56242E78-71BC-4528-B26B-BFAA0345E09E}" name="Column12200"/>
    <tableColumn id="12201" xr3:uid="{3DA532A4-C907-4B84-AE5D-0DC10C1BB841}" name="Column12201"/>
    <tableColumn id="12202" xr3:uid="{DCE1C4F0-758F-427B-A1E0-93A1CEAD8A9A}" name="Column12202"/>
    <tableColumn id="12203" xr3:uid="{B28F8E0B-86E3-48F9-A1CF-5FAA7505A5DC}" name="Column12203"/>
    <tableColumn id="12204" xr3:uid="{60C6BA9E-038C-42A6-9FCF-1D2A5F8B6FDE}" name="Column12204"/>
    <tableColumn id="12205" xr3:uid="{296836DA-10BA-43CC-9428-97DEEED779A8}" name="Column12205"/>
    <tableColumn id="12206" xr3:uid="{5BB04355-E1FA-43D7-A17E-01ECC367EFE7}" name="Column12206"/>
    <tableColumn id="12207" xr3:uid="{A67C8692-672E-4AD8-A562-4FE06EEF4453}" name="Column12207"/>
    <tableColumn id="12208" xr3:uid="{0913C010-30A7-4ABE-BE07-6D534043A6C9}" name="Column12208"/>
    <tableColumn id="12209" xr3:uid="{90B60F5B-7283-4574-B72B-74F504C078B9}" name="Column12209"/>
    <tableColumn id="12210" xr3:uid="{4E5A6E9F-AA6B-4E6D-B41B-9C4A43033F75}" name="Column12210"/>
    <tableColumn id="12211" xr3:uid="{CE9D04B9-B82A-4BFC-AF90-6A1632700E25}" name="Column12211"/>
    <tableColumn id="12212" xr3:uid="{97FDE175-4BEA-415B-A033-AC9D0E3755AE}" name="Column12212"/>
    <tableColumn id="12213" xr3:uid="{CF38EA01-5829-4935-B199-53EBEC9D7CF0}" name="Column12213"/>
    <tableColumn id="12214" xr3:uid="{438F3B8B-640B-4F7D-9E53-4E2311F0720C}" name="Column12214"/>
    <tableColumn id="12215" xr3:uid="{1531D2FC-4ACD-4CCC-8A1E-A01AAB1FBB93}" name="Column12215"/>
    <tableColumn id="12216" xr3:uid="{0E8F013C-8961-4F53-811C-4E9C9429E98E}" name="Column12216"/>
    <tableColumn id="12217" xr3:uid="{31DEC82A-6E7C-4BF7-9202-E80ACB55D2CE}" name="Column12217"/>
    <tableColumn id="12218" xr3:uid="{40108A09-B03C-48B7-AD90-FA7A6B059A2A}" name="Column12218"/>
    <tableColumn id="12219" xr3:uid="{B64B1562-BBA3-47FF-B012-B3D09F0DD016}" name="Column12219"/>
    <tableColumn id="12220" xr3:uid="{F372B428-90DE-4C08-8011-04E8116A7E61}" name="Column12220"/>
    <tableColumn id="12221" xr3:uid="{02DCB22C-3D94-4251-A783-7D6CF9EE1AE4}" name="Column12221"/>
    <tableColumn id="12222" xr3:uid="{944BF5EF-0D5B-4623-BD76-3A760D97A13E}" name="Column12222"/>
    <tableColumn id="12223" xr3:uid="{D1DE49CE-03A9-4D52-AD46-48B9AA8FEB12}" name="Column12223"/>
    <tableColumn id="12224" xr3:uid="{567569EE-EFD0-4CC8-826D-37A41AACCBA4}" name="Column12224"/>
    <tableColumn id="12225" xr3:uid="{B0418AA1-10B6-4FAD-A614-04962C4610A2}" name="Column12225"/>
    <tableColumn id="12226" xr3:uid="{0A56BAB6-F4AA-47D9-A1BC-BF31C6284BA5}" name="Column12226"/>
    <tableColumn id="12227" xr3:uid="{EDD0AE91-62D5-43B9-829B-4100FDD8AE8E}" name="Column12227"/>
    <tableColumn id="12228" xr3:uid="{F0FFA2F9-246F-4601-BDE6-461588C12EDC}" name="Column12228"/>
    <tableColumn id="12229" xr3:uid="{65528F4C-7983-4A9D-8E8B-7BC7977D901A}" name="Column12229"/>
    <tableColumn id="12230" xr3:uid="{50D663DC-1F50-43D9-9378-04F55F87C5AD}" name="Column12230"/>
    <tableColumn id="12231" xr3:uid="{A081197A-2328-4487-95E5-D4A85C700DF9}" name="Column12231"/>
    <tableColumn id="12232" xr3:uid="{96DEE36B-D9E9-4966-9C69-FC40F858E92B}" name="Column12232"/>
    <tableColumn id="12233" xr3:uid="{C3249A86-23AF-46C7-950B-1D8C77237AEA}" name="Column12233"/>
    <tableColumn id="12234" xr3:uid="{C6688829-3DD8-4437-8F54-1952E931EC09}" name="Column12234"/>
    <tableColumn id="12235" xr3:uid="{61FC27D2-11A5-4281-A4EF-B289198F842D}" name="Column12235"/>
    <tableColumn id="12236" xr3:uid="{DA066B09-FEAA-443C-BD3C-1F53FD60EBCD}" name="Column12236"/>
    <tableColumn id="12237" xr3:uid="{B7C59343-1BC9-4F45-BC16-3A61E9CF0E44}" name="Column12237"/>
    <tableColumn id="12238" xr3:uid="{5736D30E-F731-4EFF-BF8F-2BD845DE5CA3}" name="Column12238"/>
    <tableColumn id="12239" xr3:uid="{B69B9719-68CC-4C24-B272-F2D6F714189C}" name="Column12239"/>
    <tableColumn id="12240" xr3:uid="{A7CA1C9D-DC86-43A7-8AF9-DE9DE1D56F7E}" name="Column12240"/>
    <tableColumn id="12241" xr3:uid="{D351921E-25CC-4832-8F69-F57049774C99}" name="Column12241"/>
    <tableColumn id="12242" xr3:uid="{E4F2AE3E-0BDF-4D7A-8308-77C41708700E}" name="Column12242"/>
    <tableColumn id="12243" xr3:uid="{68A066BE-2090-4096-AE2E-3F3D1B4170BE}" name="Column12243"/>
    <tableColumn id="12244" xr3:uid="{B314F70F-260A-44AA-92C1-ED83F6577205}" name="Column12244"/>
    <tableColumn id="12245" xr3:uid="{1FE10527-0B55-4092-91FA-3762DE878994}" name="Column12245"/>
    <tableColumn id="12246" xr3:uid="{0CEFF78C-A580-47B3-A152-0431C2C33E4F}" name="Column12246"/>
    <tableColumn id="12247" xr3:uid="{B564DEBE-63BA-4401-ABD4-DBD6F7CDA2ED}" name="Column12247"/>
    <tableColumn id="12248" xr3:uid="{5E278DA0-F7CC-4BE4-9273-4371844B0D16}" name="Column12248"/>
    <tableColumn id="12249" xr3:uid="{FD229A1A-75B6-477F-872A-AD9FB60F8113}" name="Column12249"/>
    <tableColumn id="12250" xr3:uid="{4800745A-3D1D-444D-9A60-0DAB9E4ADD79}" name="Column12250"/>
    <tableColumn id="12251" xr3:uid="{0C4C3E63-2321-4E6A-9E76-F1F5EB42F0D1}" name="Column12251"/>
    <tableColumn id="12252" xr3:uid="{CF6460C3-3226-47A3-AC27-AEEB2489633F}" name="Column12252"/>
    <tableColumn id="12253" xr3:uid="{158951EE-D979-4E85-928C-B56AF9F7EBC9}" name="Column12253"/>
    <tableColumn id="12254" xr3:uid="{03ADC3EC-B68E-45D2-994C-4F4C32E6878E}" name="Column12254"/>
    <tableColumn id="12255" xr3:uid="{3EF87783-0F9F-4477-ADA5-9B99289B7F54}" name="Column12255"/>
    <tableColumn id="12256" xr3:uid="{E84F288C-2ABF-40E7-88AF-AE835525F2E1}" name="Column12256"/>
    <tableColumn id="12257" xr3:uid="{B8CA4B22-350A-4B05-8393-2C5122072379}" name="Column12257"/>
    <tableColumn id="12258" xr3:uid="{B6C83168-68E5-4A7A-82E5-508E301A98F4}" name="Column12258"/>
    <tableColumn id="12259" xr3:uid="{F2A9F3CC-DA62-47C1-9915-8281265D59C8}" name="Column12259"/>
    <tableColumn id="12260" xr3:uid="{A339C073-CE5B-415A-A8D5-571B4039F993}" name="Column12260"/>
    <tableColumn id="12261" xr3:uid="{AE52A80E-1EFE-48EC-906E-BA4FADA969E7}" name="Column12261"/>
    <tableColumn id="12262" xr3:uid="{928465B5-CDAD-4353-9DBE-32E6846A6CCD}" name="Column12262"/>
    <tableColumn id="12263" xr3:uid="{EFCFDB83-18E8-405B-B246-529024BBB5BF}" name="Column12263"/>
    <tableColumn id="12264" xr3:uid="{EE42A18B-C822-45A3-A2FF-A64DF37B4593}" name="Column12264"/>
    <tableColumn id="12265" xr3:uid="{35B27F79-8CCD-4986-8A75-77379822010D}" name="Column12265"/>
    <tableColumn id="12266" xr3:uid="{141A679A-6960-4B08-8D55-0D679EB961CA}" name="Column12266"/>
    <tableColumn id="12267" xr3:uid="{F108AC36-0AFE-49C0-BCD6-840B957B4245}" name="Column12267"/>
    <tableColumn id="12268" xr3:uid="{8D865EC9-3699-4D94-84DE-3F00A55DA573}" name="Column12268"/>
    <tableColumn id="12269" xr3:uid="{721DB7F6-74EE-45A7-8F70-3729CFE4F031}" name="Column12269"/>
    <tableColumn id="12270" xr3:uid="{BA529117-CE47-483D-8916-7A8B8C88D72E}" name="Column12270"/>
    <tableColumn id="12271" xr3:uid="{99B449DC-4710-4EF1-A732-56CDFE674139}" name="Column12271"/>
    <tableColumn id="12272" xr3:uid="{AEBCB4B0-69C8-4662-98EB-49A1EE519B35}" name="Column12272"/>
    <tableColumn id="12273" xr3:uid="{3C7F15E1-24C2-49A5-8810-322E4B62A7BB}" name="Column12273"/>
    <tableColumn id="12274" xr3:uid="{D5B6D484-8241-4DE8-8DBB-0B0468B43E0C}" name="Column12274"/>
    <tableColumn id="12275" xr3:uid="{CA62DD92-2C60-4A8C-A7E2-42A855BAF1F4}" name="Column12275"/>
    <tableColumn id="12276" xr3:uid="{B1764F7C-0088-4A93-8044-0D66FDAC0AB5}" name="Column12276"/>
    <tableColumn id="12277" xr3:uid="{E7150562-2925-45A2-A1A9-D0A21113A375}" name="Column12277"/>
    <tableColumn id="12278" xr3:uid="{C15C2DA7-6A8F-4A46-9357-411EA3F35A5F}" name="Column12278"/>
    <tableColumn id="12279" xr3:uid="{16497B0D-A40A-42F9-96A0-4C44D74C2840}" name="Column12279"/>
    <tableColumn id="12280" xr3:uid="{B73BAA27-1F9A-49C7-B90D-6778964E8205}" name="Column12280"/>
    <tableColumn id="12281" xr3:uid="{AA4B1EC1-1F99-4B14-82E1-F1C8209D4CC2}" name="Column12281"/>
    <tableColumn id="12282" xr3:uid="{692603AF-82F4-4F0A-A3DA-2AA7393D8B71}" name="Column12282"/>
    <tableColumn id="12283" xr3:uid="{92BE684B-A65B-4257-8575-1E78CAE1C8D6}" name="Column12283"/>
    <tableColumn id="12284" xr3:uid="{4700F81B-6180-4F46-97CC-AC1AF75994CC}" name="Column12284"/>
    <tableColumn id="12285" xr3:uid="{DB2A0700-EB3C-4AC1-B2FA-7679719076C6}" name="Column12285"/>
    <tableColumn id="12286" xr3:uid="{A6621ECA-2BD6-416F-B85C-9A8A5BB72380}" name="Column12286"/>
    <tableColumn id="12287" xr3:uid="{F2DD6BF5-A1B3-45D7-9445-FD1FAD0D2322}" name="Column12287"/>
    <tableColumn id="12288" xr3:uid="{AF6C138F-9C41-4A58-9C41-F43A5E3C384F}" name="Column12288"/>
    <tableColumn id="12289" xr3:uid="{77E3EEE0-0EE3-407D-8F8B-DF9341D84B8C}" name="Column12289"/>
    <tableColumn id="12290" xr3:uid="{421AB034-27BD-43A0-A70A-DBB6CF22B744}" name="Column12290"/>
    <tableColumn id="12291" xr3:uid="{E7EF59EB-137D-4992-A5E6-4872C259F64F}" name="Column12291"/>
    <tableColumn id="12292" xr3:uid="{D4A5C0FC-D175-47CC-8777-13B473A3E3A6}" name="Column12292"/>
    <tableColumn id="12293" xr3:uid="{E07CFB8F-154C-4A6B-9CBE-EA65F0CDE9F2}" name="Column12293"/>
    <tableColumn id="12294" xr3:uid="{7FB21E2B-7C5D-4192-B335-8652A14D1EB9}" name="Column12294"/>
    <tableColumn id="12295" xr3:uid="{E7C57810-315F-4316-A772-7F6F5B8F39DB}" name="Column12295"/>
    <tableColumn id="12296" xr3:uid="{EEC24C8A-109A-43C6-82C5-7A4275929BDE}" name="Column12296"/>
    <tableColumn id="12297" xr3:uid="{568811FF-4653-42F7-B734-B9BC3078B263}" name="Column12297"/>
    <tableColumn id="12298" xr3:uid="{4051E80B-3C87-420C-B547-5E23B12716E9}" name="Column12298"/>
    <tableColumn id="12299" xr3:uid="{AB4F3642-7B02-4B97-9D1F-B88A3F34EF48}" name="Column12299"/>
    <tableColumn id="12300" xr3:uid="{2A50222E-B426-4F3C-BBB9-10DE1F33C814}" name="Column12300"/>
    <tableColumn id="12301" xr3:uid="{1FF15CEB-0151-46C4-8616-637B02C15488}" name="Column12301"/>
    <tableColumn id="12302" xr3:uid="{FEE85AD6-AF5E-461F-B0B1-0E2B2A614456}" name="Column12302"/>
    <tableColumn id="12303" xr3:uid="{4C7FB93E-5105-4ACF-8A90-169EC53B878A}" name="Column12303"/>
    <tableColumn id="12304" xr3:uid="{0D587E99-ACDF-43CC-9F7F-FBFF9D1062F2}" name="Column12304"/>
    <tableColumn id="12305" xr3:uid="{2B3D47A0-3B8D-4895-B1BF-F34014FECF2A}" name="Column12305"/>
    <tableColumn id="12306" xr3:uid="{5622432F-5D5A-499A-A320-84278C843ACC}" name="Column12306"/>
    <tableColumn id="12307" xr3:uid="{AC7965D8-D11F-461E-AC84-59967C145B79}" name="Column12307"/>
    <tableColumn id="12308" xr3:uid="{FA8C1997-3CAE-4D27-BD2C-5E7CF8A200DF}" name="Column12308"/>
    <tableColumn id="12309" xr3:uid="{DF340AA2-4D86-4893-850C-0312C9037567}" name="Column12309"/>
    <tableColumn id="12310" xr3:uid="{698564AC-9B44-45B9-AA73-4A4A98A61222}" name="Column12310"/>
    <tableColumn id="12311" xr3:uid="{53D8C7E7-291E-4BB7-912E-668FE3B1273E}" name="Column12311"/>
    <tableColumn id="12312" xr3:uid="{3D0F203C-0FB0-474F-A772-61F023F700ED}" name="Column12312"/>
    <tableColumn id="12313" xr3:uid="{85E46E7D-A116-4514-A220-535ABB9BF4BE}" name="Column12313"/>
    <tableColumn id="12314" xr3:uid="{6F2A16BD-D847-4A2F-8C5E-81CF7144CF10}" name="Column12314"/>
    <tableColumn id="12315" xr3:uid="{233AD4F5-FA3D-4EA4-B6A1-6CB4C805431F}" name="Column12315"/>
    <tableColumn id="12316" xr3:uid="{AA4FB8D4-8F7A-4528-9D0F-552A68D60DC6}" name="Column12316"/>
    <tableColumn id="12317" xr3:uid="{18304CFF-29E7-4596-804B-229F15373755}" name="Column12317"/>
    <tableColumn id="12318" xr3:uid="{AE03BDF3-B5B9-42E4-9B38-05178C0E4EC1}" name="Column12318"/>
    <tableColumn id="12319" xr3:uid="{AF73FCC6-FAFA-4C3F-BABE-27D947F088A0}" name="Column12319"/>
    <tableColumn id="12320" xr3:uid="{B88325B4-9616-4F20-8C25-FBBB86810450}" name="Column12320"/>
    <tableColumn id="12321" xr3:uid="{5347CE7B-35FF-4D5F-BCF8-D1E83A3E0B45}" name="Column12321"/>
    <tableColumn id="12322" xr3:uid="{6761A96E-387E-429C-9755-FAB19E6866B6}" name="Column12322"/>
    <tableColumn id="12323" xr3:uid="{E36E1D59-809A-4D88-AAF7-710C971EF96A}" name="Column12323"/>
    <tableColumn id="12324" xr3:uid="{0A6737ED-032C-4061-A3DF-73DF9285A8C6}" name="Column12324"/>
    <tableColumn id="12325" xr3:uid="{1607ED18-0B79-46AD-91F6-B5D1E74A48C7}" name="Column12325"/>
    <tableColumn id="12326" xr3:uid="{5A72E64D-4C5B-42B6-AFA0-F8B2910EAD76}" name="Column12326"/>
    <tableColumn id="12327" xr3:uid="{A82E3BD7-EF36-4438-BF39-CB945C646874}" name="Column12327"/>
    <tableColumn id="12328" xr3:uid="{ECEEEE3F-DE2F-4ACC-BBC4-10CB6B61963B}" name="Column12328"/>
    <tableColumn id="12329" xr3:uid="{F01F599E-695B-4422-87D7-DB9F85F58D47}" name="Column12329"/>
    <tableColumn id="12330" xr3:uid="{7F68675D-ED1C-4807-A736-125804426507}" name="Column12330"/>
    <tableColumn id="12331" xr3:uid="{BE8E3389-3B9A-4423-AB44-0D7C4C759072}" name="Column12331"/>
    <tableColumn id="12332" xr3:uid="{C7A207FD-7EDD-4364-A68A-41D8A686EF57}" name="Column12332"/>
    <tableColumn id="12333" xr3:uid="{574FD766-0F25-44DD-ACD6-4FCB4F1771C4}" name="Column12333"/>
    <tableColumn id="12334" xr3:uid="{91EF775B-02A6-401F-9B67-ECC41CDC709D}" name="Column12334"/>
    <tableColumn id="12335" xr3:uid="{6AE46396-F166-419C-B11A-B37F8718D91C}" name="Column12335"/>
    <tableColumn id="12336" xr3:uid="{8E45B19B-86A2-43A6-A67A-FDE68DA3490B}" name="Column12336"/>
    <tableColumn id="12337" xr3:uid="{3D3D0C2E-014E-4500-9AED-8B48C707FC2D}" name="Column12337"/>
    <tableColumn id="12338" xr3:uid="{90BBAFAC-ACCB-4D0A-8CC5-0D6301C43533}" name="Column12338"/>
    <tableColumn id="12339" xr3:uid="{73804C3E-F568-40A3-A6BB-449D4F6326CA}" name="Column12339"/>
    <tableColumn id="12340" xr3:uid="{EE8F6FBF-94C1-43F9-8516-DBBF9BDAA068}" name="Column12340"/>
    <tableColumn id="12341" xr3:uid="{6FD894F7-46FC-460E-97F9-2569B6BA846A}" name="Column12341"/>
    <tableColumn id="12342" xr3:uid="{1C78BBC1-A3C6-4CA8-93DB-C57DCCD3B902}" name="Column12342"/>
    <tableColumn id="12343" xr3:uid="{7807FB85-1CBC-4275-8344-3348572A1D7F}" name="Column12343"/>
    <tableColumn id="12344" xr3:uid="{FF0CF53C-EBC5-4317-A496-25832AAEDC96}" name="Column12344"/>
    <tableColumn id="12345" xr3:uid="{307E2B8C-BD05-4F1D-ADF0-2F4E5AF99920}" name="Column12345"/>
    <tableColumn id="12346" xr3:uid="{A2AD12D4-E32F-4336-A1F3-A4D52AABC0D2}" name="Column12346"/>
    <tableColumn id="12347" xr3:uid="{E83553A6-54D2-46C5-9731-B5792FB2C23D}" name="Column12347"/>
    <tableColumn id="12348" xr3:uid="{420AD30D-8D13-4602-8080-25E594F416ED}" name="Column12348"/>
    <tableColumn id="12349" xr3:uid="{A64D1A87-012B-49B7-9814-BD214340D5BA}" name="Column12349"/>
    <tableColumn id="12350" xr3:uid="{28AC3E0F-B5C4-401D-907B-DC0F2AF40351}" name="Column12350"/>
    <tableColumn id="12351" xr3:uid="{1B12C52F-07F5-433E-BB65-9EFA37EAE57F}" name="Column12351"/>
    <tableColumn id="12352" xr3:uid="{D201064E-C948-4E9A-B8A0-16EC9C308E0A}" name="Column12352"/>
    <tableColumn id="12353" xr3:uid="{38B2FC0F-3E18-4596-8576-356DABCB6F18}" name="Column12353"/>
    <tableColumn id="12354" xr3:uid="{8501675D-53E4-4FD7-A43A-B09BE2913AB2}" name="Column12354"/>
    <tableColumn id="12355" xr3:uid="{2719EAFE-A599-49AF-8066-707E5F2661F1}" name="Column12355"/>
    <tableColumn id="12356" xr3:uid="{17B2B932-8689-4949-B327-3F9242B62DD4}" name="Column12356"/>
    <tableColumn id="12357" xr3:uid="{4C6790BE-D05C-4E15-97CA-8060CDF3F2AE}" name="Column12357"/>
    <tableColumn id="12358" xr3:uid="{9F6A944C-3F68-4E6C-BBEA-F0D6AB139BCF}" name="Column12358"/>
    <tableColumn id="12359" xr3:uid="{2D7DCAAD-AE86-42F4-9B2D-58082775CB69}" name="Column12359"/>
    <tableColumn id="12360" xr3:uid="{D4098386-B435-4E37-86DF-5BB38B585E54}" name="Column12360"/>
    <tableColumn id="12361" xr3:uid="{BA81F0F7-4FED-4AC4-8A54-534F4D585D50}" name="Column12361"/>
    <tableColumn id="12362" xr3:uid="{435AD6E0-EB6F-4A02-B42B-0C3DAC9D408B}" name="Column12362"/>
    <tableColumn id="12363" xr3:uid="{B0E715AD-E1CB-406A-A52F-6E3C83E52C33}" name="Column12363"/>
    <tableColumn id="12364" xr3:uid="{1060BC01-79D8-4390-B28A-F75B60928E9C}" name="Column12364"/>
    <tableColumn id="12365" xr3:uid="{84E85FD3-60F4-4E71-AA12-CD02298F727A}" name="Column12365"/>
    <tableColumn id="12366" xr3:uid="{B3513D91-7C2E-4097-8377-49DF524BA0A0}" name="Column12366"/>
    <tableColumn id="12367" xr3:uid="{0BB09348-CB92-4AB7-B6AC-E9890274DE26}" name="Column12367"/>
    <tableColumn id="12368" xr3:uid="{F125F754-D41E-49CC-AC5B-A4D5E0999886}" name="Column12368"/>
    <tableColumn id="12369" xr3:uid="{27A016DA-8BA3-449D-B52F-350D37A8D391}" name="Column12369"/>
    <tableColumn id="12370" xr3:uid="{4AE9B2E0-E69D-4609-9AFF-C2A08A733E21}" name="Column12370"/>
    <tableColumn id="12371" xr3:uid="{8E90CF8F-ACA4-4FD4-B098-B0362446B965}" name="Column12371"/>
    <tableColumn id="12372" xr3:uid="{27867339-DE21-49F9-8F43-ACFF8F361940}" name="Column12372"/>
    <tableColumn id="12373" xr3:uid="{4FE8C7CA-C1F1-4C09-A549-F10490C9BBEB}" name="Column12373"/>
    <tableColumn id="12374" xr3:uid="{22A761D4-69F6-4409-BAB6-53DF6326F3C8}" name="Column12374"/>
    <tableColumn id="12375" xr3:uid="{EE09A22B-27DC-46A2-A4AF-8AC9992CEEDA}" name="Column12375"/>
    <tableColumn id="12376" xr3:uid="{9D9B8744-DE4A-4FCC-8800-D4D384019E57}" name="Column12376"/>
    <tableColumn id="12377" xr3:uid="{B0A8D290-C4AD-4CCE-ABA4-1AA6041E746B}" name="Column12377"/>
    <tableColumn id="12378" xr3:uid="{7FEEA633-F665-409C-A037-4669EF3A395A}" name="Column12378"/>
    <tableColumn id="12379" xr3:uid="{69B7EEBD-A668-4E17-B8E4-AE5776DC3935}" name="Column12379"/>
    <tableColumn id="12380" xr3:uid="{DBF578DF-04EB-42E4-8ED2-23E067971F44}" name="Column12380"/>
    <tableColumn id="12381" xr3:uid="{321144D9-081B-4CA1-9923-35AF1C5735E4}" name="Column12381"/>
    <tableColumn id="12382" xr3:uid="{FCC1A46F-1DD3-48E6-A521-78D7559B02DC}" name="Column12382"/>
    <tableColumn id="12383" xr3:uid="{226A9B8A-B7B0-4E09-BA44-1067F7984C68}" name="Column12383"/>
    <tableColumn id="12384" xr3:uid="{5FBB4513-F044-414B-A017-7B404956A2AE}" name="Column12384"/>
    <tableColumn id="12385" xr3:uid="{9263B917-40D3-4007-B9D9-95BBA6DF9571}" name="Column12385"/>
    <tableColumn id="12386" xr3:uid="{059EDF1A-112D-4656-A68E-943B9AC3122D}" name="Column12386"/>
    <tableColumn id="12387" xr3:uid="{72A02E81-E992-4249-AFBB-0EE89455F3D4}" name="Column12387"/>
    <tableColumn id="12388" xr3:uid="{4511794F-88A2-4499-AF45-D823E9D3E4B5}" name="Column12388"/>
    <tableColumn id="12389" xr3:uid="{E6F3656C-7231-4E13-86E6-D260C71A741F}" name="Column12389"/>
    <tableColumn id="12390" xr3:uid="{2AAEF914-226A-458F-83F7-14AC5F7EFAAA}" name="Column12390"/>
    <tableColumn id="12391" xr3:uid="{75EFA4EC-65B5-4D64-AE81-371D062B34F5}" name="Column12391"/>
    <tableColumn id="12392" xr3:uid="{BFF5D806-0647-4BE1-95FC-B992ECBDD8EB}" name="Column12392"/>
    <tableColumn id="12393" xr3:uid="{A0186C03-39C2-4CCF-9B1F-1880003329A9}" name="Column12393"/>
    <tableColumn id="12394" xr3:uid="{E8A5DC3D-EA1A-4910-AB7E-C4F5FC923A9F}" name="Column12394"/>
    <tableColumn id="12395" xr3:uid="{4A25D237-554D-4F70-BC7B-7CE453A00D18}" name="Column12395"/>
    <tableColumn id="12396" xr3:uid="{FA8401B9-2BE2-404F-9289-34C9E31954FB}" name="Column12396"/>
    <tableColumn id="12397" xr3:uid="{F00C9CA4-44C3-4283-9239-267E96297E7E}" name="Column12397"/>
    <tableColumn id="12398" xr3:uid="{C5FEB3C9-62AE-4F8F-924C-41A458601B09}" name="Column12398"/>
    <tableColumn id="12399" xr3:uid="{D4D6893F-320D-4E28-88F5-396A4F6FC007}" name="Column12399"/>
    <tableColumn id="12400" xr3:uid="{7FEE2744-FE66-4D10-B8BA-DA74392BFF90}" name="Column12400"/>
    <tableColumn id="12401" xr3:uid="{2EE6F572-F8C9-4DD8-8AC0-921ED81D0CDE}" name="Column12401"/>
    <tableColumn id="12402" xr3:uid="{779F7CA3-280C-456C-BBB5-CA5589E39DBE}" name="Column12402"/>
    <tableColumn id="12403" xr3:uid="{3F6696CB-8CFA-4A90-829B-32FBAF7D76C1}" name="Column12403"/>
    <tableColumn id="12404" xr3:uid="{6DBC112B-D469-472F-8AD0-4CAD768DC04F}" name="Column12404"/>
    <tableColumn id="12405" xr3:uid="{CC9E15BA-7B74-4BAC-AA64-B7A72AD00FC9}" name="Column12405"/>
    <tableColumn id="12406" xr3:uid="{DE26023B-6117-491E-983E-D90F6E1C5240}" name="Column12406"/>
    <tableColumn id="12407" xr3:uid="{9464B6FA-BBAE-4E90-B013-8E777D48E6DE}" name="Column12407"/>
    <tableColumn id="12408" xr3:uid="{73B9725D-B82B-438A-9CF6-514698E4F512}" name="Column12408"/>
    <tableColumn id="12409" xr3:uid="{5E3CBA5A-99ED-46E5-839D-850B66400162}" name="Column12409"/>
    <tableColumn id="12410" xr3:uid="{55B6B80B-A1F8-482D-8E37-CE94B09151F9}" name="Column12410"/>
    <tableColumn id="12411" xr3:uid="{7C177568-6106-4748-9C7B-3C31C7C3B32F}" name="Column12411"/>
    <tableColumn id="12412" xr3:uid="{F32B98C5-84B6-46A9-A16E-E2B7538E1DEB}" name="Column12412"/>
    <tableColumn id="12413" xr3:uid="{9E0B22AF-F7D6-4B9A-BA33-EF159267CA77}" name="Column12413"/>
    <tableColumn id="12414" xr3:uid="{19F24468-4DF3-4B05-A0D9-A8C9405EACD0}" name="Column12414"/>
    <tableColumn id="12415" xr3:uid="{FFFAF1B2-FB8B-4300-AB9E-7FA4E4B6B135}" name="Column12415"/>
    <tableColumn id="12416" xr3:uid="{D18E91F5-3C4D-44C2-828C-0B281B5F351D}" name="Column12416"/>
    <tableColumn id="12417" xr3:uid="{86D11AB1-325C-439E-A841-2AAB0B42B3AC}" name="Column12417"/>
    <tableColumn id="12418" xr3:uid="{84D0DE0A-DF9E-4701-9649-0EF5892219B5}" name="Column12418"/>
    <tableColumn id="12419" xr3:uid="{5FFD754A-9768-4FC7-9926-A177D6277C06}" name="Column12419"/>
    <tableColumn id="12420" xr3:uid="{C2704442-0F5E-41FE-BFBB-D10512C85336}" name="Column12420"/>
    <tableColumn id="12421" xr3:uid="{910E270C-ED57-4575-BA2E-AB657D4C52EA}" name="Column12421"/>
    <tableColumn id="12422" xr3:uid="{8356C882-B3FC-42A2-B4B0-843F5B44312E}" name="Column12422"/>
    <tableColumn id="12423" xr3:uid="{8AA56025-6BD4-4F3F-A37D-6FFE247E277D}" name="Column12423"/>
    <tableColumn id="12424" xr3:uid="{D68DD9A3-B755-4012-9986-08083603BD9E}" name="Column12424"/>
    <tableColumn id="12425" xr3:uid="{126CD7FD-6ED9-4DAE-AFE2-90958F4B602C}" name="Column12425"/>
    <tableColumn id="12426" xr3:uid="{F10B5E3C-5F17-4FE2-A340-CD040ED5801A}" name="Column12426"/>
    <tableColumn id="12427" xr3:uid="{5887C0AB-75F5-461B-A7B7-50F770116371}" name="Column12427"/>
    <tableColumn id="12428" xr3:uid="{EEFBDE6E-972B-4284-B831-1266F1D364DB}" name="Column12428"/>
    <tableColumn id="12429" xr3:uid="{3A266718-F63B-4511-AEE1-A19D215C9D9D}" name="Column12429"/>
    <tableColumn id="12430" xr3:uid="{A484CA33-DC5C-4B06-9763-35A3719132C1}" name="Column12430"/>
    <tableColumn id="12431" xr3:uid="{A959F9B7-8807-4002-9B7F-8D550CCF2E22}" name="Column12431"/>
    <tableColumn id="12432" xr3:uid="{D2F384BE-2FE5-403D-94ED-D7DEC34643EB}" name="Column12432"/>
    <tableColumn id="12433" xr3:uid="{1E83BB9A-9DF8-4E45-9501-B91CECE41499}" name="Column12433"/>
    <tableColumn id="12434" xr3:uid="{1216CA3B-7308-40BC-8D1C-C7C97C98D18F}" name="Column12434"/>
    <tableColumn id="12435" xr3:uid="{B265B41F-7713-457E-8DE5-9FBDCC27CBC5}" name="Column12435"/>
    <tableColumn id="12436" xr3:uid="{BB9BF621-D928-4582-AAB9-DD0B80289788}" name="Column12436"/>
    <tableColumn id="12437" xr3:uid="{B5ABDC61-21E7-43AD-8F92-3B3C0E1E1E50}" name="Column12437"/>
    <tableColumn id="12438" xr3:uid="{A639C903-6DC0-435A-9968-62F742FB91EF}" name="Column12438"/>
    <tableColumn id="12439" xr3:uid="{46730EF6-BE3B-46A7-BB9A-73E6F0F92E3D}" name="Column12439"/>
    <tableColumn id="12440" xr3:uid="{FF17EA71-034D-4AC0-99B1-6639AD90BB99}" name="Column12440"/>
    <tableColumn id="12441" xr3:uid="{D4418924-7B57-4CE4-8725-F64FFB2BCFEB}" name="Column12441"/>
    <tableColumn id="12442" xr3:uid="{22E89E33-5AE4-4671-99D4-30711B4F2150}" name="Column12442"/>
    <tableColumn id="12443" xr3:uid="{C3A6E473-EB90-4AFB-B7E7-6EEBED538AB2}" name="Column12443"/>
    <tableColumn id="12444" xr3:uid="{BF7DCDDD-FBEC-488D-A828-DE4DE8F1C7D0}" name="Column12444"/>
    <tableColumn id="12445" xr3:uid="{D5907BA8-5B36-41DC-9024-1415CA3F7CDA}" name="Column12445"/>
    <tableColumn id="12446" xr3:uid="{490C5E92-5892-48AB-B59E-7AC65D1495F9}" name="Column12446"/>
    <tableColumn id="12447" xr3:uid="{F3073298-482E-4F08-B2D2-C4E89179EFA3}" name="Column12447"/>
    <tableColumn id="12448" xr3:uid="{F77E0E73-361D-4092-965E-D5325B689AAC}" name="Column12448"/>
    <tableColumn id="12449" xr3:uid="{2AFC329D-DB0C-492C-BCD6-316874901FBE}" name="Column12449"/>
    <tableColumn id="12450" xr3:uid="{A8530C16-64BA-414B-B330-DA662FA004B3}" name="Column12450"/>
    <tableColumn id="12451" xr3:uid="{5207E805-F572-4344-9A6D-00AC171D2601}" name="Column12451"/>
    <tableColumn id="12452" xr3:uid="{D1BD358B-ADF1-4872-84C3-3DCA67EFB25F}" name="Column12452"/>
    <tableColumn id="12453" xr3:uid="{9D14580F-5228-4A03-B701-3487C38EEDB3}" name="Column12453"/>
    <tableColumn id="12454" xr3:uid="{918208EB-E0B6-4B52-B963-7439442A22D7}" name="Column12454"/>
    <tableColumn id="12455" xr3:uid="{F5D2AF8C-1471-4A18-BDC9-D264E57F1079}" name="Column12455"/>
    <tableColumn id="12456" xr3:uid="{4D00C79B-9C7B-46B6-85F1-2DD143F7F9BD}" name="Column12456"/>
    <tableColumn id="12457" xr3:uid="{62FF4696-3EBB-4A5D-821F-92C315BD73D2}" name="Column12457"/>
    <tableColumn id="12458" xr3:uid="{567782A3-8984-4A5F-80DF-11F9DE199E2D}" name="Column12458"/>
    <tableColumn id="12459" xr3:uid="{8A7013DC-BAF8-480F-9459-15978B27097A}" name="Column12459"/>
    <tableColumn id="12460" xr3:uid="{976A568E-DD5E-40D5-B653-0B6E8B0BE9CB}" name="Column12460"/>
    <tableColumn id="12461" xr3:uid="{C91421AD-496A-471F-9D57-BA7D3751E606}" name="Column12461"/>
    <tableColumn id="12462" xr3:uid="{B1ECFB3E-9119-4E67-B271-B2FC387A6A67}" name="Column12462"/>
    <tableColumn id="12463" xr3:uid="{E21F62AD-84BE-458E-A3B9-89DAFE9CE1F4}" name="Column12463"/>
    <tableColumn id="12464" xr3:uid="{C3EDD455-3DD6-48AC-A065-E60F22A31F0C}" name="Column12464"/>
    <tableColumn id="12465" xr3:uid="{76323A14-149F-4CDF-AF46-D88C6C8DFD38}" name="Column12465"/>
    <tableColumn id="12466" xr3:uid="{E88792EF-BAD7-44CD-B8DB-E14D1711E867}" name="Column12466"/>
    <tableColumn id="12467" xr3:uid="{971DD382-7481-4C35-97CC-44F4DCBC727D}" name="Column12467"/>
    <tableColumn id="12468" xr3:uid="{AA7C5A53-61D2-4FF9-8AA5-E516A5FAEAEC}" name="Column12468"/>
    <tableColumn id="12469" xr3:uid="{AC8ECA9B-FFFA-4B0E-83D8-2C9C8B06C1B8}" name="Column12469"/>
    <tableColumn id="12470" xr3:uid="{D09D8C9A-D199-4BF2-BFE1-9310B3EDAAC4}" name="Column12470"/>
    <tableColumn id="12471" xr3:uid="{29737325-70B3-4FFE-881B-3E9D6FF5D1B8}" name="Column12471"/>
    <tableColumn id="12472" xr3:uid="{5A8A71FA-5BB8-4AF0-9E30-0DD00377CA2C}" name="Column12472"/>
    <tableColumn id="12473" xr3:uid="{78F29DCA-A7CE-49BB-8BA8-DEEF2424DD51}" name="Column12473"/>
    <tableColumn id="12474" xr3:uid="{E50336DF-BB12-473D-B024-982BCC9C648A}" name="Column12474"/>
    <tableColumn id="12475" xr3:uid="{6FDABB4E-94D0-40EC-A011-043C9EB3DC5C}" name="Column12475"/>
    <tableColumn id="12476" xr3:uid="{CA3FABD0-3971-42FD-95F9-BE4C50663D2C}" name="Column12476"/>
    <tableColumn id="12477" xr3:uid="{C2DECCB1-898F-4FC8-B112-0CFB405583AA}" name="Column12477"/>
    <tableColumn id="12478" xr3:uid="{9DCA157D-5BF1-4114-A597-8A3C868C550C}" name="Column12478"/>
    <tableColumn id="12479" xr3:uid="{7206B754-FDFC-4245-BDCC-C6E1B4FBC0F6}" name="Column12479"/>
    <tableColumn id="12480" xr3:uid="{1CDCB478-4F16-4786-9CB0-8A8490C88722}" name="Column12480"/>
    <tableColumn id="12481" xr3:uid="{492CF068-BAE6-45BE-9396-5BB271AD46A0}" name="Column12481"/>
    <tableColumn id="12482" xr3:uid="{4225B520-B179-4B71-BB41-172E6DD400B9}" name="Column12482"/>
    <tableColumn id="12483" xr3:uid="{0AA6DACC-5053-459C-80F1-0ADF7E231737}" name="Column12483"/>
    <tableColumn id="12484" xr3:uid="{8A5F6581-D9E7-43BD-B6FE-23CD05E04989}" name="Column12484"/>
    <tableColumn id="12485" xr3:uid="{3EF44FC8-3F6A-4A51-8B7E-A5F02471BA52}" name="Column12485"/>
    <tableColumn id="12486" xr3:uid="{877D4F3D-4892-49EB-B635-A171ED6C0159}" name="Column12486"/>
    <tableColumn id="12487" xr3:uid="{5642560C-57B3-4351-925B-BDB97895665C}" name="Column12487"/>
    <tableColumn id="12488" xr3:uid="{F294EFF8-7431-4CD4-9497-947FD3C1151B}" name="Column12488"/>
    <tableColumn id="12489" xr3:uid="{9D3EB082-3D60-4D38-B445-F02DB642A9AB}" name="Column12489"/>
    <tableColumn id="12490" xr3:uid="{D7C17FD2-622E-4C0F-B08F-5D184785CE63}" name="Column12490"/>
    <tableColumn id="12491" xr3:uid="{70EF7596-48E6-48B9-8BEE-4BBC60FBCA12}" name="Column12491"/>
    <tableColumn id="12492" xr3:uid="{121B200F-C077-4480-802E-44477135CBFA}" name="Column12492"/>
    <tableColumn id="12493" xr3:uid="{1FE4BFC7-1F12-4958-B17B-F53328A84E51}" name="Column12493"/>
    <tableColumn id="12494" xr3:uid="{F145EDF9-F9E3-4A7C-B6F8-3B9B144208CA}" name="Column12494"/>
    <tableColumn id="12495" xr3:uid="{D6749492-6BB0-45BC-96C0-7E98CFDE72D7}" name="Column12495"/>
    <tableColumn id="12496" xr3:uid="{FF033B75-CF91-4043-AD4D-3EDB6F24E26E}" name="Column12496"/>
    <tableColumn id="12497" xr3:uid="{9AF5A389-98AC-49D5-8F0D-CBD2AFC34D96}" name="Column12497"/>
    <tableColumn id="12498" xr3:uid="{2D51D8D8-F113-457A-8733-084ABF024DC2}" name="Column12498"/>
    <tableColumn id="12499" xr3:uid="{840E3D95-BAEE-4589-BE80-55121E6FB5CE}" name="Column12499"/>
    <tableColumn id="12500" xr3:uid="{14C16B21-2758-4CEE-BF09-671672BF1C02}" name="Column12500"/>
    <tableColumn id="12501" xr3:uid="{4B4BC9F0-B753-4507-A579-79EB79FB5893}" name="Column12501"/>
    <tableColumn id="12502" xr3:uid="{9BD84390-DBE3-4092-869F-156C406768E8}" name="Column12502"/>
    <tableColumn id="12503" xr3:uid="{C57A716A-6338-4E02-A759-EE0FC0DD342D}" name="Column12503"/>
    <tableColumn id="12504" xr3:uid="{1BEE0E50-3CA9-438E-A67E-56D8218C4276}" name="Column12504"/>
    <tableColumn id="12505" xr3:uid="{885AD5C3-D377-4BAE-BCEE-F8EFC8907E6A}" name="Column12505"/>
    <tableColumn id="12506" xr3:uid="{B3EE583C-C269-4695-AF01-0718C8241073}" name="Column12506"/>
    <tableColumn id="12507" xr3:uid="{62A2EDBD-31B3-4CFB-96B0-D79B0AB52F72}" name="Column12507"/>
    <tableColumn id="12508" xr3:uid="{3AA88AF6-C05C-445D-8A28-DDA755FB07A5}" name="Column12508"/>
    <tableColumn id="12509" xr3:uid="{313A8AEB-D3F8-4EA2-AE52-338410CFC514}" name="Column12509"/>
    <tableColumn id="12510" xr3:uid="{47107215-E590-4C6F-BDC8-D188DA64C775}" name="Column12510"/>
    <tableColumn id="12511" xr3:uid="{2F54DF6C-B266-4407-A638-82BE3CE942C3}" name="Column12511"/>
    <tableColumn id="12512" xr3:uid="{FB0140FF-24BE-49F3-A670-05138740C938}" name="Column12512"/>
    <tableColumn id="12513" xr3:uid="{6C853EF4-B6C7-4C10-9336-9E4A48DC8485}" name="Column12513"/>
    <tableColumn id="12514" xr3:uid="{A8729A88-CBE2-4BF0-A8C9-C81A0F91BFD4}" name="Column12514"/>
    <tableColumn id="12515" xr3:uid="{1CFF4664-4F0C-40AA-9FC2-60A8D3F667C5}" name="Column12515"/>
    <tableColumn id="12516" xr3:uid="{043ADB9B-9D56-4A49-81B3-5B8A3D70E96A}" name="Column12516"/>
    <tableColumn id="12517" xr3:uid="{03C01FB4-6DC8-4986-B264-6AC9B6EBF810}" name="Column12517"/>
    <tableColumn id="12518" xr3:uid="{5E04B3BB-9A89-47A2-8BE0-2B1A512A626D}" name="Column12518"/>
    <tableColumn id="12519" xr3:uid="{5E2683F5-C516-48B5-B9D7-0090DEBEA547}" name="Column12519"/>
    <tableColumn id="12520" xr3:uid="{518EBA66-71B6-4ECF-8A33-CA9B019954D5}" name="Column12520"/>
    <tableColumn id="12521" xr3:uid="{F11D8828-7066-48DD-848F-64E2B0B6D5A8}" name="Column12521"/>
    <tableColumn id="12522" xr3:uid="{36922CB7-62E4-4FD4-9D01-B6A97F21D743}" name="Column12522"/>
    <tableColumn id="12523" xr3:uid="{9E732308-7096-419A-963D-E49445D2B8A6}" name="Column12523"/>
    <tableColumn id="12524" xr3:uid="{35A91B99-7BBB-4663-AC51-54F54EFE3148}" name="Column12524"/>
    <tableColumn id="12525" xr3:uid="{7358B6C1-B850-4CA9-9E40-52AB158AD0D4}" name="Column12525"/>
    <tableColumn id="12526" xr3:uid="{5AA233CE-AC04-4B96-97B9-5F103DF2A932}" name="Column12526"/>
    <tableColumn id="12527" xr3:uid="{1C5991C3-3E8C-4B25-AEDA-A5E59A412A67}" name="Column12527"/>
    <tableColumn id="12528" xr3:uid="{14150112-9475-4568-B604-4BEFD3CFB74F}" name="Column12528"/>
    <tableColumn id="12529" xr3:uid="{600BCB68-F4BC-4D8C-A422-6BE4F757C290}" name="Column12529"/>
    <tableColumn id="12530" xr3:uid="{3FFD2F81-F459-4137-918A-9E6404E29258}" name="Column12530"/>
    <tableColumn id="12531" xr3:uid="{DBA43FA8-FC33-4524-B5F8-5EF6AB5DA2F6}" name="Column12531"/>
    <tableColumn id="12532" xr3:uid="{1D9A926D-E20E-4C50-9B6A-33B2964504C9}" name="Column12532"/>
    <tableColumn id="12533" xr3:uid="{34B112D0-2BF9-4CC9-B8F5-E58897018018}" name="Column12533"/>
    <tableColumn id="12534" xr3:uid="{CB561165-BA45-4504-8A73-1641B2478921}" name="Column12534"/>
    <tableColumn id="12535" xr3:uid="{0CD36CF7-F128-4D00-BF37-79CC68BD9694}" name="Column12535"/>
    <tableColumn id="12536" xr3:uid="{291C9A14-6812-44B8-84B1-9C23228ABB58}" name="Column12536"/>
    <tableColumn id="12537" xr3:uid="{AE652B88-4955-4A94-9728-D65008A7CC38}" name="Column12537"/>
    <tableColumn id="12538" xr3:uid="{1A1EFC4B-C074-44D4-8A3B-8166140D51E5}" name="Column12538"/>
    <tableColumn id="12539" xr3:uid="{56D3B7FE-481B-4FD2-A3ED-51DAE774345D}" name="Column12539"/>
    <tableColumn id="12540" xr3:uid="{7DF3108A-412C-4B89-BD5C-BB4546A53A7F}" name="Column12540"/>
    <tableColumn id="12541" xr3:uid="{FE7395D5-C8A5-4E84-BA3B-47783224E116}" name="Column12541"/>
    <tableColumn id="12542" xr3:uid="{A4A53D69-C376-47FE-A64C-12F64C3B6D03}" name="Column12542"/>
    <tableColumn id="12543" xr3:uid="{525F5253-CF0C-4553-9023-5A1E03EA1373}" name="Column12543"/>
    <tableColumn id="12544" xr3:uid="{C81075B8-F91A-491D-93F3-EF43848052EC}" name="Column12544"/>
    <tableColumn id="12545" xr3:uid="{D8093D93-A43F-47B5-9A25-2ABF8749761D}" name="Column12545"/>
    <tableColumn id="12546" xr3:uid="{27FCA603-156E-463E-8292-543411062FBC}" name="Column12546"/>
    <tableColumn id="12547" xr3:uid="{18ADCE94-A7B3-4B9B-B3B4-F8783A17332E}" name="Column12547"/>
    <tableColumn id="12548" xr3:uid="{81732198-11DE-492E-A4C3-83B0524A6AF3}" name="Column12548"/>
    <tableColumn id="12549" xr3:uid="{BDA350C2-E59A-46D9-8F65-1604F1490EF7}" name="Column12549"/>
    <tableColumn id="12550" xr3:uid="{9629E25A-4829-4154-9EB4-CA3DD7A9AE0D}" name="Column12550"/>
    <tableColumn id="12551" xr3:uid="{00223471-20F1-460D-AAA6-F186939030CB}" name="Column12551"/>
    <tableColumn id="12552" xr3:uid="{6F71EE49-8549-429D-A1BE-A9B060AE498B}" name="Column12552"/>
    <tableColumn id="12553" xr3:uid="{BD71EE0B-AE83-49E5-9482-690CDDA0D34D}" name="Column12553"/>
    <tableColumn id="12554" xr3:uid="{AECFE4CF-01FD-4F6E-A9F9-6A4578BB56DD}" name="Column12554"/>
    <tableColumn id="12555" xr3:uid="{A5C366B1-A77E-4222-B963-50F9E22A10DD}" name="Column12555"/>
    <tableColumn id="12556" xr3:uid="{61416137-9FF8-4DBD-8A3C-03DCD9786BFC}" name="Column12556"/>
    <tableColumn id="12557" xr3:uid="{AEFA1DC0-34F4-4221-A931-56C9FB07D7D4}" name="Column12557"/>
    <tableColumn id="12558" xr3:uid="{CF470956-8519-48F9-9729-BE6FC0FC43BA}" name="Column12558"/>
    <tableColumn id="12559" xr3:uid="{0D49A804-23E1-48BA-9548-D44523B07772}" name="Column12559"/>
    <tableColumn id="12560" xr3:uid="{1CF14766-BA93-47D0-8E2D-4517808F577F}" name="Column12560"/>
    <tableColumn id="12561" xr3:uid="{7A878839-A776-4C4A-A0F6-7F1DAD22A882}" name="Column12561"/>
    <tableColumn id="12562" xr3:uid="{C97FFD6E-E2D8-4F93-BCEE-D63B36832CF2}" name="Column12562"/>
    <tableColumn id="12563" xr3:uid="{4D206EDD-31C6-4AD8-9733-187910A565C0}" name="Column12563"/>
    <tableColumn id="12564" xr3:uid="{CB4D333F-219F-4C68-9690-E77E06B347BF}" name="Column12564"/>
    <tableColumn id="12565" xr3:uid="{B1F5DA88-E1C5-446C-9261-9CE64AE2DFED}" name="Column12565"/>
    <tableColumn id="12566" xr3:uid="{B418CCF5-C6C6-42BB-8B94-934F3FF24E44}" name="Column12566"/>
    <tableColumn id="12567" xr3:uid="{F591A3CA-5014-41DE-8726-B5D955BD1A0C}" name="Column12567"/>
    <tableColumn id="12568" xr3:uid="{56414BC6-F646-4178-998B-1B5E1D942A5E}" name="Column12568"/>
    <tableColumn id="12569" xr3:uid="{BF35D695-8A4F-4DF9-BBA6-A4CF6627DE44}" name="Column12569"/>
    <tableColumn id="12570" xr3:uid="{6D87305D-7B9D-43AC-9C9D-7DB40B222868}" name="Column12570"/>
    <tableColumn id="12571" xr3:uid="{8B96D81F-045D-4197-A6F0-02E81D843BC0}" name="Column12571"/>
    <tableColumn id="12572" xr3:uid="{343986C1-D076-4666-8091-FC100B9CB1E5}" name="Column12572"/>
    <tableColumn id="12573" xr3:uid="{9C1E1EEC-A5A8-42DC-8DA0-64DFB55143CF}" name="Column12573"/>
    <tableColumn id="12574" xr3:uid="{F519867F-548B-4E31-918D-ECBF5BD3644B}" name="Column12574"/>
    <tableColumn id="12575" xr3:uid="{8DC4F836-C0DC-43F8-ABA6-743357619DBA}" name="Column12575"/>
    <tableColumn id="12576" xr3:uid="{B8C2AE63-5261-4C20-8D30-C44D4BD4509C}" name="Column12576"/>
    <tableColumn id="12577" xr3:uid="{28AFB35B-6389-4B39-942E-81FD70A4E86B}" name="Column12577"/>
    <tableColumn id="12578" xr3:uid="{92EEABCB-7FF3-4FAE-A031-001666CA22E0}" name="Column12578"/>
    <tableColumn id="12579" xr3:uid="{4E7003EF-D5A1-4391-9F22-C84164D0F9EA}" name="Column12579"/>
    <tableColumn id="12580" xr3:uid="{8226B55E-2D20-45D7-B57B-F15080BDD659}" name="Column12580"/>
    <tableColumn id="12581" xr3:uid="{053C18D4-29A1-47D5-B10A-2629AE421327}" name="Column12581"/>
    <tableColumn id="12582" xr3:uid="{44BFFB24-F830-42DA-97D7-A83AC947E002}" name="Column12582"/>
    <tableColumn id="12583" xr3:uid="{5BB80E4D-DDEC-47C4-B1AE-8E2CC2C1B7D6}" name="Column12583"/>
    <tableColumn id="12584" xr3:uid="{3C8AAEB2-12A0-4730-A654-59D82E06BEDE}" name="Column12584"/>
    <tableColumn id="12585" xr3:uid="{F90B601E-D4EE-46B5-B82E-40527350A98F}" name="Column12585"/>
    <tableColumn id="12586" xr3:uid="{5088191D-896A-4F64-8912-E5926789A033}" name="Column12586"/>
    <tableColumn id="12587" xr3:uid="{E8335960-035C-47DF-AD47-1E97B96965F1}" name="Column12587"/>
    <tableColumn id="12588" xr3:uid="{F9BF1975-4DCC-4268-9068-4E6CC60859CD}" name="Column12588"/>
    <tableColumn id="12589" xr3:uid="{A0907A5D-92A3-46C5-ABB3-382149CABA8A}" name="Column12589"/>
    <tableColumn id="12590" xr3:uid="{26B53234-1156-4754-8209-4DB6151423D0}" name="Column12590"/>
    <tableColumn id="12591" xr3:uid="{AA830D12-730D-4655-AC58-77B72D008379}" name="Column12591"/>
    <tableColumn id="12592" xr3:uid="{14814025-0F43-456F-B94C-195A8571AB10}" name="Column12592"/>
    <tableColumn id="12593" xr3:uid="{D3D6A137-9F6D-4223-90D6-DB1754E410B0}" name="Column12593"/>
    <tableColumn id="12594" xr3:uid="{DA92116A-A05D-4251-BFA8-92D0DECB7165}" name="Column12594"/>
    <tableColumn id="12595" xr3:uid="{9B78A46B-76DC-4B64-8080-366FE35989B3}" name="Column12595"/>
    <tableColumn id="12596" xr3:uid="{DEA29C4C-73BC-4A01-8683-93E882392A88}" name="Column12596"/>
    <tableColumn id="12597" xr3:uid="{BF27DD41-EF57-4F47-8FD1-0496680E3197}" name="Column12597"/>
    <tableColumn id="12598" xr3:uid="{0D17635F-9327-464F-92CB-CEB90D73B010}" name="Column12598"/>
    <tableColumn id="12599" xr3:uid="{C2457074-9649-4B51-A16C-C6398A6BF75C}" name="Column12599"/>
    <tableColumn id="12600" xr3:uid="{90A314D9-DF76-445E-B17B-1575A82976CF}" name="Column12600"/>
    <tableColumn id="12601" xr3:uid="{8F78EDDF-A01C-4F99-BA87-BE426D1E3D89}" name="Column12601"/>
    <tableColumn id="12602" xr3:uid="{D220C6B7-77CC-45EA-9DCA-A37D5F08643D}" name="Column12602"/>
    <tableColumn id="12603" xr3:uid="{71259F6D-9B69-4C6C-9637-B19C78BAB302}" name="Column12603"/>
    <tableColumn id="12604" xr3:uid="{AFE85FA0-D90D-4DFB-BC2C-A622C49C6219}" name="Column12604"/>
    <tableColumn id="12605" xr3:uid="{5F0C8032-2520-4D3F-AFF0-85C0080ECCD6}" name="Column12605"/>
    <tableColumn id="12606" xr3:uid="{AF548ECB-DDC4-46E3-AE7B-B1FDDBFBE0FA}" name="Column12606"/>
    <tableColumn id="12607" xr3:uid="{ECB30393-3441-4D8C-8C01-D97EAE41FE7A}" name="Column12607"/>
    <tableColumn id="12608" xr3:uid="{AAAE4C45-5CB1-4EF1-B3B5-DCCBFC4F608B}" name="Column12608"/>
    <tableColumn id="12609" xr3:uid="{1E3CBE89-0FBD-4797-AD7E-D6D9C2626E13}" name="Column12609"/>
    <tableColumn id="12610" xr3:uid="{597A1C8E-1E94-4CB9-939F-34BAA3B4A2DF}" name="Column12610"/>
    <tableColumn id="12611" xr3:uid="{D56CDC9E-F23B-4756-B1EA-9936E02B579E}" name="Column12611"/>
    <tableColumn id="12612" xr3:uid="{846BAFFE-8E20-4FBA-9447-26AA232EF061}" name="Column12612"/>
    <tableColumn id="12613" xr3:uid="{6D47A0E5-4A72-4198-9582-EF5A66E4588E}" name="Column12613"/>
    <tableColumn id="12614" xr3:uid="{25DC6145-8D8E-4D1E-807E-51963A2C6E35}" name="Column12614"/>
    <tableColumn id="12615" xr3:uid="{C788E5A5-A213-43A3-A671-2969A29BE144}" name="Column12615"/>
    <tableColumn id="12616" xr3:uid="{E5EF976D-673E-4437-8FA4-472205196697}" name="Column12616"/>
    <tableColumn id="12617" xr3:uid="{B89059BA-34B9-480E-B79E-88A47BCAA4CD}" name="Column12617"/>
    <tableColumn id="12618" xr3:uid="{782F417D-6865-4E49-82F3-F2FC7C4A7654}" name="Column12618"/>
    <tableColumn id="12619" xr3:uid="{24794FF2-840F-433A-BC05-E2905B1F53BC}" name="Column12619"/>
    <tableColumn id="12620" xr3:uid="{248824E8-198B-479F-AF9B-1F39A35F067F}" name="Column12620"/>
    <tableColumn id="12621" xr3:uid="{7E0F02D1-354C-4171-B5DD-0C4F08591EFE}" name="Column12621"/>
    <tableColumn id="12622" xr3:uid="{A0C97720-E3C7-43A0-9E32-14849984E8B0}" name="Column12622"/>
    <tableColumn id="12623" xr3:uid="{37DD5EF2-CF6C-4D7A-9FCC-46AEFE5C52FB}" name="Column12623"/>
    <tableColumn id="12624" xr3:uid="{461629EA-4A57-4F30-9D6C-6B5770F71D58}" name="Column12624"/>
    <tableColumn id="12625" xr3:uid="{B316ECF0-2CF4-4A09-A03B-1B5B03DA6634}" name="Column12625"/>
    <tableColumn id="12626" xr3:uid="{CFBB6B36-BA62-4DC9-BA85-854C0A3530E6}" name="Column12626"/>
    <tableColumn id="12627" xr3:uid="{E2886B47-D2CD-4476-8B8A-25E96B110001}" name="Column12627"/>
    <tableColumn id="12628" xr3:uid="{11FD0E78-588E-4618-B4F3-85FF4CECB5F5}" name="Column12628"/>
    <tableColumn id="12629" xr3:uid="{2353335A-1BC4-4ED4-9C04-28D48B008402}" name="Column12629"/>
    <tableColumn id="12630" xr3:uid="{58085F3A-20FD-4EA9-B12B-DB6926A0A634}" name="Column12630"/>
    <tableColumn id="12631" xr3:uid="{733C2C66-56C4-47E0-A3D6-7EEA7C268265}" name="Column12631"/>
    <tableColumn id="12632" xr3:uid="{EDA449F6-A723-48C6-A84C-A99F64DB160A}" name="Column12632"/>
    <tableColumn id="12633" xr3:uid="{78C6F840-29B8-44DD-AA2B-76AF19A96F4E}" name="Column12633"/>
    <tableColumn id="12634" xr3:uid="{2D1EF29E-58A6-4E96-8FF9-7CDDB18304F7}" name="Column12634"/>
    <tableColumn id="12635" xr3:uid="{707F0854-693C-4AD8-86D8-592224E44203}" name="Column12635"/>
    <tableColumn id="12636" xr3:uid="{29A3B78E-5522-446F-8D35-8F9E96259882}" name="Column12636"/>
    <tableColumn id="12637" xr3:uid="{1D770618-F0AD-4794-A75B-E79EDDC5A133}" name="Column12637"/>
    <tableColumn id="12638" xr3:uid="{FED6253F-1C5D-4C75-9A22-9C38A9E97AC1}" name="Column12638"/>
    <tableColumn id="12639" xr3:uid="{0ECBB4D3-95C2-4AD5-A4B5-AF7A49B1B10F}" name="Column12639"/>
    <tableColumn id="12640" xr3:uid="{752D76B2-E11C-4C7A-9137-3CE62A37FC37}" name="Column12640"/>
    <tableColumn id="12641" xr3:uid="{0F59A523-70B4-4B68-9FD0-E2D42ACDD569}" name="Column12641"/>
    <tableColumn id="12642" xr3:uid="{B95A2EBE-F21F-4332-937D-4A0C560EB9ED}" name="Column12642"/>
    <tableColumn id="12643" xr3:uid="{0D40A447-333A-455B-9BD9-AE25717D0990}" name="Column12643"/>
    <tableColumn id="12644" xr3:uid="{FC9E30D5-466A-4637-AF83-BC07F88CF682}" name="Column12644"/>
    <tableColumn id="12645" xr3:uid="{7FB1DF41-E86D-4472-B1D3-918039B08D0D}" name="Column12645"/>
    <tableColumn id="12646" xr3:uid="{7FF95A90-080F-4068-97B7-560A3B604ABA}" name="Column12646"/>
    <tableColumn id="12647" xr3:uid="{D8734784-664D-467E-9CAB-6896766B00C0}" name="Column12647"/>
    <tableColumn id="12648" xr3:uid="{71EFA0DA-1779-4B02-9DC0-5FBE4022F5D4}" name="Column12648"/>
    <tableColumn id="12649" xr3:uid="{FDBA1E0F-EC7E-48CA-866C-CB2ACB4C87A8}" name="Column12649"/>
    <tableColumn id="12650" xr3:uid="{DA309190-4AE5-451C-B5DE-8A1885978554}" name="Column12650"/>
    <tableColumn id="12651" xr3:uid="{08DD0399-CC86-4449-BF03-C6967374EB4C}" name="Column12651"/>
    <tableColumn id="12652" xr3:uid="{4319A674-835D-4C17-9D91-F87830C28CE9}" name="Column12652"/>
    <tableColumn id="12653" xr3:uid="{462C3DED-8949-4355-8454-FAC06E5FD9E7}" name="Column12653"/>
    <tableColumn id="12654" xr3:uid="{1B4D9D7C-D6AC-45A0-996A-3F20AF27AE36}" name="Column12654"/>
    <tableColumn id="12655" xr3:uid="{66D45E9E-724D-47AC-8BDB-B60FD1C48DDF}" name="Column12655"/>
    <tableColumn id="12656" xr3:uid="{EAA1879C-7088-4049-BB11-383A9F71E7FC}" name="Column12656"/>
    <tableColumn id="12657" xr3:uid="{AC272D6C-BBD2-48A8-AC0E-C51863BC607C}" name="Column12657"/>
    <tableColumn id="12658" xr3:uid="{33020EC6-0D70-4034-BCE7-5ACB7CAD0D32}" name="Column12658"/>
    <tableColumn id="12659" xr3:uid="{A12ABCF2-9B99-439D-AC87-75692D063E07}" name="Column12659"/>
    <tableColumn id="12660" xr3:uid="{3F15B1FD-556F-4104-8818-19C00FEF5E84}" name="Column12660"/>
    <tableColumn id="12661" xr3:uid="{9F4B32C5-392F-4243-BB23-D9A9CB1906D5}" name="Column12661"/>
    <tableColumn id="12662" xr3:uid="{7AE323AC-4A74-4156-AE50-9A4251C316E9}" name="Column12662"/>
    <tableColumn id="12663" xr3:uid="{44D7001B-738C-43B3-AE8E-C06FF0BCDEE1}" name="Column12663"/>
    <tableColumn id="12664" xr3:uid="{A463F8FE-611A-4B23-B058-877280BF5D11}" name="Column12664"/>
    <tableColumn id="12665" xr3:uid="{9A02FE12-136C-4ED6-8C8D-8E01EE4D7804}" name="Column12665"/>
    <tableColumn id="12666" xr3:uid="{98C6616B-11C3-4955-8DF9-F10DB5CA70B9}" name="Column12666"/>
    <tableColumn id="12667" xr3:uid="{292F6F0A-6605-467B-98AD-1DF7349351F3}" name="Column12667"/>
    <tableColumn id="12668" xr3:uid="{E097D8C6-4ECC-4ABC-AAA0-623C7C1EAC53}" name="Column12668"/>
    <tableColumn id="12669" xr3:uid="{997B33E4-3E06-49D1-BE1F-10579F433105}" name="Column12669"/>
    <tableColumn id="12670" xr3:uid="{DCB85D36-3C67-4A63-AAA1-046797484F1F}" name="Column12670"/>
    <tableColumn id="12671" xr3:uid="{B03D4D90-422B-4197-A967-1D9CE0ECEDFF}" name="Column12671"/>
    <tableColumn id="12672" xr3:uid="{6E5B5729-8721-48A7-8384-7B4EE307D5E7}" name="Column12672"/>
    <tableColumn id="12673" xr3:uid="{FD7B1FC8-A371-4735-BEA2-493F90689DC1}" name="Column12673"/>
    <tableColumn id="12674" xr3:uid="{EA12894D-82CA-430B-BB33-B17762944EB8}" name="Column12674"/>
    <tableColumn id="12675" xr3:uid="{459D1502-FCE6-468C-91A8-3A011C1BA3DC}" name="Column12675"/>
    <tableColumn id="12676" xr3:uid="{D329511A-1ABB-4A1B-B2ED-B9E5EA973F33}" name="Column12676"/>
    <tableColumn id="12677" xr3:uid="{F51673E4-EBA7-4C83-AB9E-11A7072F9A6E}" name="Column12677"/>
    <tableColumn id="12678" xr3:uid="{5716724B-4B2E-44AC-84AC-FDB130A7BF5D}" name="Column12678"/>
    <tableColumn id="12679" xr3:uid="{CAB9EC60-B1C9-40B5-9D91-CA74066CD38C}" name="Column12679"/>
    <tableColumn id="12680" xr3:uid="{091E457E-4A8E-4A51-9515-375EC0673EC1}" name="Column12680"/>
    <tableColumn id="12681" xr3:uid="{6A05AF3F-C85F-4204-A3A0-8AC4D479EE3B}" name="Column12681"/>
    <tableColumn id="12682" xr3:uid="{468F326B-624D-403F-ABE1-3F672040877B}" name="Column12682"/>
    <tableColumn id="12683" xr3:uid="{E56191FC-A337-464D-B415-8DEFA8BA65EA}" name="Column12683"/>
    <tableColumn id="12684" xr3:uid="{05FA92F2-8F20-4CC9-985E-0031176CA2F7}" name="Column12684"/>
    <tableColumn id="12685" xr3:uid="{EE31991F-EC10-4F65-8E7B-9D37F747D451}" name="Column12685"/>
    <tableColumn id="12686" xr3:uid="{5C74DFE7-8FAF-422C-AD5F-26E796B9BCB7}" name="Column12686"/>
    <tableColumn id="12687" xr3:uid="{75A41723-DB35-4657-8E7F-AECABD141B83}" name="Column12687"/>
    <tableColumn id="12688" xr3:uid="{D81856F8-8358-4B8F-9D46-FBDC45A8D2B4}" name="Column12688"/>
    <tableColumn id="12689" xr3:uid="{1EB3792C-4CC0-4439-962E-0C13FB0BAAF7}" name="Column12689"/>
    <tableColumn id="12690" xr3:uid="{4BB2EBFF-5192-4BC2-B705-825269E4C4D2}" name="Column12690"/>
    <tableColumn id="12691" xr3:uid="{A0BA431E-966F-416F-B81B-72AFCAEF2347}" name="Column12691"/>
    <tableColumn id="12692" xr3:uid="{EA9E21D9-D420-4145-AACE-F642AB43182D}" name="Column12692"/>
    <tableColumn id="12693" xr3:uid="{3D2D9705-D3F3-45F3-BDDC-EAD801A11A26}" name="Column12693"/>
    <tableColumn id="12694" xr3:uid="{7F6BBFDF-DA96-4EFF-8885-D7D087F70690}" name="Column12694"/>
    <tableColumn id="12695" xr3:uid="{AB3B0BF2-981B-4CEA-8E3B-FDB08556791D}" name="Column12695"/>
    <tableColumn id="12696" xr3:uid="{83C0BDDB-A1F8-409A-89A7-BBCE3350560F}" name="Column12696"/>
    <tableColumn id="12697" xr3:uid="{AFE376F1-96DE-43FB-B13D-5C0AAF3BE907}" name="Column12697"/>
    <tableColumn id="12698" xr3:uid="{150C3C6E-A9E4-4FAD-AABF-9A9C3243AB24}" name="Column12698"/>
    <tableColumn id="12699" xr3:uid="{741C9BE3-BA71-479B-9B0A-C4F25F6C6E1C}" name="Column12699"/>
    <tableColumn id="12700" xr3:uid="{BEA88C27-5A7A-4607-B861-C8034C1B66C7}" name="Column12700"/>
    <tableColumn id="12701" xr3:uid="{1C5D3D76-CE84-434A-99B7-F292E362705F}" name="Column12701"/>
    <tableColumn id="12702" xr3:uid="{6523D501-0C34-4E41-81DD-21D387B05328}" name="Column12702"/>
    <tableColumn id="12703" xr3:uid="{79FE4A90-41F1-4B7E-B518-569041ABD7FD}" name="Column12703"/>
    <tableColumn id="12704" xr3:uid="{2E4E7DAA-B1DC-41D6-9599-50EB9735D05D}" name="Column12704"/>
    <tableColumn id="12705" xr3:uid="{86F85197-1743-469C-8561-0DFC50F05DBC}" name="Column12705"/>
    <tableColumn id="12706" xr3:uid="{CBAE9AD0-5CA8-4FA2-A902-3372324770C5}" name="Column12706"/>
    <tableColumn id="12707" xr3:uid="{5D50DEED-55B5-46AD-BA6C-4B7CADF670DF}" name="Column12707"/>
    <tableColumn id="12708" xr3:uid="{2E13A3CA-3FE0-4C49-8A71-6A14F6830771}" name="Column12708"/>
    <tableColumn id="12709" xr3:uid="{8E5F5F16-C4C6-4C80-A0E2-A44426C73234}" name="Column12709"/>
    <tableColumn id="12710" xr3:uid="{1F8B2910-70F8-439B-B3AA-F9575540BC6F}" name="Column12710"/>
    <tableColumn id="12711" xr3:uid="{736F1140-9FAB-4089-952A-46E2370F8110}" name="Column12711"/>
    <tableColumn id="12712" xr3:uid="{99468364-7B2B-4EC4-921A-F4415B433AEF}" name="Column12712"/>
    <tableColumn id="12713" xr3:uid="{E0C0E51B-44C0-4914-955A-12514FE8DFE4}" name="Column12713"/>
    <tableColumn id="12714" xr3:uid="{DAEEB899-A0F7-42C5-902E-BD7DC7A41F3D}" name="Column12714"/>
    <tableColumn id="12715" xr3:uid="{A884C7A4-7B77-47FC-8157-1833FC806C08}" name="Column12715"/>
    <tableColumn id="12716" xr3:uid="{B73472B0-4481-4262-80AB-3DB13E26535E}" name="Column12716"/>
    <tableColumn id="12717" xr3:uid="{1F57C59F-8C14-4F86-9BDF-9673C4CD2AD9}" name="Column12717"/>
    <tableColumn id="12718" xr3:uid="{5B701730-96B3-445D-BF5D-D4F999B5F627}" name="Column12718"/>
    <tableColumn id="12719" xr3:uid="{66CDFF87-DFFD-40A3-9667-ABF46510262E}" name="Column12719"/>
    <tableColumn id="12720" xr3:uid="{B18A1F84-B886-4CEA-A922-8F5B6B175166}" name="Column12720"/>
    <tableColumn id="12721" xr3:uid="{7CC37213-F184-4246-8AD0-F1410D220E29}" name="Column12721"/>
    <tableColumn id="12722" xr3:uid="{91D720A0-685C-426B-B32B-3103929E6152}" name="Column12722"/>
    <tableColumn id="12723" xr3:uid="{7A44166B-52C4-4F6D-A083-31CF5544A898}" name="Column12723"/>
    <tableColumn id="12724" xr3:uid="{486818D6-76A0-4F2C-8880-EC6CFB5A84B9}" name="Column12724"/>
    <tableColumn id="12725" xr3:uid="{49C6D757-BBCA-4060-A584-F1E6115EA206}" name="Column12725"/>
    <tableColumn id="12726" xr3:uid="{F94A3F56-568F-4028-AF06-DBE63C3E6522}" name="Column12726"/>
    <tableColumn id="12727" xr3:uid="{30112798-51B0-49BF-B879-D6A6A4433FF8}" name="Column12727"/>
    <tableColumn id="12728" xr3:uid="{01165029-A4F7-4ADC-BD40-260C8FFEFC95}" name="Column12728"/>
    <tableColumn id="12729" xr3:uid="{6E7F3C05-777E-4B64-B7C8-A526FFE767EF}" name="Column12729"/>
    <tableColumn id="12730" xr3:uid="{24EB65F9-5EAC-4D69-9AC0-6541E3F87C87}" name="Column12730"/>
    <tableColumn id="12731" xr3:uid="{0B885466-E0FB-4B17-B59E-937DE5B99740}" name="Column12731"/>
    <tableColumn id="12732" xr3:uid="{ACAF4557-4386-4988-A454-CB4AFF222E15}" name="Column12732"/>
    <tableColumn id="12733" xr3:uid="{A7089669-753C-4077-919C-2E32189AF0E6}" name="Column12733"/>
    <tableColumn id="12734" xr3:uid="{38A0E17A-B023-477D-B970-945CBE894ADE}" name="Column12734"/>
    <tableColumn id="12735" xr3:uid="{14963EF0-824A-4C05-BAB6-53D681CBBF45}" name="Column12735"/>
    <tableColumn id="12736" xr3:uid="{EDC0C38B-5459-4D9B-986E-6E8C5A95CAA2}" name="Column12736"/>
    <tableColumn id="12737" xr3:uid="{8BEDDC08-8125-4512-8C9B-8B45E8976245}" name="Column12737"/>
    <tableColumn id="12738" xr3:uid="{0170F72E-68A4-4EA9-A648-49BC49E4BE4B}" name="Column12738"/>
    <tableColumn id="12739" xr3:uid="{1F021981-FB6F-4A4C-812A-ACB1CA73BDFB}" name="Column12739"/>
    <tableColumn id="12740" xr3:uid="{C56BB1C7-5F99-42FD-BC3E-7F1A29D7E969}" name="Column12740"/>
    <tableColumn id="12741" xr3:uid="{4AB2B054-5248-4730-8417-55999940B8FA}" name="Column12741"/>
    <tableColumn id="12742" xr3:uid="{63F83EB5-2EA9-41DD-A5C7-16A962BDCE14}" name="Column12742"/>
    <tableColumn id="12743" xr3:uid="{E2D56710-947F-4049-A0DB-A601F943A280}" name="Column12743"/>
    <tableColumn id="12744" xr3:uid="{6A6ABC68-D4A7-4D54-B9B6-2EC8D46D92DE}" name="Column12744"/>
    <tableColumn id="12745" xr3:uid="{FF484C2E-DAD5-4813-9B7C-98A9B295B9C3}" name="Column12745"/>
    <tableColumn id="12746" xr3:uid="{22F2C217-3293-47CD-B9A2-33D8B9AB8192}" name="Column12746"/>
    <tableColumn id="12747" xr3:uid="{DB9A384E-9A73-4EF3-B143-77F8BD2B681F}" name="Column12747"/>
    <tableColumn id="12748" xr3:uid="{23C15EF2-ECD6-4312-82CB-67CF0D8C063A}" name="Column12748"/>
    <tableColumn id="12749" xr3:uid="{96DD5D15-5598-4053-AD30-1119F6C086DF}" name="Column12749"/>
    <tableColumn id="12750" xr3:uid="{F825B249-9993-4968-80E3-69010FDCA935}" name="Column12750"/>
    <tableColumn id="12751" xr3:uid="{1EFD995D-87F5-4D11-8677-1FD10E17D33E}" name="Column12751"/>
    <tableColumn id="12752" xr3:uid="{6EEE40AE-08C7-4282-B407-C022E871506E}" name="Column12752"/>
    <tableColumn id="12753" xr3:uid="{884B1EC5-030B-4951-911B-86AE137D2F06}" name="Column12753"/>
    <tableColumn id="12754" xr3:uid="{96F0F7CE-8B8B-4252-98CA-2F9C196380DD}" name="Column12754"/>
    <tableColumn id="12755" xr3:uid="{34467379-8F33-406F-9F79-C28D2B5B7049}" name="Column12755"/>
    <tableColumn id="12756" xr3:uid="{8D2A3F02-CE46-4288-9223-30D2667D46E2}" name="Column12756"/>
    <tableColumn id="12757" xr3:uid="{16D24381-0F6F-466E-9DD2-2F4ECE128908}" name="Column12757"/>
    <tableColumn id="12758" xr3:uid="{092FE731-3DE1-4E09-A94E-336E51DAE34D}" name="Column12758"/>
    <tableColumn id="12759" xr3:uid="{6651D945-59EF-4BBE-A3F0-5ED7A5E51B80}" name="Column12759"/>
    <tableColumn id="12760" xr3:uid="{DA414B9C-CDD5-4472-B6B8-522F54F3E7C0}" name="Column12760"/>
    <tableColumn id="12761" xr3:uid="{036A8970-831C-4C4D-9941-C1B16E752852}" name="Column12761"/>
    <tableColumn id="12762" xr3:uid="{2955FD46-8674-4612-84D6-B6FAFD61765B}" name="Column12762"/>
    <tableColumn id="12763" xr3:uid="{6D8E3B20-7B35-4E97-BB0D-E9F50B90A4EE}" name="Column12763"/>
    <tableColumn id="12764" xr3:uid="{6E2F290A-3634-478A-8FA6-62120561DA73}" name="Column12764"/>
    <tableColumn id="12765" xr3:uid="{C88DEFD7-FF56-46E5-9E44-C6F27F5149BA}" name="Column12765"/>
    <tableColumn id="12766" xr3:uid="{F60E557C-B9DB-4E23-9891-EA80BF97FAA9}" name="Column12766"/>
    <tableColumn id="12767" xr3:uid="{FA7781D5-417B-45AC-9A06-4A2CB50C6642}" name="Column12767"/>
    <tableColumn id="12768" xr3:uid="{C29F2986-AAA9-47BF-A1D2-2901238934C9}" name="Column12768"/>
    <tableColumn id="12769" xr3:uid="{A26887ED-5988-4BD4-9277-2987DC50F8F1}" name="Column12769"/>
    <tableColumn id="12770" xr3:uid="{B0FC7F18-DB4F-409C-8DD1-45ABF57E5361}" name="Column12770"/>
    <tableColumn id="12771" xr3:uid="{79CD6A6D-2B0D-422F-B71D-8C2BD45D5AC6}" name="Column12771"/>
    <tableColumn id="12772" xr3:uid="{9C61B8D7-0475-4071-AD4F-4B4004765874}" name="Column12772"/>
    <tableColumn id="12773" xr3:uid="{FC9B30CC-CD64-4B79-BE2D-BC32C8CEC2B2}" name="Column12773"/>
    <tableColumn id="12774" xr3:uid="{C7E71407-E9C6-42F7-84DB-C83E43D63654}" name="Column12774"/>
    <tableColumn id="12775" xr3:uid="{C9F0A451-8280-45D1-A965-2B6CE53A4252}" name="Column12775"/>
    <tableColumn id="12776" xr3:uid="{2D597B59-3097-4A5D-A5F3-9196618FF3C0}" name="Column12776"/>
    <tableColumn id="12777" xr3:uid="{3D6FAE25-870A-4488-9319-D3998EB7DC50}" name="Column12777"/>
    <tableColumn id="12778" xr3:uid="{6CB9705C-2686-4751-9C06-9C949506DFF0}" name="Column12778"/>
    <tableColumn id="12779" xr3:uid="{C348852B-F66E-4F40-994F-1DD6C6E488BF}" name="Column12779"/>
    <tableColumn id="12780" xr3:uid="{B630F909-8DA4-48FD-98BE-DEDF48481B15}" name="Column12780"/>
    <tableColumn id="12781" xr3:uid="{B0E6C84C-3ABE-40E7-B639-11F4C8DFEE76}" name="Column12781"/>
    <tableColumn id="12782" xr3:uid="{1B8E912D-A419-4D8D-892F-8D8C25E0F17A}" name="Column12782"/>
    <tableColumn id="12783" xr3:uid="{DA049063-E87A-4BB6-8059-433176E8A2CA}" name="Column12783"/>
    <tableColumn id="12784" xr3:uid="{2E67BDAF-069D-4AB6-9D32-2FE3FE617224}" name="Column12784"/>
    <tableColumn id="12785" xr3:uid="{B0C6E737-DFE9-44AE-BA1A-928495313BAF}" name="Column12785"/>
    <tableColumn id="12786" xr3:uid="{4890B834-3AF6-4C0B-9854-080A4A31E429}" name="Column12786"/>
    <tableColumn id="12787" xr3:uid="{F868FC92-8FAB-4FCB-BAD1-263E61E0A67A}" name="Column12787"/>
    <tableColumn id="12788" xr3:uid="{27051B64-B7F4-41C2-B241-C01C61177E72}" name="Column12788"/>
    <tableColumn id="12789" xr3:uid="{66CB5FCD-F18B-4C9A-952F-F069AFA62278}" name="Column12789"/>
    <tableColumn id="12790" xr3:uid="{3B8DA786-11FA-4372-9042-D96769522C9E}" name="Column12790"/>
    <tableColumn id="12791" xr3:uid="{16816824-475D-4179-BAD0-5142CBD9D162}" name="Column12791"/>
    <tableColumn id="12792" xr3:uid="{15BF712A-5EAC-4516-BFF9-7ECD9F961593}" name="Column12792"/>
    <tableColumn id="12793" xr3:uid="{04C60078-9154-45E2-98BB-B7E222359161}" name="Column12793"/>
    <tableColumn id="12794" xr3:uid="{D6920F28-00B0-4095-8070-0FD245F46E2A}" name="Column12794"/>
    <tableColumn id="12795" xr3:uid="{62C7618F-8894-4700-BAC4-904620A1ED58}" name="Column12795"/>
    <tableColumn id="12796" xr3:uid="{4F1A78AF-3F7C-4790-84A5-AD337A0E144B}" name="Column12796"/>
    <tableColumn id="12797" xr3:uid="{E4E84CDE-4CDB-4544-A788-60F005C3F9DF}" name="Column12797"/>
    <tableColumn id="12798" xr3:uid="{AC24B14E-1509-48D6-9387-574DF2D3837A}" name="Column12798"/>
    <tableColumn id="12799" xr3:uid="{227849C2-E063-4E00-8619-6BBEB330BE0D}" name="Column12799"/>
    <tableColumn id="12800" xr3:uid="{4320CB08-9CE0-41DE-B906-F6ACF8C4B110}" name="Column12800"/>
    <tableColumn id="12801" xr3:uid="{120E2994-A9BE-4A92-97CE-B2EA9A857C83}" name="Column12801"/>
    <tableColumn id="12802" xr3:uid="{9169F102-6036-4C97-A5FB-363C1E9F2C24}" name="Column12802"/>
    <tableColumn id="12803" xr3:uid="{F7AC7BA1-D0C0-4232-AB9B-392DC3099DA8}" name="Column12803"/>
    <tableColumn id="12804" xr3:uid="{D4F5E75F-8B2D-409C-88DD-B301B5A2F0FD}" name="Column12804"/>
    <tableColumn id="12805" xr3:uid="{C66C7C92-09C7-43A9-918B-6818BE4698D3}" name="Column12805"/>
    <tableColumn id="12806" xr3:uid="{0108260A-4675-4282-B0EF-A8A7598C49E3}" name="Column12806"/>
    <tableColumn id="12807" xr3:uid="{7219EA0B-4F52-4E46-8A2B-ABB4C8BF52AE}" name="Column12807"/>
    <tableColumn id="12808" xr3:uid="{72045A31-1AF7-42FB-B6E6-13CC2778911C}" name="Column12808"/>
    <tableColumn id="12809" xr3:uid="{34B58354-0B78-41BE-B81E-DAFFEFBC2A09}" name="Column12809"/>
    <tableColumn id="12810" xr3:uid="{CCE0D88C-D617-4710-B235-6489D0B3B6DA}" name="Column12810"/>
    <tableColumn id="12811" xr3:uid="{7C9C7276-5DA2-424B-8CB7-8ED4FF7B4C5C}" name="Column12811"/>
    <tableColumn id="12812" xr3:uid="{FF4FD9DA-1749-4F17-83E6-FA541B454671}" name="Column12812"/>
    <tableColumn id="12813" xr3:uid="{8C6929CF-52E9-4CB7-BF08-A1C33481891A}" name="Column12813"/>
    <tableColumn id="12814" xr3:uid="{C59BE720-7E34-4D7B-8577-FF39FE3A1E08}" name="Column12814"/>
    <tableColumn id="12815" xr3:uid="{722E8036-6811-4667-80FA-81C2420766AE}" name="Column12815"/>
    <tableColumn id="12816" xr3:uid="{AA3C37AD-1FC3-414C-BE29-E84492045E90}" name="Column12816"/>
    <tableColumn id="12817" xr3:uid="{0DCAA649-534B-4CC4-B086-7813BE4B812F}" name="Column12817"/>
    <tableColumn id="12818" xr3:uid="{ECA801AD-0E3A-4A6E-A139-9511E056385C}" name="Column12818"/>
    <tableColumn id="12819" xr3:uid="{3E84F249-897B-489C-A4C9-395C0310AE16}" name="Column12819"/>
    <tableColumn id="12820" xr3:uid="{86079E02-A47C-4DB6-B664-DC308CF8154D}" name="Column12820"/>
    <tableColumn id="12821" xr3:uid="{08866C60-45B9-4187-B34C-0E07C56B8FDA}" name="Column12821"/>
    <tableColumn id="12822" xr3:uid="{04450CDE-D65E-4667-AC5D-3C6D86E2C83D}" name="Column12822"/>
    <tableColumn id="12823" xr3:uid="{4DB6DA42-5DEB-4709-9D7C-50B9DD31FB9C}" name="Column12823"/>
    <tableColumn id="12824" xr3:uid="{98A5C2E2-B8B5-41E5-A054-952FFB6FCA53}" name="Column12824"/>
    <tableColumn id="12825" xr3:uid="{C96124C3-34B6-46E2-AA8B-81E86D67D5DC}" name="Column12825"/>
    <tableColumn id="12826" xr3:uid="{71CB2BDD-453C-427C-B080-A69DEF077189}" name="Column12826"/>
    <tableColumn id="12827" xr3:uid="{D443D9A2-5B61-4ED4-B33C-1F1511216FD1}" name="Column12827"/>
    <tableColumn id="12828" xr3:uid="{2E386704-D355-4590-8283-B3609987EC97}" name="Column12828"/>
    <tableColumn id="12829" xr3:uid="{13340C2F-B39F-443E-AAAF-45C3C8BCAEFF}" name="Column12829"/>
    <tableColumn id="12830" xr3:uid="{745B0208-2576-488C-8317-03966DF48CC3}" name="Column12830"/>
    <tableColumn id="12831" xr3:uid="{40A5B1D5-DAB4-4941-863B-85A1183F9C60}" name="Column12831"/>
    <tableColumn id="12832" xr3:uid="{A4C1D8AE-38C6-4C5D-9453-354596FB4AC9}" name="Column12832"/>
    <tableColumn id="12833" xr3:uid="{70715989-B2CC-417E-8591-FB248DB0F0A4}" name="Column12833"/>
    <tableColumn id="12834" xr3:uid="{395D9BE1-1078-4209-BBB5-65AFCEC810D2}" name="Column12834"/>
    <tableColumn id="12835" xr3:uid="{F1D7E380-EB72-4821-BA6D-A31A6113CB03}" name="Column12835"/>
    <tableColumn id="12836" xr3:uid="{85952BA9-9542-43F9-9E9F-D9C0E6121AED}" name="Column12836"/>
    <tableColumn id="12837" xr3:uid="{428DDFF9-8942-4971-939F-2661AD4E72A1}" name="Column12837"/>
    <tableColumn id="12838" xr3:uid="{7B38B51C-1B30-47D2-A724-0F40AE4F6A1F}" name="Column12838"/>
    <tableColumn id="12839" xr3:uid="{ED129D70-061E-49D5-A7BE-E780F7B2C493}" name="Column12839"/>
    <tableColumn id="12840" xr3:uid="{6070A77F-608F-4F0D-A81A-C2B614137AE2}" name="Column12840"/>
    <tableColumn id="12841" xr3:uid="{8D037BD1-2AF2-4C82-94FF-BA4C55630234}" name="Column12841"/>
    <tableColumn id="12842" xr3:uid="{4D79B4D4-59D3-4883-B333-6BE1570272A8}" name="Column12842"/>
    <tableColumn id="12843" xr3:uid="{00164A20-255E-41EA-8914-323E58E62BF0}" name="Column12843"/>
    <tableColumn id="12844" xr3:uid="{726C0931-D64A-4B65-B1B3-4BBB158DEA02}" name="Column12844"/>
    <tableColumn id="12845" xr3:uid="{4A244953-8120-4075-92EF-56806E0CC4B0}" name="Column12845"/>
    <tableColumn id="12846" xr3:uid="{D599A584-EEF8-4D87-A6A6-F5E770D738EC}" name="Column12846"/>
    <tableColumn id="12847" xr3:uid="{3679B674-22B1-40C2-B2B8-ECEACA654C95}" name="Column12847"/>
    <tableColumn id="12848" xr3:uid="{F577C19D-4753-42BD-9162-04DC8D6F3AAB}" name="Column12848"/>
    <tableColumn id="12849" xr3:uid="{54A42E09-D875-4A43-BC01-7B4713A20B74}" name="Column12849"/>
    <tableColumn id="12850" xr3:uid="{30D5B7B2-2F03-435C-B52B-48B175A4A8C0}" name="Column12850"/>
    <tableColumn id="12851" xr3:uid="{C40F3467-7A27-4624-9714-51181EF99396}" name="Column12851"/>
    <tableColumn id="12852" xr3:uid="{FA40E933-3417-4A14-98E4-D64A18CAD1F4}" name="Column12852"/>
    <tableColumn id="12853" xr3:uid="{79A30084-98E6-4FD3-88D3-40C90A7E647A}" name="Column12853"/>
    <tableColumn id="12854" xr3:uid="{1755E8C6-0227-4DA7-9841-70F0B94E51A8}" name="Column12854"/>
    <tableColumn id="12855" xr3:uid="{4116CE5B-87F9-468D-BB0E-D9339B764964}" name="Column12855"/>
    <tableColumn id="12856" xr3:uid="{F7514EC1-AE8C-4912-A351-23AABB70F976}" name="Column12856"/>
    <tableColumn id="12857" xr3:uid="{0A4B0E36-DF3A-4402-B0D3-20A2F8D7B76A}" name="Column12857"/>
    <tableColumn id="12858" xr3:uid="{F7A09AAC-422A-4EEE-BDD5-76E8A68D0FD3}" name="Column12858"/>
    <tableColumn id="12859" xr3:uid="{1687F751-2828-409D-931F-1718836E71F3}" name="Column12859"/>
    <tableColumn id="12860" xr3:uid="{760A444B-5FF2-4F6E-B7B0-EE29824BB80C}" name="Column12860"/>
    <tableColumn id="12861" xr3:uid="{0E94BC0F-9E4A-44E6-A193-84EDE9BC2DB5}" name="Column12861"/>
    <tableColumn id="12862" xr3:uid="{ADBF70DC-4D70-4156-97C6-F98348D29828}" name="Column12862"/>
    <tableColumn id="12863" xr3:uid="{66F4ED74-8540-4964-B090-D70E525C065C}" name="Column12863"/>
    <tableColumn id="12864" xr3:uid="{4CBFD490-D662-433E-AD95-815F7B3BA4BE}" name="Column12864"/>
    <tableColumn id="12865" xr3:uid="{005C08C4-28F5-44DF-918A-3D5351AA752F}" name="Column12865"/>
    <tableColumn id="12866" xr3:uid="{0DBD5C2E-5EA4-447C-907F-2487D08E3A7F}" name="Column12866"/>
    <tableColumn id="12867" xr3:uid="{1A0E5F29-D579-472A-8868-D542A94FAA54}" name="Column12867"/>
    <tableColumn id="12868" xr3:uid="{86334D23-6C01-45E6-9A32-E169955BDBFF}" name="Column12868"/>
    <tableColumn id="12869" xr3:uid="{70C9B749-1FB4-4C48-B491-39282BAA9E47}" name="Column12869"/>
    <tableColumn id="12870" xr3:uid="{3917DD80-3D8C-4402-9E2A-FA0F33264ABF}" name="Column12870"/>
    <tableColumn id="12871" xr3:uid="{6A72A2F5-8D45-4D80-8F26-969300730BFC}" name="Column12871"/>
    <tableColumn id="12872" xr3:uid="{24137FCF-DBD3-4ABF-A43C-BFE0CB43EDF3}" name="Column12872"/>
    <tableColumn id="12873" xr3:uid="{04EFB05A-969A-45C8-9A33-2B44B68DA6D1}" name="Column12873"/>
    <tableColumn id="12874" xr3:uid="{AB89C4FE-8C5C-4470-9FE8-86854D988939}" name="Column12874"/>
    <tableColumn id="12875" xr3:uid="{F6D81BED-D33D-42AB-8766-C2A8FCDFDFD7}" name="Column12875"/>
    <tableColumn id="12876" xr3:uid="{B0FA8B57-B1FF-40B9-8D00-3B975ECDB562}" name="Column12876"/>
    <tableColumn id="12877" xr3:uid="{8BDB3B5A-E9F9-4FA1-A486-158B09DAB013}" name="Column12877"/>
    <tableColumn id="12878" xr3:uid="{5F2C2172-FAA9-4D31-8046-E2A419DDFECF}" name="Column12878"/>
    <tableColumn id="12879" xr3:uid="{42C003A1-6BDE-41CD-844B-847CF0468197}" name="Column12879"/>
    <tableColumn id="12880" xr3:uid="{682377DE-436B-4DA2-9084-6E80330EC081}" name="Column12880"/>
    <tableColumn id="12881" xr3:uid="{E0739C00-09A0-4E7E-8D82-F41CC9AC913E}" name="Column12881"/>
    <tableColumn id="12882" xr3:uid="{51C368FC-791A-4B7E-8241-2DF0F0306B6D}" name="Column12882"/>
    <tableColumn id="12883" xr3:uid="{A15D5AF8-59F3-4462-A22A-F2ABD984952E}" name="Column12883"/>
    <tableColumn id="12884" xr3:uid="{2148AF2D-8B41-41A3-B5BC-D04B5BADF7F5}" name="Column12884"/>
    <tableColumn id="12885" xr3:uid="{FB9D3607-FC4E-4119-A238-205331D223C3}" name="Column12885"/>
    <tableColumn id="12886" xr3:uid="{2610346A-5A0E-4103-BEAC-8E0270F2FB69}" name="Column12886"/>
    <tableColumn id="12887" xr3:uid="{57EE7DCA-4311-4ED9-A053-0DD0E1767BD9}" name="Column12887"/>
    <tableColumn id="12888" xr3:uid="{748D402A-DABE-4ACB-94B7-77D4D9BFA899}" name="Column12888"/>
    <tableColumn id="12889" xr3:uid="{406EE185-6D47-4BAA-9B9C-9F543855A3CC}" name="Column12889"/>
    <tableColumn id="12890" xr3:uid="{36C43095-3557-4883-9C0D-6A34F86C2F5C}" name="Column12890"/>
    <tableColumn id="12891" xr3:uid="{C48A8259-F2E3-45E5-AEAA-FD285F538B96}" name="Column12891"/>
    <tableColumn id="12892" xr3:uid="{FD95F8C3-4C02-43A2-955E-BFCA63348BB4}" name="Column12892"/>
    <tableColumn id="12893" xr3:uid="{762B03D1-2F84-483E-AEE5-235434F5ED96}" name="Column12893"/>
    <tableColumn id="12894" xr3:uid="{6750CFF8-985D-46FF-A76A-4F3B35F49CCD}" name="Column12894"/>
    <tableColumn id="12895" xr3:uid="{84F9601D-9758-4E2E-8F1B-9F14C0BC35BB}" name="Column12895"/>
    <tableColumn id="12896" xr3:uid="{5A4342E9-AFE7-4552-B6A5-421490B47C93}" name="Column12896"/>
    <tableColumn id="12897" xr3:uid="{17AF0251-F1D2-4ABB-82B7-6E8E1A63DAA8}" name="Column12897"/>
    <tableColumn id="12898" xr3:uid="{8812CA31-6FD4-47BB-AB2F-74D67C3BFD85}" name="Column12898"/>
    <tableColumn id="12899" xr3:uid="{AE61245E-766B-487B-9DE4-C8A91BF1A2D6}" name="Column12899"/>
    <tableColumn id="12900" xr3:uid="{D7AE8FD9-AC81-40CA-9620-26C6066C3C49}" name="Column12900"/>
    <tableColumn id="12901" xr3:uid="{6026D07C-05C0-49A2-87E1-47F206B86ABA}" name="Column12901"/>
    <tableColumn id="12902" xr3:uid="{1B759113-E876-4E5F-A283-553F15B97799}" name="Column12902"/>
    <tableColumn id="12903" xr3:uid="{39F66E62-D23C-47B7-AD56-40941FAA40F7}" name="Column12903"/>
    <tableColumn id="12904" xr3:uid="{9BDCCD9C-A0AD-4AF9-9770-3B1B38A8D923}" name="Column12904"/>
    <tableColumn id="12905" xr3:uid="{95936510-919C-4676-BE7E-01D298DF7A33}" name="Column12905"/>
    <tableColumn id="12906" xr3:uid="{14D817D4-E55F-44C3-9B0C-93EBCCC660BE}" name="Column12906"/>
    <tableColumn id="12907" xr3:uid="{803F8DC1-FD01-44B9-AFCC-635F0D196403}" name="Column12907"/>
    <tableColumn id="12908" xr3:uid="{9689DC6D-2D84-4769-87FE-F16C54CB9F41}" name="Column12908"/>
    <tableColumn id="12909" xr3:uid="{EE30CDDA-910A-463A-BABE-1EF420C30DD1}" name="Column12909"/>
    <tableColumn id="12910" xr3:uid="{B3AD24A1-64CF-4948-9AB0-8001911FE989}" name="Column12910"/>
    <tableColumn id="12911" xr3:uid="{D5ECFAE3-EFB7-4F45-9324-504AD81518AB}" name="Column12911"/>
    <tableColumn id="12912" xr3:uid="{71B8F92F-E2D8-4B2E-B827-9A3AE462917A}" name="Column12912"/>
    <tableColumn id="12913" xr3:uid="{8F707BD0-C947-40D2-BBE8-6F0CA74531A3}" name="Column12913"/>
    <tableColumn id="12914" xr3:uid="{FF957726-9B1E-4344-A681-2A4134162B6D}" name="Column12914"/>
    <tableColumn id="12915" xr3:uid="{4CC80596-1E49-4A1A-AB39-71C9EFD611B7}" name="Column12915"/>
    <tableColumn id="12916" xr3:uid="{5D3B8206-C670-4237-ACB7-4C9E25B98EDF}" name="Column12916"/>
    <tableColumn id="12917" xr3:uid="{643E19DF-DBB9-4D0A-89C8-994F33DB1F18}" name="Column12917"/>
    <tableColumn id="12918" xr3:uid="{37C67E18-3DAE-445D-92A0-ED831262E533}" name="Column12918"/>
    <tableColumn id="12919" xr3:uid="{F4978618-14B0-4471-A456-D9772BAA1B40}" name="Column12919"/>
    <tableColumn id="12920" xr3:uid="{A2FD0C7B-EBD4-49C9-ABBC-DEC6888CF70E}" name="Column12920"/>
    <tableColumn id="12921" xr3:uid="{764E1101-F90C-40AF-A03D-BDBBAABE7F42}" name="Column12921"/>
    <tableColumn id="12922" xr3:uid="{8B2590FB-D16B-4D16-8917-8B776E16339E}" name="Column12922"/>
    <tableColumn id="12923" xr3:uid="{B92A32DF-4FA6-4B75-BD08-FC09C73C3D16}" name="Column12923"/>
    <tableColumn id="12924" xr3:uid="{357F35A6-6A98-4002-9C37-62C183CA4E4B}" name="Column12924"/>
    <tableColumn id="12925" xr3:uid="{849539F3-7682-4AAD-AE7B-5D403C76AFDF}" name="Column12925"/>
    <tableColumn id="12926" xr3:uid="{6AD3BE71-A9B3-4D95-860D-74A129CF5EEA}" name="Column12926"/>
    <tableColumn id="12927" xr3:uid="{ECB4957A-A107-404C-96BE-53C1D6D22FEE}" name="Column12927"/>
    <tableColumn id="12928" xr3:uid="{9F6B30F0-410E-4672-A263-7306E1CD21EF}" name="Column12928"/>
    <tableColumn id="12929" xr3:uid="{993A2AD1-E54B-4F48-9E02-34D6CA5294A9}" name="Column12929"/>
    <tableColumn id="12930" xr3:uid="{4891D425-C4CA-4AF9-AA57-AECE251B7170}" name="Column12930"/>
    <tableColumn id="12931" xr3:uid="{5A4F88AC-9247-4D2E-A7A5-B19B9A40CE1B}" name="Column12931"/>
    <tableColumn id="12932" xr3:uid="{CBA0DBED-A9C1-42E9-A92F-810814B673C7}" name="Column12932"/>
    <tableColumn id="12933" xr3:uid="{3A3BA55D-409A-4582-880E-D0961B824122}" name="Column12933"/>
    <tableColumn id="12934" xr3:uid="{D7039348-4724-461D-8C52-947789B762A9}" name="Column12934"/>
    <tableColumn id="12935" xr3:uid="{FCDFE41B-F292-48D5-8EF3-4ECE34587CA5}" name="Column12935"/>
    <tableColumn id="12936" xr3:uid="{42DE7AC0-AB62-467E-BFC2-A2183A167781}" name="Column12936"/>
    <tableColumn id="12937" xr3:uid="{6C19C5E0-70E1-4524-9850-409CFAAA7D84}" name="Column12937"/>
    <tableColumn id="12938" xr3:uid="{616FAD36-98FB-413F-BC29-A9A8025F8D1C}" name="Column12938"/>
    <tableColumn id="12939" xr3:uid="{017D48EF-9FE9-485C-9131-A74DF9DE3F1A}" name="Column12939"/>
    <tableColumn id="12940" xr3:uid="{2F88C42C-4AB7-4D90-92B7-33EB29F6D04C}" name="Column12940"/>
    <tableColumn id="12941" xr3:uid="{543A2303-9126-4369-B29A-E6A5F3AA8784}" name="Column12941"/>
    <tableColumn id="12942" xr3:uid="{C4272B93-C5CE-4687-91C5-06AD58C8376A}" name="Column12942"/>
    <tableColumn id="12943" xr3:uid="{759F19C7-15C9-4B72-B50D-FAA903DF6BDA}" name="Column12943"/>
    <tableColumn id="12944" xr3:uid="{1C437DF4-41F3-447E-B42E-B873ED6598B7}" name="Column12944"/>
    <tableColumn id="12945" xr3:uid="{DACA03BF-ED37-4BA5-A4E6-B69495CF7D79}" name="Column12945"/>
    <tableColumn id="12946" xr3:uid="{3F2A7C77-E237-4218-A7F6-BA658CB5B02B}" name="Column12946"/>
    <tableColumn id="12947" xr3:uid="{DF7CE87B-19BC-45C2-B73C-17D6F806187E}" name="Column12947"/>
    <tableColumn id="12948" xr3:uid="{B7CE24B9-85AF-43ED-A50E-713128DE4A7C}" name="Column12948"/>
    <tableColumn id="12949" xr3:uid="{CE8BB15C-0B8B-4BCF-BA6D-C2DED7437F98}" name="Column12949"/>
    <tableColumn id="12950" xr3:uid="{72618765-03B5-472C-96E5-CB98F2426732}" name="Column12950"/>
    <tableColumn id="12951" xr3:uid="{F765009E-D5BC-4012-A48A-52D8B5229372}" name="Column12951"/>
    <tableColumn id="12952" xr3:uid="{BBBB5BCE-EDA8-422D-862D-C812F416532A}" name="Column12952"/>
    <tableColumn id="12953" xr3:uid="{59BDF5F1-528F-44B9-95D8-5A078D7A4135}" name="Column12953"/>
    <tableColumn id="12954" xr3:uid="{DF586C9C-2FF0-4BB0-B28B-47E4B2C94431}" name="Column12954"/>
    <tableColumn id="12955" xr3:uid="{89BC3966-4C42-4CBF-AA76-CD63888D2192}" name="Column12955"/>
    <tableColumn id="12956" xr3:uid="{963746F9-A04C-4729-A851-4F3DFDA004F6}" name="Column12956"/>
    <tableColumn id="12957" xr3:uid="{8595E88B-0289-48EF-A135-D3D1DA34A3D1}" name="Column12957"/>
    <tableColumn id="12958" xr3:uid="{DFC57232-F4BF-4A6B-8D2A-1B2855977573}" name="Column12958"/>
    <tableColumn id="12959" xr3:uid="{7250DF00-D637-466F-BBF1-818D5F5B5BA3}" name="Column12959"/>
    <tableColumn id="12960" xr3:uid="{0345825D-9B2A-4118-81DC-02556ABBD58F}" name="Column12960"/>
    <tableColumn id="12961" xr3:uid="{825433C0-9821-485F-85DA-FB538D6FCFF2}" name="Column12961"/>
    <tableColumn id="12962" xr3:uid="{D8D29D9B-661A-4F34-80F6-1A3E5DC3AB58}" name="Column12962"/>
    <tableColumn id="12963" xr3:uid="{2EDA909F-BC2F-48D7-800B-11C9A1322734}" name="Column12963"/>
    <tableColumn id="12964" xr3:uid="{1398D5B0-9123-4439-8853-10768D362545}" name="Column12964"/>
    <tableColumn id="12965" xr3:uid="{39F74087-7E6C-4781-8AED-2CB89024761A}" name="Column12965"/>
    <tableColumn id="12966" xr3:uid="{B773E3FF-004A-41BB-A3E8-FFF50FF5C524}" name="Column12966"/>
    <tableColumn id="12967" xr3:uid="{25AF1658-5126-43E2-B050-CFCF33F330C4}" name="Column12967"/>
    <tableColumn id="12968" xr3:uid="{BC253063-5850-4364-A869-6DED207A6329}" name="Column12968"/>
    <tableColumn id="12969" xr3:uid="{C2C48FB1-6737-4F22-A1FA-A6063F8F20DA}" name="Column12969"/>
    <tableColumn id="12970" xr3:uid="{183DAC39-C8B7-4A9B-A498-A3682858DBA9}" name="Column12970"/>
    <tableColumn id="12971" xr3:uid="{F5A86197-CAEB-4B99-B911-40CEBBDFC6A6}" name="Column12971"/>
    <tableColumn id="12972" xr3:uid="{A463E9BA-F1E9-4028-B6A6-807379AAE0DA}" name="Column12972"/>
    <tableColumn id="12973" xr3:uid="{38C8AD90-6205-4D67-A611-19A4C648F350}" name="Column12973"/>
    <tableColumn id="12974" xr3:uid="{8FC4C252-8ECA-4B9D-BB8E-D1A81998C1D7}" name="Column12974"/>
    <tableColumn id="12975" xr3:uid="{DAE26F0B-E875-483D-BCBB-4453003DC691}" name="Column12975"/>
    <tableColumn id="12976" xr3:uid="{16061A3B-EC6D-40F4-933D-34A722DA79ED}" name="Column12976"/>
    <tableColumn id="12977" xr3:uid="{AA3A0EB4-C2E6-473C-87C7-81A7808B38E8}" name="Column12977"/>
    <tableColumn id="12978" xr3:uid="{63F3348B-B783-4A05-A274-48919A119E92}" name="Column12978"/>
    <tableColumn id="12979" xr3:uid="{72467994-D8D1-475B-BA54-BFFE18FA0031}" name="Column12979"/>
    <tableColumn id="12980" xr3:uid="{1815DC9C-2867-4B96-9E5C-DEF0808E8539}" name="Column12980"/>
    <tableColumn id="12981" xr3:uid="{0786B502-1F82-4ACE-8D84-73EDBEBA5237}" name="Column12981"/>
    <tableColumn id="12982" xr3:uid="{25CAECDA-F650-4839-A027-108CBF0E37D1}" name="Column12982"/>
    <tableColumn id="12983" xr3:uid="{F66C88C4-241D-4344-9590-4AF62B64938E}" name="Column12983"/>
    <tableColumn id="12984" xr3:uid="{679C79B9-BDE1-4E5D-88DA-2BDC8407E2B1}" name="Column12984"/>
    <tableColumn id="12985" xr3:uid="{96D105DC-129E-41CD-95B9-D19A5A5E4CC1}" name="Column12985"/>
    <tableColumn id="12986" xr3:uid="{EA7AC6D2-F376-4503-BEDB-BDCDA8A8F216}" name="Column12986"/>
    <tableColumn id="12987" xr3:uid="{22C07F03-3064-4E3F-83A5-4148F2E2E818}" name="Column12987"/>
    <tableColumn id="12988" xr3:uid="{45EF455A-32EE-4637-B79F-B11865FD62A2}" name="Column12988"/>
    <tableColumn id="12989" xr3:uid="{CDCB29EF-EBD9-4E87-8AC3-2ABA56BC3FA2}" name="Column12989"/>
    <tableColumn id="12990" xr3:uid="{34FC2C5B-0390-46AA-A603-4CF0A343DAC8}" name="Column12990"/>
    <tableColumn id="12991" xr3:uid="{699D263E-C226-40FA-BF75-A86E4510C5A4}" name="Column12991"/>
    <tableColumn id="12992" xr3:uid="{E8745C5B-2834-4B8C-8F6D-8BEB2141212A}" name="Column12992"/>
    <tableColumn id="12993" xr3:uid="{7E667AD0-C558-45A0-A50F-4EBD51C0193D}" name="Column12993"/>
    <tableColumn id="12994" xr3:uid="{EE46E989-267C-4111-83AA-D5F4FAE11D89}" name="Column12994"/>
    <tableColumn id="12995" xr3:uid="{F51EC7A9-EB56-4168-A063-7F56AF43BA9D}" name="Column12995"/>
    <tableColumn id="12996" xr3:uid="{C91D322F-8D07-4C93-8402-74A9205AA4F2}" name="Column12996"/>
    <tableColumn id="12997" xr3:uid="{DA04820D-4345-4DF3-AA88-B3ADE0FEFB92}" name="Column12997"/>
    <tableColumn id="12998" xr3:uid="{11CB4465-B69B-4482-97B2-699E9A5085BA}" name="Column12998"/>
    <tableColumn id="12999" xr3:uid="{772F199B-044C-4892-A4B9-08925B4DCDA1}" name="Column12999"/>
    <tableColumn id="13000" xr3:uid="{EA748099-CAAB-4261-861D-3548A348A1F9}" name="Column13000"/>
    <tableColumn id="13001" xr3:uid="{E95A72ED-4541-4432-B247-ED432DB94144}" name="Column13001"/>
    <tableColumn id="13002" xr3:uid="{1368877E-8E8C-4C1F-BFE5-6449F916AEE7}" name="Column13002"/>
    <tableColumn id="13003" xr3:uid="{C97BE840-53B9-4E11-BF0C-C7162B1AB51C}" name="Column13003"/>
    <tableColumn id="13004" xr3:uid="{A0A5F202-0FF9-4DDC-96C4-D557ABEB2870}" name="Column13004"/>
    <tableColumn id="13005" xr3:uid="{6B5B18A9-1FBB-4462-9728-F6E1CB2E3415}" name="Column13005"/>
    <tableColumn id="13006" xr3:uid="{D3103CD1-2391-43A2-95FF-AE65C4737305}" name="Column13006"/>
    <tableColumn id="13007" xr3:uid="{EAD891F4-B029-4533-9B35-8BE62A609F52}" name="Column13007"/>
    <tableColumn id="13008" xr3:uid="{AAFAEBC1-B5CC-476E-844A-349C0968D767}" name="Column13008"/>
    <tableColumn id="13009" xr3:uid="{A3F268F3-77FF-4ECD-AC43-8F1655DD1848}" name="Column13009"/>
    <tableColumn id="13010" xr3:uid="{28646664-E5FF-45FE-9768-234AAF441EA4}" name="Column13010"/>
    <tableColumn id="13011" xr3:uid="{25AD1B49-A587-404F-958C-195712F258ED}" name="Column13011"/>
    <tableColumn id="13012" xr3:uid="{81C31063-D2CC-4D57-A35B-E719623A1E5D}" name="Column13012"/>
    <tableColumn id="13013" xr3:uid="{72923949-548D-46A5-8CC7-D48D5B5591CA}" name="Column13013"/>
    <tableColumn id="13014" xr3:uid="{6812F479-AB89-463B-B471-B2FA71B2C691}" name="Column13014"/>
    <tableColumn id="13015" xr3:uid="{E6FCB247-BD65-4D77-A97A-80F913415DFC}" name="Column13015"/>
    <tableColumn id="13016" xr3:uid="{E1B142E2-08A0-48F9-9B2D-FF1517A26A18}" name="Column13016"/>
    <tableColumn id="13017" xr3:uid="{77E16A2C-A51F-4CBD-AF05-04125679E476}" name="Column13017"/>
    <tableColumn id="13018" xr3:uid="{8FD2704F-6903-426C-91ED-C3D368202768}" name="Column13018"/>
    <tableColumn id="13019" xr3:uid="{0D0A7229-9F7A-4921-8323-91B0562A98C5}" name="Column13019"/>
    <tableColumn id="13020" xr3:uid="{3AD52887-B0B2-45A2-8B6E-9D38CAF21C20}" name="Column13020"/>
    <tableColumn id="13021" xr3:uid="{DF8484F1-43A1-4FDE-917E-C4E76DAC4E51}" name="Column13021"/>
    <tableColumn id="13022" xr3:uid="{AC9124FD-AC05-495F-970C-7766161FA06C}" name="Column13022"/>
    <tableColumn id="13023" xr3:uid="{DC14EC07-BB5F-47DF-B1BB-A36AB8DAD54B}" name="Column13023"/>
    <tableColumn id="13024" xr3:uid="{184318AB-0D41-4153-89FC-134C0011CCDF}" name="Column13024"/>
    <tableColumn id="13025" xr3:uid="{6E1CCA75-9950-495C-902B-4B2055B03F00}" name="Column13025"/>
    <tableColumn id="13026" xr3:uid="{CD92368D-5E43-4AD5-9DC6-43D9A97413A9}" name="Column13026"/>
    <tableColumn id="13027" xr3:uid="{E2970D66-B0DE-4DFA-B5FE-FD756C63BC04}" name="Column13027"/>
    <tableColumn id="13028" xr3:uid="{CC8A5254-ADD1-4FB7-8734-2C1023CDCDF1}" name="Column13028"/>
    <tableColumn id="13029" xr3:uid="{3E6F254D-F606-4838-B3EC-34A8188632F0}" name="Column13029"/>
    <tableColumn id="13030" xr3:uid="{59B755FC-082A-4089-A912-CA41F632F79D}" name="Column13030"/>
    <tableColumn id="13031" xr3:uid="{2E646991-D213-4EFD-AD61-505C598B3824}" name="Column13031"/>
    <tableColumn id="13032" xr3:uid="{D73FCF7D-8A8C-40BF-A859-2701031D5B14}" name="Column13032"/>
    <tableColumn id="13033" xr3:uid="{8AC7F204-6377-48B0-A9BF-A2E7B486944C}" name="Column13033"/>
    <tableColumn id="13034" xr3:uid="{75966465-1652-40E3-8967-BC06C17F1331}" name="Column13034"/>
    <tableColumn id="13035" xr3:uid="{93D879FB-BEE7-4C84-8486-F741322CF806}" name="Column13035"/>
    <tableColumn id="13036" xr3:uid="{F0FB4AA3-37B2-48ED-B4D9-45992DBA0C04}" name="Column13036"/>
    <tableColumn id="13037" xr3:uid="{1581B540-02CF-4052-9D2B-A3CC9B3C776D}" name="Column13037"/>
    <tableColumn id="13038" xr3:uid="{C2E76C7E-ABB7-4AA4-97DE-CC4945056B1C}" name="Column13038"/>
    <tableColumn id="13039" xr3:uid="{AE1E7D0A-908A-40DC-8139-8AFA2514C141}" name="Column13039"/>
    <tableColumn id="13040" xr3:uid="{2D17BF39-69E7-41D5-A387-9740FA9DA056}" name="Column13040"/>
    <tableColumn id="13041" xr3:uid="{73EBA262-E3EE-4A57-BD6C-98F8CD26F758}" name="Column13041"/>
    <tableColumn id="13042" xr3:uid="{11D27364-D252-40B8-9F56-BDBCB34AE198}" name="Column13042"/>
    <tableColumn id="13043" xr3:uid="{5526CA20-1DC4-4F83-95C5-5C984C853144}" name="Column13043"/>
    <tableColumn id="13044" xr3:uid="{725CB652-5008-47EF-B495-77272D288B23}" name="Column13044"/>
    <tableColumn id="13045" xr3:uid="{A1BEA81A-D165-497C-A8BC-BFB7AB6909F3}" name="Column13045"/>
    <tableColumn id="13046" xr3:uid="{74498162-8509-4DAA-B669-9CC8C5E1349D}" name="Column13046"/>
    <tableColumn id="13047" xr3:uid="{4924536F-B68F-4456-93C5-B5BF3BED05B3}" name="Column13047"/>
    <tableColumn id="13048" xr3:uid="{F177E22D-7E2F-49A1-AD83-B63BB9EB12F8}" name="Column13048"/>
    <tableColumn id="13049" xr3:uid="{8C2F527E-1BB8-4CFF-B6AD-A04C766C20E0}" name="Column13049"/>
    <tableColumn id="13050" xr3:uid="{D57F716F-AB6C-4AA4-9D94-C10AB0DE18A5}" name="Column13050"/>
    <tableColumn id="13051" xr3:uid="{C1C273A5-5C31-44E8-89DB-9E4DEDF4A1B0}" name="Column13051"/>
    <tableColumn id="13052" xr3:uid="{2AC4187B-B933-44D4-9EE3-B11C1ECC400E}" name="Column13052"/>
    <tableColumn id="13053" xr3:uid="{D40B55AB-CC92-45CC-8A2A-EE2E0D2CAC55}" name="Column13053"/>
    <tableColumn id="13054" xr3:uid="{F5592FC2-8033-4002-87E5-BD6527FFE401}" name="Column13054"/>
    <tableColumn id="13055" xr3:uid="{FE2F7622-06FB-4768-AFA5-3A3BADFFABD0}" name="Column13055"/>
    <tableColumn id="13056" xr3:uid="{D3798F8B-45CB-4350-BD02-099DF8D76E02}" name="Column13056"/>
    <tableColumn id="13057" xr3:uid="{01D7A2AD-23CC-4626-BAE3-2938640977C5}" name="Column13057"/>
    <tableColumn id="13058" xr3:uid="{09CE372C-58A4-47F3-829E-EC41077FC56A}" name="Column13058"/>
    <tableColumn id="13059" xr3:uid="{97C32FCA-DEE9-40AF-B312-2B644A1B8854}" name="Column13059"/>
    <tableColumn id="13060" xr3:uid="{8312258E-D295-428E-9E2C-92CCC7A79170}" name="Column13060"/>
    <tableColumn id="13061" xr3:uid="{EFFDCA24-5F22-470F-A54A-41C6B7BE1B0C}" name="Column13061"/>
    <tableColumn id="13062" xr3:uid="{F4B31786-80AA-4783-B50D-A6DB28A12A51}" name="Column13062"/>
    <tableColumn id="13063" xr3:uid="{C9E08269-7271-44B5-9CC2-C365323D1505}" name="Column13063"/>
    <tableColumn id="13064" xr3:uid="{2318F4D6-7BBD-4C65-B3FD-B21215EF7F14}" name="Column13064"/>
    <tableColumn id="13065" xr3:uid="{E8240061-4BD2-466F-A457-7614BAC5C974}" name="Column13065"/>
    <tableColumn id="13066" xr3:uid="{05AF81A3-9F62-45E2-9000-47D747F04136}" name="Column13066"/>
    <tableColumn id="13067" xr3:uid="{BE9B1B2D-8053-4061-A7CD-DB2140C17F72}" name="Column13067"/>
    <tableColumn id="13068" xr3:uid="{C5E3203D-C46C-4D8E-855A-B9EA3E082896}" name="Column13068"/>
    <tableColumn id="13069" xr3:uid="{CF0B74AF-849F-4A7A-B4D0-76429C64C19B}" name="Column13069"/>
    <tableColumn id="13070" xr3:uid="{0522D1F7-5277-4AA1-B538-0C484EFB3BD9}" name="Column13070"/>
    <tableColumn id="13071" xr3:uid="{2104DC9D-F61F-43D8-9F79-CA2C725E92D0}" name="Column13071"/>
    <tableColumn id="13072" xr3:uid="{D7F6F93A-95DB-4789-BD9E-070E7F5762A2}" name="Column13072"/>
    <tableColumn id="13073" xr3:uid="{8255259C-488D-4B01-8E1E-29529D27B4CA}" name="Column13073"/>
    <tableColumn id="13074" xr3:uid="{80E66806-20E1-4A56-89A7-95614C23838D}" name="Column13074"/>
    <tableColumn id="13075" xr3:uid="{D40C4397-EECF-4E85-A7C0-B7441AEC860D}" name="Column13075"/>
    <tableColumn id="13076" xr3:uid="{7E1EC6ED-5995-4606-B894-BDE219126B8B}" name="Column13076"/>
    <tableColumn id="13077" xr3:uid="{0CB3B2BA-0718-4B42-ACBE-63949C0530EB}" name="Column13077"/>
    <tableColumn id="13078" xr3:uid="{822622B1-53B2-4517-BA26-F5D95C8300C4}" name="Column13078"/>
    <tableColumn id="13079" xr3:uid="{F35B2224-F9C2-4377-B0C0-087CCFA4796E}" name="Column13079"/>
    <tableColumn id="13080" xr3:uid="{45085729-2C84-4790-81AB-07D7B53EA6EB}" name="Column13080"/>
    <tableColumn id="13081" xr3:uid="{73B7A99B-24F7-4FD1-BAC9-481E11348895}" name="Column13081"/>
    <tableColumn id="13082" xr3:uid="{294BB467-7E8C-4A66-BF14-EFACDBF8B609}" name="Column13082"/>
    <tableColumn id="13083" xr3:uid="{D853963D-E0B3-4554-ACCB-E4A10DC3E179}" name="Column13083"/>
    <tableColumn id="13084" xr3:uid="{510F5EF6-9736-4112-85D0-B2D3E764FCB1}" name="Column13084"/>
    <tableColumn id="13085" xr3:uid="{0F10EC41-9A28-472A-87C7-412973A42ABE}" name="Column13085"/>
    <tableColumn id="13086" xr3:uid="{8523CF1A-6783-4FB0-A63E-FD0C2A12A502}" name="Column13086"/>
    <tableColumn id="13087" xr3:uid="{956F55DC-2277-4082-A04D-8C59269BBF8E}" name="Column13087"/>
    <tableColumn id="13088" xr3:uid="{EFBF443B-4B4E-435F-9BEB-E150EED147EA}" name="Column13088"/>
    <tableColumn id="13089" xr3:uid="{66511AD2-4320-4C25-9671-11C99711FBD8}" name="Column13089"/>
    <tableColumn id="13090" xr3:uid="{B359BE12-F406-4924-BA58-63D89A3396D7}" name="Column13090"/>
    <tableColumn id="13091" xr3:uid="{8DC93A3C-C929-4A09-A531-AAB4FA8D946D}" name="Column13091"/>
    <tableColumn id="13092" xr3:uid="{985E4746-FE2B-410B-969B-1CA3237619C0}" name="Column13092"/>
    <tableColumn id="13093" xr3:uid="{158B37E8-EFFD-4666-9556-5671131294EA}" name="Column13093"/>
    <tableColumn id="13094" xr3:uid="{8ECA23BD-4C7F-462A-8F54-9288EEF765D2}" name="Column13094"/>
    <tableColumn id="13095" xr3:uid="{5D180DC1-4AF0-46E0-BA74-7603F9D35E44}" name="Column13095"/>
    <tableColumn id="13096" xr3:uid="{4402C6BB-3AB7-48BC-A608-C4FC0831BD96}" name="Column13096"/>
    <tableColumn id="13097" xr3:uid="{4AF26A04-4010-4A10-829C-93D9BD8B46E9}" name="Column13097"/>
    <tableColumn id="13098" xr3:uid="{89975490-47B2-4368-A5F5-2F1FBD3FB768}" name="Column13098"/>
    <tableColumn id="13099" xr3:uid="{8FAE1AC7-9A6B-4931-BBE2-BB8CB9069B1A}" name="Column13099"/>
    <tableColumn id="13100" xr3:uid="{64ED3EAA-48B3-427E-AB54-55D691DC9F0C}" name="Column13100"/>
    <tableColumn id="13101" xr3:uid="{6DD8FC1B-F940-4D16-B541-5DEB19DC7977}" name="Column13101"/>
    <tableColumn id="13102" xr3:uid="{76B0B4C2-22D9-4C1C-A1EF-AF1BB90FE00C}" name="Column13102"/>
    <tableColumn id="13103" xr3:uid="{C4DE99C2-A8E4-48ED-BEF6-5EA9884D1434}" name="Column13103"/>
    <tableColumn id="13104" xr3:uid="{D6C38815-01ED-4CAB-A508-D00833398463}" name="Column13104"/>
    <tableColumn id="13105" xr3:uid="{11673DE2-30D1-4F0C-BC0E-E9A5488B7E87}" name="Column13105"/>
    <tableColumn id="13106" xr3:uid="{2A848E94-6520-43E9-A74A-63569812E067}" name="Column13106"/>
    <tableColumn id="13107" xr3:uid="{22FA66E1-D272-4191-BCD8-82C722E17F63}" name="Column13107"/>
    <tableColumn id="13108" xr3:uid="{E72739A5-74CF-461B-9C65-4E26374763C7}" name="Column13108"/>
    <tableColumn id="13109" xr3:uid="{88835AAB-DEF1-41BC-9C6D-2EFF29B10730}" name="Column13109"/>
    <tableColumn id="13110" xr3:uid="{59135028-1212-4252-9982-4B349A2BF6CD}" name="Column13110"/>
    <tableColumn id="13111" xr3:uid="{2A0568C9-18C2-4A7C-A888-3522679C0CE4}" name="Column13111"/>
    <tableColumn id="13112" xr3:uid="{43D6815E-4311-4ED7-B670-1F712736AD32}" name="Column13112"/>
    <tableColumn id="13113" xr3:uid="{15534485-B7F2-4BEB-A295-CC0EC55A84EA}" name="Column13113"/>
    <tableColumn id="13114" xr3:uid="{EFB74859-AFBD-431C-96E2-DB7DE2A57902}" name="Column13114"/>
    <tableColumn id="13115" xr3:uid="{AAD0175D-74C4-4B58-A754-66997B75D01A}" name="Column13115"/>
    <tableColumn id="13116" xr3:uid="{C5C56CD5-9D33-4EC0-B520-EBAF8C485AD0}" name="Column13116"/>
    <tableColumn id="13117" xr3:uid="{A752A24A-5E69-4843-8789-BEC2CF6776F9}" name="Column13117"/>
    <tableColumn id="13118" xr3:uid="{E398AB95-5A7D-4FA1-B7D4-62D23F15F1B2}" name="Column13118"/>
    <tableColumn id="13119" xr3:uid="{244BC5E2-E530-4BDC-864E-E1CE7511E008}" name="Column13119"/>
    <tableColumn id="13120" xr3:uid="{953F6F56-792E-4F18-B516-B7EC3EC07140}" name="Column13120"/>
    <tableColumn id="13121" xr3:uid="{6796855E-999D-4F32-9FCB-14C647832338}" name="Column13121"/>
    <tableColumn id="13122" xr3:uid="{3C4C6E0A-1125-4F55-8F1A-F7CB306D7F0E}" name="Column13122"/>
    <tableColumn id="13123" xr3:uid="{CDBDB0F4-6CF9-4054-8B93-913AD81F2E08}" name="Column13123"/>
    <tableColumn id="13124" xr3:uid="{4BF5A9E9-06D2-4B65-AF37-7600E1BF509F}" name="Column13124"/>
    <tableColumn id="13125" xr3:uid="{06C443C5-F2D7-4DC8-BB7A-350C9146AE9E}" name="Column13125"/>
    <tableColumn id="13126" xr3:uid="{F46310AE-5096-4CE7-864C-4CDD769B8735}" name="Column13126"/>
    <tableColumn id="13127" xr3:uid="{AB2812ED-0B65-443B-B954-050B79D0B87F}" name="Column13127"/>
    <tableColumn id="13128" xr3:uid="{2EB25A70-AC45-42AF-9009-7A775121A216}" name="Column13128"/>
    <tableColumn id="13129" xr3:uid="{B2C742F7-EB74-4A36-AD9C-D25400B8A1B2}" name="Column13129"/>
    <tableColumn id="13130" xr3:uid="{A745619A-31C3-458B-ACF6-77B29EBBC0DB}" name="Column13130"/>
    <tableColumn id="13131" xr3:uid="{3B6A72F8-718E-4ABA-A74B-BE367F88E729}" name="Column13131"/>
    <tableColumn id="13132" xr3:uid="{64902A66-AF3D-4DF7-AD8D-F046466D930F}" name="Column13132"/>
    <tableColumn id="13133" xr3:uid="{4242E589-4318-4490-A9B8-D44B32CBF14B}" name="Column13133"/>
    <tableColumn id="13134" xr3:uid="{51148DD6-6DA3-45C6-8113-79881A41ACC1}" name="Column13134"/>
    <tableColumn id="13135" xr3:uid="{569B8C7C-D576-4299-901B-C9B45C95A52E}" name="Column13135"/>
    <tableColumn id="13136" xr3:uid="{04D27862-FC2F-4644-AC14-57172167CC5B}" name="Column13136"/>
    <tableColumn id="13137" xr3:uid="{FBAF75C9-6D96-4EFE-B5CC-004A7937160D}" name="Column13137"/>
    <tableColumn id="13138" xr3:uid="{F6649256-AE86-4A93-9226-B883BDF5DD5F}" name="Column13138"/>
    <tableColumn id="13139" xr3:uid="{7B6BD453-3F59-476D-9143-BA42871EBB4D}" name="Column13139"/>
    <tableColumn id="13140" xr3:uid="{8FE3EF3A-E82B-47A7-99FB-08C6EC29E54C}" name="Column13140"/>
    <tableColumn id="13141" xr3:uid="{ACD547E1-844F-4EF1-89B9-27188DEF011C}" name="Column13141"/>
    <tableColumn id="13142" xr3:uid="{D03B0719-2CAA-4082-9E03-D06A9636124F}" name="Column13142"/>
    <tableColumn id="13143" xr3:uid="{D7D71C9F-7C8C-49F4-9323-89E3C46A6422}" name="Column13143"/>
    <tableColumn id="13144" xr3:uid="{035A1F68-AFDA-432B-83F1-8E8DC1BE4E25}" name="Column13144"/>
    <tableColumn id="13145" xr3:uid="{32CC3B94-7456-4B30-8905-722E8B23B0BB}" name="Column13145"/>
    <tableColumn id="13146" xr3:uid="{3038B059-B982-477E-8505-7C311CDEF0AE}" name="Column13146"/>
    <tableColumn id="13147" xr3:uid="{1EF743A6-BA17-4A4A-A6B8-A92A85E9491F}" name="Column13147"/>
    <tableColumn id="13148" xr3:uid="{1CB71838-7CDB-45AA-9A14-A69607CC8658}" name="Column13148"/>
    <tableColumn id="13149" xr3:uid="{7B3C03DB-C1E3-4860-A521-FF9966CA6DC8}" name="Column13149"/>
    <tableColumn id="13150" xr3:uid="{848A742E-1733-442E-8FAB-A47370AD52F4}" name="Column13150"/>
    <tableColumn id="13151" xr3:uid="{A651D724-6548-4B41-AF54-604BD6D8ABFB}" name="Column13151"/>
    <tableColumn id="13152" xr3:uid="{8E58D17D-8863-4BCC-8977-913B7E929E77}" name="Column13152"/>
    <tableColumn id="13153" xr3:uid="{A96B4ED9-7928-480F-8CD3-B9483D5DEC91}" name="Column13153"/>
    <tableColumn id="13154" xr3:uid="{6736BCB1-3319-4CA1-A23F-06B4091D4AC9}" name="Column13154"/>
    <tableColumn id="13155" xr3:uid="{718A5628-16AA-4D2E-8473-14824A4B4397}" name="Column13155"/>
    <tableColumn id="13156" xr3:uid="{17002C3C-DD21-46EF-BE41-005FA7E4038A}" name="Column13156"/>
    <tableColumn id="13157" xr3:uid="{8496F63D-ED8C-4A8F-A806-93C167B0516A}" name="Column13157"/>
    <tableColumn id="13158" xr3:uid="{2BE7CF02-6FBA-4AD0-BEA1-D5D893BBB8A7}" name="Column13158"/>
    <tableColumn id="13159" xr3:uid="{0DAEA7FB-C70E-476B-AA51-F22F96288264}" name="Column13159"/>
    <tableColumn id="13160" xr3:uid="{252B10F5-9A93-4CFE-A553-AC43A4C8DB4D}" name="Column13160"/>
    <tableColumn id="13161" xr3:uid="{3A5FD6B9-89A1-44F8-A745-786989811595}" name="Column13161"/>
    <tableColumn id="13162" xr3:uid="{0DD61756-BBBE-4B83-95D3-B1D403184542}" name="Column13162"/>
    <tableColumn id="13163" xr3:uid="{9A6C86A1-1782-46A6-BDDC-7942057D8B6D}" name="Column13163"/>
    <tableColumn id="13164" xr3:uid="{B524ABBB-15A3-4C28-B7FF-885F61892BDB}" name="Column13164"/>
    <tableColumn id="13165" xr3:uid="{0FC94738-901B-4C1A-AC3E-C7B6920FC496}" name="Column13165"/>
    <tableColumn id="13166" xr3:uid="{3BB0B886-951C-417B-B0BE-2A4D9D49265A}" name="Column13166"/>
    <tableColumn id="13167" xr3:uid="{299B9A85-4B06-47CE-9451-2D3FB8515665}" name="Column13167"/>
    <tableColumn id="13168" xr3:uid="{C5D53DD2-4E74-4AAF-B32B-22273FB8D807}" name="Column13168"/>
    <tableColumn id="13169" xr3:uid="{AE85EF3E-9014-44CA-B80E-A06FBBEC4A35}" name="Column13169"/>
    <tableColumn id="13170" xr3:uid="{C0417779-3D87-4FE3-9591-9325A0B4D853}" name="Column13170"/>
    <tableColumn id="13171" xr3:uid="{222C1BAB-856D-41A8-A39E-368B16AAC9C0}" name="Column13171"/>
    <tableColumn id="13172" xr3:uid="{29B0B5E1-55F1-4C1E-A4C6-A67A9BC88144}" name="Column13172"/>
    <tableColumn id="13173" xr3:uid="{BD0A1CDD-D462-424A-A85A-300BEF2E95FB}" name="Column13173"/>
    <tableColumn id="13174" xr3:uid="{9F3679CF-2285-4E63-8455-1E4572601F0E}" name="Column13174"/>
    <tableColumn id="13175" xr3:uid="{D2351B92-50B9-4A5B-9B09-59C6E234C9E7}" name="Column13175"/>
    <tableColumn id="13176" xr3:uid="{222C4B72-7B4A-4B55-95FC-6B152814FCCE}" name="Column13176"/>
    <tableColumn id="13177" xr3:uid="{4950109A-BD73-4D8C-8FA1-3F1B6875796D}" name="Column13177"/>
    <tableColumn id="13178" xr3:uid="{EB106BB3-E0AB-4B9D-A5F8-13784519E173}" name="Column13178"/>
    <tableColumn id="13179" xr3:uid="{522ED017-DA4A-4FB4-BD85-E1686A5BE85B}" name="Column13179"/>
    <tableColumn id="13180" xr3:uid="{004E4E33-79D8-4837-9237-660016B9057B}" name="Column13180"/>
    <tableColumn id="13181" xr3:uid="{3E8BF180-7F3D-4097-A8D2-11A194227599}" name="Column13181"/>
    <tableColumn id="13182" xr3:uid="{BD8CC4B7-16D6-4BC1-BA25-DC64041FDDC1}" name="Column13182"/>
    <tableColumn id="13183" xr3:uid="{537127D1-2FD0-47A0-B3A0-10AA2E4BF9B2}" name="Column13183"/>
    <tableColumn id="13184" xr3:uid="{686E26E4-3BDA-43BC-8DF2-3E3112264ED2}" name="Column13184"/>
    <tableColumn id="13185" xr3:uid="{F9F050D8-5CEF-466E-9472-F026CCDC634B}" name="Column13185"/>
    <tableColumn id="13186" xr3:uid="{F785612F-AE4F-4AA1-9B34-E07FBC71C0B8}" name="Column13186"/>
    <tableColumn id="13187" xr3:uid="{EB681655-C3D1-4A00-B26C-D8C60CD180EC}" name="Column13187"/>
    <tableColumn id="13188" xr3:uid="{F47A632B-8701-4621-85EC-F39BCC32CA87}" name="Column13188"/>
    <tableColumn id="13189" xr3:uid="{D7127224-2701-491B-A41E-D767E1167C3C}" name="Column13189"/>
    <tableColumn id="13190" xr3:uid="{F2EF521F-345A-47B7-A40A-94D0C147911F}" name="Column13190"/>
    <tableColumn id="13191" xr3:uid="{F47967F5-37F4-445D-B156-6811C852D7A7}" name="Column13191"/>
    <tableColumn id="13192" xr3:uid="{55D59E5A-51F7-4064-B3F5-442B3CF85C18}" name="Column13192"/>
    <tableColumn id="13193" xr3:uid="{ADB6865C-0B99-424F-A8A7-76863CC1B7C5}" name="Column13193"/>
    <tableColumn id="13194" xr3:uid="{5F8BAFE8-9C19-4612-A196-16CECF42782A}" name="Column13194"/>
    <tableColumn id="13195" xr3:uid="{72360092-7ECA-4ED2-B96E-9FE84A422B65}" name="Column13195"/>
    <tableColumn id="13196" xr3:uid="{D04A9F82-9B28-4A8B-B862-239CC6F2A435}" name="Column13196"/>
    <tableColumn id="13197" xr3:uid="{6B8CB6A8-10C5-4E14-B3E4-81A9B1794BAB}" name="Column13197"/>
    <tableColumn id="13198" xr3:uid="{A618E1FA-A0A8-4EFD-AD71-CBE4D8F0E501}" name="Column13198"/>
    <tableColumn id="13199" xr3:uid="{F02AC8F0-B738-4527-A3A8-9A435A92ED24}" name="Column13199"/>
    <tableColumn id="13200" xr3:uid="{8A176269-A736-4676-B1F2-F4802C24F102}" name="Column13200"/>
    <tableColumn id="13201" xr3:uid="{6126D944-25E9-4ACD-9C56-7B922EA6CA0D}" name="Column13201"/>
    <tableColumn id="13202" xr3:uid="{809F07B3-F60E-4B2A-AA78-1EC9E7027A42}" name="Column13202"/>
    <tableColumn id="13203" xr3:uid="{E1E6E45E-82F7-41A4-8824-C595E4438A0D}" name="Column13203"/>
    <tableColumn id="13204" xr3:uid="{8B8C344A-A199-4A70-A39C-D583B2D7CAA5}" name="Column13204"/>
    <tableColumn id="13205" xr3:uid="{BF287768-2693-4865-9723-2746C63446C9}" name="Column13205"/>
    <tableColumn id="13206" xr3:uid="{29BDB6A8-E195-4EB8-B760-3A506A42F8C3}" name="Column13206"/>
    <tableColumn id="13207" xr3:uid="{DE8E4E4E-D6F8-4893-B923-8E281F9BFD65}" name="Column13207"/>
    <tableColumn id="13208" xr3:uid="{F90C85FA-CED9-4C29-BC7B-C27BB74837DE}" name="Column13208"/>
    <tableColumn id="13209" xr3:uid="{F753CEB7-CCA8-4D43-9D96-7467B06707FA}" name="Column13209"/>
    <tableColumn id="13210" xr3:uid="{22C84C46-FE50-4267-BECB-107494E34427}" name="Column13210"/>
    <tableColumn id="13211" xr3:uid="{1D6D6102-EAC2-4154-8DEC-240DC09AD2CA}" name="Column13211"/>
    <tableColumn id="13212" xr3:uid="{6DAFCAFD-2B88-41F9-9C87-99CD61A1EE3A}" name="Column13212"/>
    <tableColumn id="13213" xr3:uid="{EAFB82D9-AF87-4B5A-8E2C-ABD4644CB10D}" name="Column13213"/>
    <tableColumn id="13214" xr3:uid="{4D1F334D-6086-4D80-A343-8F99C9F41BB6}" name="Column13214"/>
    <tableColumn id="13215" xr3:uid="{A16214FD-858D-4A07-88BB-B959F3A3AE60}" name="Column13215"/>
    <tableColumn id="13216" xr3:uid="{FE343F6A-7A28-4E71-8D0E-45D7ABAB1C58}" name="Column13216"/>
    <tableColumn id="13217" xr3:uid="{665892F7-E489-46B4-BF1B-35B031CCFB86}" name="Column13217"/>
    <tableColumn id="13218" xr3:uid="{F1BBDDB7-A1E4-42CA-927A-AAB4E8988B04}" name="Column13218"/>
    <tableColumn id="13219" xr3:uid="{CF487295-C978-4134-A534-3D3DCF6D2F8D}" name="Column13219"/>
    <tableColumn id="13220" xr3:uid="{4AEE9A3D-22E6-43D1-BB6E-FB99CEA058BE}" name="Column13220"/>
    <tableColumn id="13221" xr3:uid="{CE0D4B82-1941-4B69-8A0E-A6150D0E3CC6}" name="Column13221"/>
    <tableColumn id="13222" xr3:uid="{0A5C1E8E-250E-4356-8927-61800851DC46}" name="Column13222"/>
    <tableColumn id="13223" xr3:uid="{491E0A2B-4F21-415C-83AA-DDA9C86D7C1B}" name="Column13223"/>
    <tableColumn id="13224" xr3:uid="{0DF0FE79-0DA9-4B03-89F2-9A8B6017DC52}" name="Column13224"/>
    <tableColumn id="13225" xr3:uid="{609F091F-BC1F-4B76-A5C6-D3BB41713B68}" name="Column13225"/>
    <tableColumn id="13226" xr3:uid="{AA86E3A4-40AD-4C0B-96A6-2CE50CD10891}" name="Column13226"/>
    <tableColumn id="13227" xr3:uid="{9366EB9E-7B21-47BF-A8BE-6D358166E947}" name="Column13227"/>
    <tableColumn id="13228" xr3:uid="{9C2CE9A3-F817-49A5-94A1-575B19353DE5}" name="Column13228"/>
    <tableColumn id="13229" xr3:uid="{CDB3E376-C79C-4B05-BD1F-64B768FA640A}" name="Column13229"/>
    <tableColumn id="13230" xr3:uid="{F911AE8E-751C-4283-AAD3-2096EFA5FB08}" name="Column13230"/>
    <tableColumn id="13231" xr3:uid="{91F5656A-9018-4F1A-9039-938643DD035E}" name="Column13231"/>
    <tableColumn id="13232" xr3:uid="{35532203-19D5-48E8-8C34-194138D3014E}" name="Column13232"/>
    <tableColumn id="13233" xr3:uid="{299D792D-EF50-40BA-BAC2-0FC3ACD194C6}" name="Column13233"/>
    <tableColumn id="13234" xr3:uid="{239951CF-E56D-4847-87CA-5D55A38F50C0}" name="Column13234"/>
    <tableColumn id="13235" xr3:uid="{7322BC12-C278-472A-9D51-DA47FF384E85}" name="Column13235"/>
    <tableColumn id="13236" xr3:uid="{5892845A-73CD-491C-B781-F007743199DB}" name="Column13236"/>
    <tableColumn id="13237" xr3:uid="{0AC5B738-6970-4519-AB15-8DBAA9343E29}" name="Column13237"/>
    <tableColumn id="13238" xr3:uid="{178FB454-97E9-49B5-9F4D-A11DE4AA4455}" name="Column13238"/>
    <tableColumn id="13239" xr3:uid="{DB5CDE12-AB7E-4910-B94A-CF81ACBF45D2}" name="Column13239"/>
    <tableColumn id="13240" xr3:uid="{27A4ECE1-AB20-4505-B496-535E0FC26985}" name="Column13240"/>
    <tableColumn id="13241" xr3:uid="{5D472A4F-BCD3-4862-BD4B-939CDFF17E72}" name="Column13241"/>
    <tableColumn id="13242" xr3:uid="{BBBC7A2D-E68A-45D8-851E-1483AEF744C3}" name="Column13242"/>
    <tableColumn id="13243" xr3:uid="{C8BC39F4-E131-4294-9E50-3BFC52DBF4AA}" name="Column13243"/>
    <tableColumn id="13244" xr3:uid="{77DEEBE7-14B4-4168-BF50-70EA5E409F38}" name="Column13244"/>
    <tableColumn id="13245" xr3:uid="{1A3456F7-7AEA-47C5-9F81-6FEAF65B4D30}" name="Column13245"/>
    <tableColumn id="13246" xr3:uid="{1AF310CC-3693-420A-AFB5-2EA01407B0E4}" name="Column13246"/>
    <tableColumn id="13247" xr3:uid="{C1D7BEAF-4E6E-4B5D-B027-E830E85B0100}" name="Column13247"/>
    <tableColumn id="13248" xr3:uid="{14E800F2-4A65-4F83-B3AE-5E2A4C545903}" name="Column13248"/>
    <tableColumn id="13249" xr3:uid="{C63043A5-04C4-4BCD-8AE6-B8666C4E6281}" name="Column13249"/>
    <tableColumn id="13250" xr3:uid="{033747A8-251C-4B36-AB7E-479FB8F94C0F}" name="Column13250"/>
    <tableColumn id="13251" xr3:uid="{DDB52FEF-D50C-4F03-9194-CB9BD7AF832D}" name="Column13251"/>
    <tableColumn id="13252" xr3:uid="{A1BA8826-5D22-4F18-89FA-6DFB05B093C6}" name="Column13252"/>
    <tableColumn id="13253" xr3:uid="{A0CE3A17-5ED9-40DA-9A13-398593ABE2F6}" name="Column13253"/>
    <tableColumn id="13254" xr3:uid="{6954ACAA-E0D0-49E1-8BBC-DD6091C56743}" name="Column13254"/>
    <tableColumn id="13255" xr3:uid="{804352E6-A476-4487-8C88-55099D6AF8D4}" name="Column13255"/>
    <tableColumn id="13256" xr3:uid="{3B505BF6-4B7C-4258-803C-A625698D6692}" name="Column13256"/>
    <tableColumn id="13257" xr3:uid="{7F9D1C57-7777-4C2B-9787-D67624C61225}" name="Column13257"/>
    <tableColumn id="13258" xr3:uid="{787ECEBA-4F5D-4963-87E1-0BAD1AE875DA}" name="Column13258"/>
    <tableColumn id="13259" xr3:uid="{D4EEF650-F0C6-4EBB-9278-A7B81991AE28}" name="Column13259"/>
    <tableColumn id="13260" xr3:uid="{FECA26E5-3831-4D5B-A74D-6E77EE2F3556}" name="Column13260"/>
    <tableColumn id="13261" xr3:uid="{0C21C89D-F333-4D3D-9938-6BBFFB9058A4}" name="Column13261"/>
    <tableColumn id="13262" xr3:uid="{904059D6-A0BA-4601-AEE2-073DFD90951F}" name="Column13262"/>
    <tableColumn id="13263" xr3:uid="{FF4A2232-727C-4EFA-9F16-CCF81C46E76F}" name="Column13263"/>
    <tableColumn id="13264" xr3:uid="{AA966090-25BC-4D7E-8DD7-6C8B72DF27FF}" name="Column13264"/>
    <tableColumn id="13265" xr3:uid="{E0EBB5B3-37A4-4B1B-ABEA-B3FF053C24A5}" name="Column13265"/>
    <tableColumn id="13266" xr3:uid="{F0EB7CED-B0A2-499C-AB06-51A8CD50425F}" name="Column13266"/>
    <tableColumn id="13267" xr3:uid="{CB1A1FDB-848C-4243-8243-A68F389458EF}" name="Column13267"/>
    <tableColumn id="13268" xr3:uid="{249FE261-93D4-4584-B5AD-A9FFE8EA7F1D}" name="Column13268"/>
    <tableColumn id="13269" xr3:uid="{7B458B19-F7AC-469C-B5A2-67C249B73E01}" name="Column13269"/>
    <tableColumn id="13270" xr3:uid="{0FF45252-D3D7-4447-A04F-3C3EAECDE795}" name="Column13270"/>
    <tableColumn id="13271" xr3:uid="{4D0D5D8D-5AF6-445E-9280-AFDFFBACA34B}" name="Column13271"/>
    <tableColumn id="13272" xr3:uid="{3B86B89B-CA47-46DB-9140-669BED004334}" name="Column13272"/>
    <tableColumn id="13273" xr3:uid="{7BCD1866-9377-4D2C-B618-88A9420A5BF7}" name="Column13273"/>
    <tableColumn id="13274" xr3:uid="{5E077023-0825-4C89-BC74-16E5D41A5FD0}" name="Column13274"/>
    <tableColumn id="13275" xr3:uid="{630BE800-5C32-4803-8E62-0E2998BF9ACF}" name="Column13275"/>
    <tableColumn id="13276" xr3:uid="{4DDD47A0-1298-44BC-A0E6-5CDD5C5550CA}" name="Column13276"/>
    <tableColumn id="13277" xr3:uid="{60CDE400-7ABB-47DE-83A0-CF4090EFD1EA}" name="Column13277"/>
    <tableColumn id="13278" xr3:uid="{8A6FF2C3-3E91-4B87-AC4E-5B8A331F3AE8}" name="Column13278"/>
    <tableColumn id="13279" xr3:uid="{79C8B1A1-624A-4E3C-BE97-916ABB48AACD}" name="Column13279"/>
    <tableColumn id="13280" xr3:uid="{CD77D710-48A1-4D64-9B0E-7E07A0A24278}" name="Column13280"/>
    <tableColumn id="13281" xr3:uid="{0424B26D-6E51-4F29-812E-8FDF1929382D}" name="Column13281"/>
    <tableColumn id="13282" xr3:uid="{F2A79209-88C6-4646-A3F6-30FE5F61D57A}" name="Column13282"/>
    <tableColumn id="13283" xr3:uid="{5E674670-0886-420A-80BA-C4EF03AE3BA0}" name="Column13283"/>
    <tableColumn id="13284" xr3:uid="{F8FF79DE-58D7-4364-811C-AEB0D4952999}" name="Column13284"/>
    <tableColumn id="13285" xr3:uid="{1C23D037-2DE0-4D36-86E9-76CDD06A448A}" name="Column13285"/>
    <tableColumn id="13286" xr3:uid="{531A534E-2DE2-4AFB-8996-2B13E832279B}" name="Column13286"/>
    <tableColumn id="13287" xr3:uid="{E90C3501-E261-4F23-A03B-9936C1510E65}" name="Column13287"/>
    <tableColumn id="13288" xr3:uid="{DC673604-18CF-42C1-A058-0D2D5B684E57}" name="Column13288"/>
    <tableColumn id="13289" xr3:uid="{50C63B97-0806-47AF-8C71-BFDBB58CE6D4}" name="Column13289"/>
    <tableColumn id="13290" xr3:uid="{0A73C534-058A-4CB0-AA55-2DA7EA4A8BD1}" name="Column13290"/>
    <tableColumn id="13291" xr3:uid="{A254802F-DAB4-494E-B7D9-E872065A30ED}" name="Column13291"/>
    <tableColumn id="13292" xr3:uid="{C52741A9-C8AF-498F-A83D-2CD1658E2BCB}" name="Column13292"/>
    <tableColumn id="13293" xr3:uid="{6617426A-C08D-4D94-9787-196755717E6E}" name="Column13293"/>
    <tableColumn id="13294" xr3:uid="{FEFC4853-9A3E-4DD9-A5E0-817DAE0E03AC}" name="Column13294"/>
    <tableColumn id="13295" xr3:uid="{F9157E7B-444D-4B56-BB31-09610BB08B6E}" name="Column13295"/>
    <tableColumn id="13296" xr3:uid="{283A2E32-17E6-49E3-B697-86660DED7CE6}" name="Column13296"/>
    <tableColumn id="13297" xr3:uid="{60EA0160-95D8-46D8-B81C-259125E586D2}" name="Column13297"/>
    <tableColumn id="13298" xr3:uid="{B7796E83-A8D1-415C-A536-9ECCBED08B46}" name="Column13298"/>
    <tableColumn id="13299" xr3:uid="{31E9C15C-B6CF-479C-BBC8-FDCC4E25BB59}" name="Column13299"/>
    <tableColumn id="13300" xr3:uid="{E4B55E1E-C9A3-4BF6-820E-E0A7574F359E}" name="Column13300"/>
    <tableColumn id="13301" xr3:uid="{7D5EDD7E-0976-4C6A-8478-B257BD3DB183}" name="Column13301"/>
    <tableColumn id="13302" xr3:uid="{DBC4A645-5C8C-4360-B4E1-4E7AA7D39694}" name="Column13302"/>
    <tableColumn id="13303" xr3:uid="{DDCE2D1F-725B-406A-A2D6-6C4FB58A3758}" name="Column13303"/>
    <tableColumn id="13304" xr3:uid="{3E1A4C3C-60DE-4CAA-BBCD-7994B8862E04}" name="Column13304"/>
    <tableColumn id="13305" xr3:uid="{27E901A6-E229-43D3-B383-0675C3D0D9CB}" name="Column13305"/>
    <tableColumn id="13306" xr3:uid="{F4F9B078-7426-4D99-A538-388DCAE383F0}" name="Column13306"/>
    <tableColumn id="13307" xr3:uid="{4BC00DA7-29F6-43D6-A6ED-FBDB8E4D02DF}" name="Column13307"/>
    <tableColumn id="13308" xr3:uid="{F34E9BA4-A847-402E-8414-45A2DA209BDC}" name="Column13308"/>
    <tableColumn id="13309" xr3:uid="{C4678E87-DF3A-4F5E-941F-86DFF13FBBB4}" name="Column13309"/>
    <tableColumn id="13310" xr3:uid="{4B26F926-8CDE-4565-A004-7B2AB8069234}" name="Column13310"/>
    <tableColumn id="13311" xr3:uid="{68535758-91EE-4373-9A68-2B304835EA5D}" name="Column13311"/>
    <tableColumn id="13312" xr3:uid="{CFA7F682-072E-4564-BA29-B20E9C6B66D0}" name="Column13312"/>
    <tableColumn id="13313" xr3:uid="{4A0D0184-1E18-4819-8187-07C1F0B31CDB}" name="Column13313"/>
    <tableColumn id="13314" xr3:uid="{E3B2B2A5-61BD-41E0-889F-66337E9D4487}" name="Column13314"/>
    <tableColumn id="13315" xr3:uid="{9521B33E-4592-4360-9FCA-776AD182D8B6}" name="Column13315"/>
    <tableColumn id="13316" xr3:uid="{0C3BF603-BD74-41C3-9FC2-B6838265B1F7}" name="Column13316"/>
    <tableColumn id="13317" xr3:uid="{0DEFCF48-EA34-48D9-8320-0516B9D8BB0B}" name="Column13317"/>
    <tableColumn id="13318" xr3:uid="{EAA059EC-47B6-413E-A92B-1277669C2978}" name="Column13318"/>
    <tableColumn id="13319" xr3:uid="{F5C6082D-FF7E-45F7-A38B-505CB813CC62}" name="Column13319"/>
    <tableColumn id="13320" xr3:uid="{736F99C0-0BAD-4E13-B6DC-D131CAE99051}" name="Column13320"/>
    <tableColumn id="13321" xr3:uid="{52627A65-B781-4AEA-92C2-DE3D3C9F0D9C}" name="Column13321"/>
    <tableColumn id="13322" xr3:uid="{B25CDA0D-2523-4E91-B1BA-116111BF6D52}" name="Column13322"/>
    <tableColumn id="13323" xr3:uid="{AC5D1F44-D45F-4B71-9463-420213AC3CA5}" name="Column13323"/>
    <tableColumn id="13324" xr3:uid="{5FE13D8F-9F5B-4B42-8A42-04BBC8BA2F76}" name="Column13324"/>
    <tableColumn id="13325" xr3:uid="{74FC2DB5-C624-4633-A2D6-F89E2351B39E}" name="Column13325"/>
    <tableColumn id="13326" xr3:uid="{97F52D9E-1ACE-4F21-A8AF-52F77AA30711}" name="Column13326"/>
    <tableColumn id="13327" xr3:uid="{9C943842-4FFF-4723-A54C-6CC38AA32042}" name="Column13327"/>
    <tableColumn id="13328" xr3:uid="{EC4FDE74-1E1B-4E1F-B789-C1596F7CD301}" name="Column13328"/>
    <tableColumn id="13329" xr3:uid="{65A0CD09-A752-4074-B8F3-D16722C0E48B}" name="Column13329"/>
    <tableColumn id="13330" xr3:uid="{D9CBB9A2-FD48-42AD-917B-D65BB112408F}" name="Column13330"/>
    <tableColumn id="13331" xr3:uid="{3ED0A288-0D97-4B82-8C38-8FCF6BED3225}" name="Column13331"/>
    <tableColumn id="13332" xr3:uid="{69DCE7DA-AE6B-4FF8-AE80-6F5975DB8394}" name="Column13332"/>
    <tableColumn id="13333" xr3:uid="{CC66BA6F-E947-49B6-99E3-EE4D353B9FF9}" name="Column13333"/>
    <tableColumn id="13334" xr3:uid="{FDB23780-139C-45F4-8F12-31DE9C163AA8}" name="Column13334"/>
    <tableColumn id="13335" xr3:uid="{8097DD20-CC86-4E0C-970E-334705B7FCC6}" name="Column13335"/>
    <tableColumn id="13336" xr3:uid="{CFD9BEDB-E2DD-4F08-A61F-6E08ED189AEC}" name="Column13336"/>
    <tableColumn id="13337" xr3:uid="{6C548FF5-3BCC-45D8-B89E-A4B835048E52}" name="Column13337"/>
    <tableColumn id="13338" xr3:uid="{89A2BC81-09E8-4B71-8EB8-D61E39AF05D6}" name="Column13338"/>
    <tableColumn id="13339" xr3:uid="{86878FBB-0EC0-40F1-96A3-E3DD867C2293}" name="Column13339"/>
    <tableColumn id="13340" xr3:uid="{5F289A87-458F-4726-8A89-3B1A8EC751D7}" name="Column13340"/>
    <tableColumn id="13341" xr3:uid="{27253EB5-7691-4870-962D-18BD7D35ECDE}" name="Column13341"/>
    <tableColumn id="13342" xr3:uid="{C82CD162-1705-4350-BDB4-4FACF620F610}" name="Column13342"/>
    <tableColumn id="13343" xr3:uid="{72C63B22-099C-4DE3-AD0F-BA7515447E49}" name="Column13343"/>
    <tableColumn id="13344" xr3:uid="{4F26E1E4-3BC3-46C6-96D4-8BF6A5901759}" name="Column13344"/>
    <tableColumn id="13345" xr3:uid="{5291A67D-05CC-44B6-A4C1-71B3A43528BD}" name="Column13345"/>
    <tableColumn id="13346" xr3:uid="{BB828A47-2237-4227-B84B-C25D039F4F10}" name="Column13346"/>
    <tableColumn id="13347" xr3:uid="{96B480C4-0476-4136-B74E-EFC3C854CEAC}" name="Column13347"/>
    <tableColumn id="13348" xr3:uid="{3139B406-49E8-4619-8D04-4491EF9D6304}" name="Column13348"/>
    <tableColumn id="13349" xr3:uid="{3C5DD926-FBD4-42E2-A129-0701B0C7F250}" name="Column13349"/>
    <tableColumn id="13350" xr3:uid="{9AD61C35-0EDE-4968-A7A2-03BF9ACD2DA7}" name="Column13350"/>
    <tableColumn id="13351" xr3:uid="{16727BA0-8F99-424F-A2F7-C627CD9A6486}" name="Column13351"/>
    <tableColumn id="13352" xr3:uid="{E4A88414-10B3-478E-A849-E7393869667C}" name="Column13352"/>
    <tableColumn id="13353" xr3:uid="{B5204982-B401-4753-988E-F6D4249ABD17}" name="Column13353"/>
    <tableColumn id="13354" xr3:uid="{CB113850-E76E-4973-8E99-BDA4313743E9}" name="Column13354"/>
    <tableColumn id="13355" xr3:uid="{06554A06-EE5E-4273-A114-67660A8A5168}" name="Column13355"/>
    <tableColumn id="13356" xr3:uid="{C5176823-A647-4F06-87D4-40C5A691268D}" name="Column13356"/>
    <tableColumn id="13357" xr3:uid="{4EAF8205-CB0A-4397-93AC-B06793567752}" name="Column13357"/>
    <tableColumn id="13358" xr3:uid="{948867FD-CD57-4F84-81BC-5E523A37CEF9}" name="Column13358"/>
    <tableColumn id="13359" xr3:uid="{856065DD-9758-42C0-B3FD-6F222022F3F8}" name="Column13359"/>
    <tableColumn id="13360" xr3:uid="{49B43B56-D85D-4502-B8A6-9B0043A8AF31}" name="Column13360"/>
    <tableColumn id="13361" xr3:uid="{3323BAD7-69C7-4FA0-AEEA-AFDF0F98B32C}" name="Column13361"/>
    <tableColumn id="13362" xr3:uid="{25149011-2A24-4A34-95F3-54EC552424B4}" name="Column13362"/>
    <tableColumn id="13363" xr3:uid="{99EB4B1D-3CE0-4992-8905-248D56344914}" name="Column13363"/>
    <tableColumn id="13364" xr3:uid="{BD8F8025-2640-45CD-ADA5-638E34B1ED11}" name="Column13364"/>
    <tableColumn id="13365" xr3:uid="{D452CF6E-9840-4E3E-8600-C16DE213BBE4}" name="Column13365"/>
    <tableColumn id="13366" xr3:uid="{C5B12318-A9EE-41DB-8C32-AF1DF9E761C0}" name="Column13366"/>
    <tableColumn id="13367" xr3:uid="{873909F9-D7BA-4DC3-A825-CA0D88BD5597}" name="Column13367"/>
    <tableColumn id="13368" xr3:uid="{D7467286-C42B-4B04-BC43-B8A569CF1FCF}" name="Column13368"/>
    <tableColumn id="13369" xr3:uid="{70BE2491-8A56-4D6E-B5FE-0D0FB636694E}" name="Column13369"/>
    <tableColumn id="13370" xr3:uid="{D224D6AD-1F98-42AD-B318-45FC8F2C4366}" name="Column13370"/>
    <tableColumn id="13371" xr3:uid="{A2C24984-D7CB-4BB4-B7C9-C0D5CB4F3F7A}" name="Column13371"/>
    <tableColumn id="13372" xr3:uid="{124BDEB1-E2C9-4233-8D71-2CC00A31AC5F}" name="Column13372"/>
    <tableColumn id="13373" xr3:uid="{E57CA87C-17FE-4565-9BB6-6D0695179BDA}" name="Column13373"/>
    <tableColumn id="13374" xr3:uid="{2036EE3B-C8C6-4A88-8141-1DB3780095FD}" name="Column13374"/>
    <tableColumn id="13375" xr3:uid="{1A280050-5134-4916-B5D3-DCB3B5E50722}" name="Column13375"/>
    <tableColumn id="13376" xr3:uid="{3EB089B2-967A-481C-8E80-DA45EB6BAD2E}" name="Column13376"/>
    <tableColumn id="13377" xr3:uid="{0B7C4513-95BC-485C-96D7-992E62BDE30A}" name="Column13377"/>
    <tableColumn id="13378" xr3:uid="{DDC96ABA-538B-4202-84DD-DC17EF75BC91}" name="Column13378"/>
    <tableColumn id="13379" xr3:uid="{114FB6C4-6DC3-4ABC-ADC3-CA6A5F70BC26}" name="Column13379"/>
    <tableColumn id="13380" xr3:uid="{0EA6E403-7727-46C5-88A7-8647A084876B}" name="Column13380"/>
    <tableColumn id="13381" xr3:uid="{BE1FC879-268A-4350-8293-FCC4C79D3464}" name="Column13381"/>
    <tableColumn id="13382" xr3:uid="{E6A5860E-11F1-41FE-8174-FEA321AB4E54}" name="Column13382"/>
    <tableColumn id="13383" xr3:uid="{C107ECCA-F272-4404-8814-C5668D6C57D6}" name="Column13383"/>
    <tableColumn id="13384" xr3:uid="{B1366403-D20B-45E8-A100-D1C07E7C7004}" name="Column13384"/>
    <tableColumn id="13385" xr3:uid="{0E544708-AB75-40D6-9881-6DA7C6D133BF}" name="Column13385"/>
    <tableColumn id="13386" xr3:uid="{682B33F9-1FBC-4D2E-B095-C31388CF40E4}" name="Column13386"/>
    <tableColumn id="13387" xr3:uid="{521079E8-9E47-4139-80F8-7DE27D932F8B}" name="Column13387"/>
    <tableColumn id="13388" xr3:uid="{3A9FB985-F2F9-4DE2-B472-03B066D79BF3}" name="Column13388"/>
    <tableColumn id="13389" xr3:uid="{3CAF08CF-2B01-45FC-9250-31C70E00E58E}" name="Column13389"/>
    <tableColumn id="13390" xr3:uid="{7854D126-5C12-4DF6-AEE7-75B4A8EAAAF8}" name="Column13390"/>
    <tableColumn id="13391" xr3:uid="{5459EE18-FCEA-49FF-9E82-C145387B07A8}" name="Column13391"/>
    <tableColumn id="13392" xr3:uid="{377D06B1-1EE5-4F07-B8D5-5C683D32C492}" name="Column13392"/>
    <tableColumn id="13393" xr3:uid="{5F04122B-FEAC-4570-B5AD-24EAC9F261EF}" name="Column13393"/>
    <tableColumn id="13394" xr3:uid="{8776D3AD-BC54-49DA-8C21-8E25B78C22A2}" name="Column13394"/>
    <tableColumn id="13395" xr3:uid="{C5F0C8F3-8BF1-4FAA-B30C-8131DC20A915}" name="Column13395"/>
    <tableColumn id="13396" xr3:uid="{3AA3B235-87F2-45B4-8820-491B32C0F6E4}" name="Column13396"/>
    <tableColumn id="13397" xr3:uid="{B0732DA6-639B-4B38-8400-FE251930538F}" name="Column13397"/>
    <tableColumn id="13398" xr3:uid="{62C918C9-580B-43E7-A11D-FE9DB83D0C7A}" name="Column13398"/>
    <tableColumn id="13399" xr3:uid="{E37EFEBD-3EBB-4217-A13A-E4377B891362}" name="Column13399"/>
    <tableColumn id="13400" xr3:uid="{0979428D-54E8-4397-8CFB-287C738CBD31}" name="Column13400"/>
    <tableColumn id="13401" xr3:uid="{86521E75-0BA1-438E-A2C6-69940C5D2E32}" name="Column13401"/>
    <tableColumn id="13402" xr3:uid="{FD383154-20F1-434B-9415-4AB5997710D3}" name="Column13402"/>
    <tableColumn id="13403" xr3:uid="{ECD6E52B-559E-47FC-8474-06B8BCC49456}" name="Column13403"/>
    <tableColumn id="13404" xr3:uid="{92750B12-A16B-4E34-88D1-CF76DA21BDD6}" name="Column13404"/>
    <tableColumn id="13405" xr3:uid="{E973C1CB-8822-402A-B87D-1C63C31020F4}" name="Column13405"/>
    <tableColumn id="13406" xr3:uid="{E28BCB01-0016-44E1-865E-DAE7810206F4}" name="Column13406"/>
    <tableColumn id="13407" xr3:uid="{16A7C1CE-23DD-407A-97BA-949D905BF998}" name="Column13407"/>
    <tableColumn id="13408" xr3:uid="{75CDFBDD-3F89-42C9-AA4F-2680CD821FAB}" name="Column13408"/>
    <tableColumn id="13409" xr3:uid="{03657E71-3BEA-43B8-93E3-800795DD69D7}" name="Column13409"/>
    <tableColumn id="13410" xr3:uid="{2D6ECC90-A24F-4236-B7BB-7C4A71B1FF6A}" name="Column13410"/>
    <tableColumn id="13411" xr3:uid="{33CA53BD-BE19-4E35-BAAA-B6273C76ADCA}" name="Column13411"/>
    <tableColumn id="13412" xr3:uid="{7A523065-E8A3-471C-835D-2AB6CCED9064}" name="Column13412"/>
    <tableColumn id="13413" xr3:uid="{D6A7A32B-C53F-4438-A0FB-AF8256ADB6DC}" name="Column13413"/>
    <tableColumn id="13414" xr3:uid="{DD256675-546E-46D1-9181-86C0EEB14157}" name="Column13414"/>
    <tableColumn id="13415" xr3:uid="{56466CF4-4ECE-4874-BE33-C8FAA2104A4F}" name="Column13415"/>
    <tableColumn id="13416" xr3:uid="{137E77F1-A72A-4D83-907E-7C67704FE90D}" name="Column13416"/>
    <tableColumn id="13417" xr3:uid="{C150844B-790E-4725-8FEE-0ED03AA2CD1E}" name="Column13417"/>
    <tableColumn id="13418" xr3:uid="{1B1625F3-11E5-4512-9E35-E7FEC54EA197}" name="Column13418"/>
    <tableColumn id="13419" xr3:uid="{17811114-543E-49E2-8EAA-D450CF18CD4F}" name="Column13419"/>
    <tableColumn id="13420" xr3:uid="{8343D70B-E119-48BF-9573-3F7E2AF95B49}" name="Column13420"/>
    <tableColumn id="13421" xr3:uid="{3C920418-0E00-4304-88D0-645CEAAC6651}" name="Column13421"/>
    <tableColumn id="13422" xr3:uid="{B8821AE7-5009-42CB-B75B-BDFB0779EF15}" name="Column13422"/>
    <tableColumn id="13423" xr3:uid="{0D91FA56-1F75-47C8-A7C5-C9574789496B}" name="Column13423"/>
    <tableColumn id="13424" xr3:uid="{26938FC8-D41A-4D97-86B1-6A7C8F9C8F03}" name="Column13424"/>
    <tableColumn id="13425" xr3:uid="{1213B003-D5E9-46BC-966F-187CC0D04A28}" name="Column13425"/>
    <tableColumn id="13426" xr3:uid="{84413B9D-4DE7-4196-B722-9092E2029923}" name="Column13426"/>
    <tableColumn id="13427" xr3:uid="{237D36FA-0F16-471A-B2B4-9E9A3A02BAD5}" name="Column13427"/>
    <tableColumn id="13428" xr3:uid="{2FF5C6A0-59B7-4A5D-AAC7-31794E3114F1}" name="Column13428"/>
    <tableColumn id="13429" xr3:uid="{D7CC68D9-595A-49D0-B51E-54050688872B}" name="Column13429"/>
    <tableColumn id="13430" xr3:uid="{E67E66BE-9E35-4A8C-9D8F-50F4FCDCD2E2}" name="Column13430"/>
    <tableColumn id="13431" xr3:uid="{5801AC36-8640-4560-B413-69DA9E3D17BC}" name="Column13431"/>
    <tableColumn id="13432" xr3:uid="{99276E2D-05F3-4BEF-83F8-5C23E0536201}" name="Column13432"/>
    <tableColumn id="13433" xr3:uid="{CCC95781-DC08-4DE9-8CAD-9870887B5415}" name="Column13433"/>
    <tableColumn id="13434" xr3:uid="{0BDCF0A9-AA6D-4922-B6EC-792EC0CF747A}" name="Column13434"/>
    <tableColumn id="13435" xr3:uid="{4BD00F89-0FAD-4170-AE12-F13C456F33BB}" name="Column13435"/>
    <tableColumn id="13436" xr3:uid="{E64DA9EC-050B-46F2-9C5C-3411D5697EE4}" name="Column13436"/>
    <tableColumn id="13437" xr3:uid="{A1174F76-6946-4AFB-848B-3B1FF54EC506}" name="Column13437"/>
    <tableColumn id="13438" xr3:uid="{2D5518F0-87C3-4453-A389-25A99E6D90EC}" name="Column13438"/>
    <tableColumn id="13439" xr3:uid="{59706360-D43D-4D4C-A59E-1A44C617FA67}" name="Column13439"/>
    <tableColumn id="13440" xr3:uid="{649B44A7-D196-4B3B-ADAF-6A46F6C99CDC}" name="Column13440"/>
    <tableColumn id="13441" xr3:uid="{2AAB4C42-9539-430A-9023-D25F5AB83BA2}" name="Column13441"/>
    <tableColumn id="13442" xr3:uid="{9D830E4A-AEDC-4559-BEC4-502DA96F3959}" name="Column13442"/>
    <tableColumn id="13443" xr3:uid="{E2CE1FF3-FF7A-4BFB-8906-C236D9E77368}" name="Column13443"/>
    <tableColumn id="13444" xr3:uid="{F3DAC273-0C88-4C36-ACFF-B9088F07ECF0}" name="Column13444"/>
    <tableColumn id="13445" xr3:uid="{5FB44A6A-BDAA-4A0A-AA36-C3B8428547C8}" name="Column13445"/>
    <tableColumn id="13446" xr3:uid="{AB6527B4-622E-4A42-BBD1-ED092587FF82}" name="Column13446"/>
    <tableColumn id="13447" xr3:uid="{569A8703-5690-47A5-8529-B27D6A68288A}" name="Column13447"/>
    <tableColumn id="13448" xr3:uid="{86FF38F7-B703-46C1-A40D-216F863BC0A1}" name="Column13448"/>
    <tableColumn id="13449" xr3:uid="{17F14680-E733-4FFD-A5E1-C71807388302}" name="Column13449"/>
    <tableColumn id="13450" xr3:uid="{C740A927-1EAC-4A4D-A33D-5E3D5ADFAE1F}" name="Column13450"/>
    <tableColumn id="13451" xr3:uid="{00D0DE48-970E-4002-8174-808F5C9A16E7}" name="Column13451"/>
    <tableColumn id="13452" xr3:uid="{5DAE5125-D286-45BE-8EC5-EBC6F00A0C46}" name="Column13452"/>
    <tableColumn id="13453" xr3:uid="{99908AF5-A25E-4F6D-AA21-65C40C0BFC8D}" name="Column13453"/>
    <tableColumn id="13454" xr3:uid="{20E9CCE9-F707-4330-A600-4DF97A378485}" name="Column13454"/>
    <tableColumn id="13455" xr3:uid="{16E0B8D5-C638-4D64-8FB1-9EF40E06245C}" name="Column13455"/>
    <tableColumn id="13456" xr3:uid="{B795CF3F-FF79-4E3F-A28C-F2415DB8B321}" name="Column13456"/>
    <tableColumn id="13457" xr3:uid="{CFC3F0CF-EF07-4A0B-AE77-3CD4E7C25CCA}" name="Column13457"/>
    <tableColumn id="13458" xr3:uid="{16E788D6-4169-4B98-99B9-33572B92E5EA}" name="Column13458"/>
    <tableColumn id="13459" xr3:uid="{A14BF892-3897-4C92-89C8-51F6CCFC8447}" name="Column13459"/>
    <tableColumn id="13460" xr3:uid="{6EAC6551-1B64-4ED1-A5BA-E974D0EF9F64}" name="Column13460"/>
    <tableColumn id="13461" xr3:uid="{84575F21-86E5-430B-83EF-B9103851C008}" name="Column13461"/>
    <tableColumn id="13462" xr3:uid="{DB5DBC68-1FDD-472A-A3F2-B54DEF7F2175}" name="Column13462"/>
    <tableColumn id="13463" xr3:uid="{07DD775B-D035-4071-80D7-25BCE3838395}" name="Column13463"/>
    <tableColumn id="13464" xr3:uid="{BC7ECC67-9B16-4E4A-8505-0B6B838D05D3}" name="Column13464"/>
    <tableColumn id="13465" xr3:uid="{0FD548A8-3CC3-420E-8025-FD33BAD8649F}" name="Column13465"/>
    <tableColumn id="13466" xr3:uid="{CD16CB74-2EF2-44EA-884D-E8771137B416}" name="Column13466"/>
    <tableColumn id="13467" xr3:uid="{CCF683BB-6F2C-48A8-BD21-BDF08B88E4C6}" name="Column13467"/>
    <tableColumn id="13468" xr3:uid="{3C300092-3C68-4627-9D08-691F336BF177}" name="Column13468"/>
    <tableColumn id="13469" xr3:uid="{44CE2774-5DA6-485B-8415-BAAB808A5325}" name="Column13469"/>
    <tableColumn id="13470" xr3:uid="{866B20C9-39E5-462D-93F8-33074B525854}" name="Column13470"/>
    <tableColumn id="13471" xr3:uid="{665AFA60-1D8A-42E1-9CD4-1F4A5FA4BB7C}" name="Column13471"/>
    <tableColumn id="13472" xr3:uid="{3866CE9B-7AA7-4773-AA75-F16F81018E4F}" name="Column13472"/>
    <tableColumn id="13473" xr3:uid="{710FD1B8-5876-44E2-9858-1E6136C530BF}" name="Column13473"/>
    <tableColumn id="13474" xr3:uid="{CF14CAFE-A0F8-481F-B83D-8FA7B9B94597}" name="Column13474"/>
    <tableColumn id="13475" xr3:uid="{2A9ED2FB-4AFE-41E8-A009-4EC2E1B321D2}" name="Column13475"/>
    <tableColumn id="13476" xr3:uid="{B29E6562-3BDA-4ACA-9F92-F10C04204DED}" name="Column13476"/>
    <tableColumn id="13477" xr3:uid="{01225E82-8293-485D-BCF7-E45404E06E32}" name="Column13477"/>
    <tableColumn id="13478" xr3:uid="{1421A2C1-D0CF-439D-BA69-9026C78620C4}" name="Column13478"/>
    <tableColumn id="13479" xr3:uid="{61BB77C9-5472-4FFC-9C94-48CA4D221985}" name="Column13479"/>
    <tableColumn id="13480" xr3:uid="{A67ECE24-143C-4A2B-B9C2-9435FA74004B}" name="Column13480"/>
    <tableColumn id="13481" xr3:uid="{03E39E16-B75F-4508-A56B-FC31228C8797}" name="Column13481"/>
    <tableColumn id="13482" xr3:uid="{93DBE1E5-CCFD-4BBA-8673-487675ACC326}" name="Column13482"/>
    <tableColumn id="13483" xr3:uid="{B6E79146-2075-4E53-9A5A-467F599A6D8F}" name="Column13483"/>
    <tableColumn id="13484" xr3:uid="{CF053237-0DF5-42F2-9FAB-1592BFA87195}" name="Column13484"/>
    <tableColumn id="13485" xr3:uid="{754BEFCD-AAE5-498D-ADED-FA3CC65A3A26}" name="Column13485"/>
    <tableColumn id="13486" xr3:uid="{5E43ADB1-E36A-4FE7-BC17-9F7400DF3BCD}" name="Column13486"/>
    <tableColumn id="13487" xr3:uid="{D962FC70-44A9-41A5-9476-F5AA856E5A53}" name="Column13487"/>
    <tableColumn id="13488" xr3:uid="{AC8C7666-A3FF-44A2-8D9F-484171F9B176}" name="Column13488"/>
    <tableColumn id="13489" xr3:uid="{DF31DA57-9FD5-46C0-957C-26FC50C343B4}" name="Column13489"/>
    <tableColumn id="13490" xr3:uid="{8046D367-BD49-4111-BFF2-2BF48178AE6A}" name="Column13490"/>
    <tableColumn id="13491" xr3:uid="{91BCD112-76CD-47EC-A678-9509C392D2E0}" name="Column13491"/>
    <tableColumn id="13492" xr3:uid="{BC13695D-3025-42A1-A877-471F807D0FFD}" name="Column13492"/>
    <tableColumn id="13493" xr3:uid="{66FF8F81-7BB9-4AE1-9DD9-C4D01A8B1F67}" name="Column13493"/>
    <tableColumn id="13494" xr3:uid="{2E902B3B-F12E-4634-A7DD-13E94066896A}" name="Column13494"/>
    <tableColumn id="13495" xr3:uid="{A8DE8B44-B297-4366-AAC0-4B82BAC3C350}" name="Column13495"/>
    <tableColumn id="13496" xr3:uid="{B40F6B52-0976-49FB-9421-B1416B8B6046}" name="Column13496"/>
    <tableColumn id="13497" xr3:uid="{E2CB041C-2F0C-4E5B-A0FF-99821461C696}" name="Column13497"/>
    <tableColumn id="13498" xr3:uid="{273421C3-8995-4B8B-9A9B-194FE823E74D}" name="Column13498"/>
    <tableColumn id="13499" xr3:uid="{36178472-98D0-4CF5-93D3-E2D328077F99}" name="Column13499"/>
    <tableColumn id="13500" xr3:uid="{5EFF8F23-B64A-4C7F-8FD1-E8840DDE6415}" name="Column13500"/>
    <tableColumn id="13501" xr3:uid="{61BFBC04-FF82-4557-9E0F-26F262B6D975}" name="Column13501"/>
    <tableColumn id="13502" xr3:uid="{7D27376A-CC06-4AC5-A543-13CA8ADC55D9}" name="Column13502"/>
    <tableColumn id="13503" xr3:uid="{0BB774DC-F1D1-40FC-B834-7BBBAD6673A7}" name="Column13503"/>
    <tableColumn id="13504" xr3:uid="{6E5E61AB-7025-46DB-AE06-325266816598}" name="Column13504"/>
    <tableColumn id="13505" xr3:uid="{4C7BD4EE-4120-46C7-83BF-B56A413BA9F0}" name="Column13505"/>
    <tableColumn id="13506" xr3:uid="{ED6607DF-45DB-47E3-A0A4-C7D112AFB2DC}" name="Column13506"/>
    <tableColumn id="13507" xr3:uid="{FC81F0C4-0DE2-40A3-847C-149EE7513F97}" name="Column13507"/>
    <tableColumn id="13508" xr3:uid="{1581B024-E4D8-4916-8666-DE095ADEDF2A}" name="Column13508"/>
    <tableColumn id="13509" xr3:uid="{C0666DF6-6A0C-4955-B9A8-692839243312}" name="Column13509"/>
    <tableColumn id="13510" xr3:uid="{38AB6DDE-B105-48AE-A16B-258E53BD3981}" name="Column13510"/>
    <tableColumn id="13511" xr3:uid="{07646336-DBB0-4624-A11D-F4BBCCBEF37B}" name="Column13511"/>
    <tableColumn id="13512" xr3:uid="{7C6AC515-52C1-4AD2-8394-D8778F089BF6}" name="Column13512"/>
    <tableColumn id="13513" xr3:uid="{C98BE196-4683-4CD6-8AB1-4E28FD544594}" name="Column13513"/>
    <tableColumn id="13514" xr3:uid="{5D53F94A-C611-4099-9A6D-3F98F2F1ECDA}" name="Column13514"/>
    <tableColumn id="13515" xr3:uid="{F55BC43C-F7C3-426D-A701-926D9A86C760}" name="Column13515"/>
    <tableColumn id="13516" xr3:uid="{E793D53B-3417-44B4-86AB-59EB7057984C}" name="Column13516"/>
    <tableColumn id="13517" xr3:uid="{2036850A-4D6E-4E6A-9329-F5B6AA5E0850}" name="Column13517"/>
    <tableColumn id="13518" xr3:uid="{1EBB23AC-9C63-41FC-9862-559146A9C5B1}" name="Column13518"/>
    <tableColumn id="13519" xr3:uid="{43E57332-B467-4989-AE5A-0A6A7C52E945}" name="Column13519"/>
    <tableColumn id="13520" xr3:uid="{0D6C00D9-8DF9-4199-8448-807A49A8A55F}" name="Column13520"/>
    <tableColumn id="13521" xr3:uid="{6A5F8D92-A750-4EDC-9B04-C35E660BEEA1}" name="Column13521"/>
    <tableColumn id="13522" xr3:uid="{A3A94169-D330-4F77-8D01-DB580165047D}" name="Column13522"/>
    <tableColumn id="13523" xr3:uid="{DD7144D3-0D48-4AFE-871A-58A4C221721E}" name="Column13523"/>
    <tableColumn id="13524" xr3:uid="{7C0BDD05-A641-4749-A3B0-8A08055F5482}" name="Column13524"/>
    <tableColumn id="13525" xr3:uid="{C6A82EAE-2A9E-4E28-B63D-75E39F51BB94}" name="Column13525"/>
    <tableColumn id="13526" xr3:uid="{BFF09C4C-8620-4938-B139-CD30C9BD98CC}" name="Column13526"/>
    <tableColumn id="13527" xr3:uid="{458E887E-EAEC-4D84-95AB-40EBFF9DF698}" name="Column13527"/>
    <tableColumn id="13528" xr3:uid="{4F058C14-D2C8-422C-8FC2-3B7C9272390C}" name="Column13528"/>
    <tableColumn id="13529" xr3:uid="{6D657B1D-4872-4845-92F6-06826D87DF33}" name="Column13529"/>
    <tableColumn id="13530" xr3:uid="{1D2C6DE7-DBC9-43FF-A091-E182B44D1540}" name="Column13530"/>
    <tableColumn id="13531" xr3:uid="{60C3D994-9393-4FFF-B13A-E00AEF60025A}" name="Column13531"/>
    <tableColumn id="13532" xr3:uid="{D4833974-D599-4542-A6EF-80EF7B44F814}" name="Column13532"/>
    <tableColumn id="13533" xr3:uid="{36F17593-2463-4F4E-86AC-B94AA8552395}" name="Column13533"/>
    <tableColumn id="13534" xr3:uid="{2710A369-DD00-4BE1-A903-DEB720BC0663}" name="Column13534"/>
    <tableColumn id="13535" xr3:uid="{A9532F92-2B9C-4D0D-83BF-C416D5D356B9}" name="Column13535"/>
    <tableColumn id="13536" xr3:uid="{1D3FFA7B-638F-4C27-A4C2-C780DC347C88}" name="Column13536"/>
    <tableColumn id="13537" xr3:uid="{0AE2F63E-E15B-492D-8421-3A240085202D}" name="Column13537"/>
    <tableColumn id="13538" xr3:uid="{AA4A049C-DA94-41D7-8D76-D05D2FBC69CF}" name="Column13538"/>
    <tableColumn id="13539" xr3:uid="{4EBADF39-3046-49C3-B4BB-26C00AE5BB35}" name="Column13539"/>
    <tableColumn id="13540" xr3:uid="{DED4A321-4026-4D12-A126-227E6BBF370F}" name="Column13540"/>
    <tableColumn id="13541" xr3:uid="{A9EF519D-B1A7-4D23-ACE9-45DBF1A94D43}" name="Column13541"/>
    <tableColumn id="13542" xr3:uid="{603C0498-E0D1-4F53-B42C-D8521B141082}" name="Column13542"/>
    <tableColumn id="13543" xr3:uid="{E5E9E8C4-C086-487E-ACCB-CEA17490D161}" name="Column13543"/>
    <tableColumn id="13544" xr3:uid="{B8EB46D5-68BE-4A03-B342-63265AA72BB3}" name="Column13544"/>
    <tableColumn id="13545" xr3:uid="{868C398A-0756-429E-8016-A538C9A3F5EC}" name="Column13545"/>
    <tableColumn id="13546" xr3:uid="{90BB2F9D-22A8-4270-8BDC-EE053BAF2BE8}" name="Column13546"/>
    <tableColumn id="13547" xr3:uid="{E5BF71AB-3686-4573-90EC-F1E53CFF5306}" name="Column13547"/>
    <tableColumn id="13548" xr3:uid="{EE2E2281-A12C-49D2-8E15-170DC8BD6C43}" name="Column13548"/>
    <tableColumn id="13549" xr3:uid="{8D5BF93C-37D8-4624-A306-6E80F3B56C30}" name="Column13549"/>
    <tableColumn id="13550" xr3:uid="{BD4B968E-6DDE-4A2F-9CE2-F6F62A207311}" name="Column13550"/>
    <tableColumn id="13551" xr3:uid="{3835671C-6D5F-4991-9739-B9E0BFF7B65B}" name="Column13551"/>
    <tableColumn id="13552" xr3:uid="{E0E6151A-E142-4EAF-A9C4-3187641C4AA1}" name="Column13552"/>
    <tableColumn id="13553" xr3:uid="{726F7CF4-2AE3-4591-94A0-C5EE69B38282}" name="Column13553"/>
    <tableColumn id="13554" xr3:uid="{A20F5119-2464-40DE-9959-2CC19335CA56}" name="Column13554"/>
    <tableColumn id="13555" xr3:uid="{7A7721DC-144E-4C73-B5C5-00ED69C0D7EF}" name="Column13555"/>
    <tableColumn id="13556" xr3:uid="{56475923-F21A-4F72-B892-D777E9288151}" name="Column13556"/>
    <tableColumn id="13557" xr3:uid="{DEC5C0D4-251E-47FE-9F64-F8446F6354DC}" name="Column13557"/>
    <tableColumn id="13558" xr3:uid="{53F0D6A6-B04E-4C4E-ACE3-52A969014116}" name="Column13558"/>
    <tableColumn id="13559" xr3:uid="{05DBF6E7-4301-4F1E-A62B-92730F0EB7C7}" name="Column13559"/>
    <tableColumn id="13560" xr3:uid="{500D264A-851C-47D3-9276-DB34BD5CA87A}" name="Column13560"/>
    <tableColumn id="13561" xr3:uid="{97BB807A-E8DF-4CE4-92A4-01070ADE221B}" name="Column13561"/>
    <tableColumn id="13562" xr3:uid="{45A013D3-51EF-4749-9764-8AE3075C0EB6}" name="Column13562"/>
    <tableColumn id="13563" xr3:uid="{4B5886A2-7BA8-405F-8BEB-24E6D4A2D54D}" name="Column13563"/>
    <tableColumn id="13564" xr3:uid="{7C4EAE4B-432F-42BC-A859-6C60F073F62C}" name="Column13564"/>
    <tableColumn id="13565" xr3:uid="{B54A7FA4-C3CF-4E86-8AE6-DC26E40686C5}" name="Column13565"/>
    <tableColumn id="13566" xr3:uid="{A256AC96-2123-47C2-9CD7-5552805ABA97}" name="Column13566"/>
    <tableColumn id="13567" xr3:uid="{F3270086-FA99-4186-8C8C-293FD6542083}" name="Column13567"/>
    <tableColumn id="13568" xr3:uid="{46543D1F-AB15-48E6-A668-F99205CD2736}" name="Column13568"/>
    <tableColumn id="13569" xr3:uid="{A2CB9CC2-20BD-4256-BB50-8C2FC27BE9ED}" name="Column13569"/>
    <tableColumn id="13570" xr3:uid="{D7435FFD-ACD5-402A-9C5A-8C5D9B2B88BE}" name="Column13570"/>
    <tableColumn id="13571" xr3:uid="{164C2B0B-7ECF-4FAF-82D8-922B5290032A}" name="Column13571"/>
    <tableColumn id="13572" xr3:uid="{752CDBEC-BDB4-4852-ACD7-4612470BC7C0}" name="Column13572"/>
    <tableColumn id="13573" xr3:uid="{D3116A93-A9A5-4581-9C9D-D8CC27EBBCE9}" name="Column13573"/>
    <tableColumn id="13574" xr3:uid="{227BD2CF-7F18-402D-9384-A8AB9A488A71}" name="Column13574"/>
    <tableColumn id="13575" xr3:uid="{F31972B6-5E18-4683-950B-ACD7D7704607}" name="Column13575"/>
    <tableColumn id="13576" xr3:uid="{D7CD9B72-AC21-4C9B-B323-0FFD39C71564}" name="Column13576"/>
    <tableColumn id="13577" xr3:uid="{5ABC6DA3-0CE0-47AC-8B89-429BFE2B5FA9}" name="Column13577"/>
    <tableColumn id="13578" xr3:uid="{7386A73A-2085-4212-8FCE-6B87311448C8}" name="Column13578"/>
    <tableColumn id="13579" xr3:uid="{CFB2787E-F230-4082-B617-BDD9B1370DA7}" name="Column13579"/>
    <tableColumn id="13580" xr3:uid="{BC838A28-81E7-4B7C-838F-866B633BAED9}" name="Column13580"/>
    <tableColumn id="13581" xr3:uid="{B37F1BB6-7584-4D08-A6AA-3AB942A8A064}" name="Column13581"/>
    <tableColumn id="13582" xr3:uid="{1EE8F10E-0845-46D0-B22E-D3E28762F06C}" name="Column13582"/>
    <tableColumn id="13583" xr3:uid="{CB9AC887-C8E1-43C9-BF4E-0D8FCC2907BD}" name="Column13583"/>
    <tableColumn id="13584" xr3:uid="{ED1CA680-8342-4277-BB5D-EDD385889E04}" name="Column13584"/>
    <tableColumn id="13585" xr3:uid="{CBA9C968-97F0-4CE7-B488-320C96C41165}" name="Column13585"/>
    <tableColumn id="13586" xr3:uid="{F66E0679-99CD-4DCB-9726-5F17382A31A6}" name="Column13586"/>
    <tableColumn id="13587" xr3:uid="{3CD6FB19-7484-49B2-8513-EEDD830ADD8D}" name="Column13587"/>
    <tableColumn id="13588" xr3:uid="{8B29894C-C649-4735-B831-80FA9B60CB6A}" name="Column13588"/>
    <tableColumn id="13589" xr3:uid="{8C2D9E54-3207-4424-AE5F-7E7778ED9D20}" name="Column13589"/>
    <tableColumn id="13590" xr3:uid="{06FDD32F-81C9-43B3-994F-ACF78CAC9A31}" name="Column13590"/>
    <tableColumn id="13591" xr3:uid="{F2228589-8B7A-40A0-AB72-CE8B376B1070}" name="Column13591"/>
    <tableColumn id="13592" xr3:uid="{4060E03F-F4F3-44F3-86B8-C87679C726D7}" name="Column13592"/>
    <tableColumn id="13593" xr3:uid="{B92371EC-A0B6-4DB3-AE7B-B8E1D2161BF0}" name="Column13593"/>
    <tableColumn id="13594" xr3:uid="{028247C6-A04E-45A2-8A3B-39090D38F92D}" name="Column13594"/>
    <tableColumn id="13595" xr3:uid="{95D67ABC-5248-48B9-8CBA-314116F2A812}" name="Column13595"/>
    <tableColumn id="13596" xr3:uid="{63DEFE3D-AA48-475D-8E61-E988F8BD76CD}" name="Column13596"/>
    <tableColumn id="13597" xr3:uid="{EBCC66F2-064F-4964-A558-9B93F817A1E8}" name="Column13597"/>
    <tableColumn id="13598" xr3:uid="{3348480A-15E5-431F-9696-B7BC6F73BAE7}" name="Column13598"/>
    <tableColumn id="13599" xr3:uid="{F0CEC6D9-E4A8-4537-A21D-4BBF5CF88D18}" name="Column13599"/>
    <tableColumn id="13600" xr3:uid="{DC84CAD8-5AEC-4F66-B293-F98B68717621}" name="Column13600"/>
    <tableColumn id="13601" xr3:uid="{1FEB81A8-448F-4647-BE09-EDB0252623FD}" name="Column13601"/>
    <tableColumn id="13602" xr3:uid="{59086D99-0E99-44B4-B7BC-07695DEDFAC1}" name="Column13602"/>
    <tableColumn id="13603" xr3:uid="{07370217-E51B-474E-88BC-0D1BAE54F156}" name="Column13603"/>
    <tableColumn id="13604" xr3:uid="{8340B4AA-BF9F-41F6-A06E-B6EB06D3FFE4}" name="Column13604"/>
    <tableColumn id="13605" xr3:uid="{4EB194EA-173B-44DF-89FA-8D1B02211C74}" name="Column13605"/>
    <tableColumn id="13606" xr3:uid="{BEF313E3-AB0B-45B6-B1DC-BEA0E2CC4D7E}" name="Column13606"/>
    <tableColumn id="13607" xr3:uid="{8A210B7F-C470-4835-9594-87D070A3A7EC}" name="Column13607"/>
    <tableColumn id="13608" xr3:uid="{EE1A646E-F584-4D7A-B551-E9714C6B90A4}" name="Column13608"/>
    <tableColumn id="13609" xr3:uid="{60644DE1-AEEE-414C-8614-0BF4BBB7995F}" name="Column13609"/>
    <tableColumn id="13610" xr3:uid="{35F6FF7F-7414-433B-ACF8-FB5F2398BCA5}" name="Column13610"/>
    <tableColumn id="13611" xr3:uid="{9248A885-2EC8-41FF-A166-CD5CC2F78144}" name="Column13611"/>
    <tableColumn id="13612" xr3:uid="{0BC91CDE-9B7F-4535-BCA9-4FC77471A2CF}" name="Column13612"/>
    <tableColumn id="13613" xr3:uid="{36FCE618-34AF-4968-B2EF-7AF216683503}" name="Column13613"/>
    <tableColumn id="13614" xr3:uid="{F2E57B1E-6FC3-46DD-8BA6-F50B1FD9249D}" name="Column13614"/>
    <tableColumn id="13615" xr3:uid="{3CEAE49F-57E5-4312-9E40-5EEA6D5FF059}" name="Column13615"/>
    <tableColumn id="13616" xr3:uid="{2369E748-35CB-41CE-B28C-4ED7F1E95B3E}" name="Column13616"/>
    <tableColumn id="13617" xr3:uid="{22B3070F-A96D-46E3-B5A5-59B1F689DFEA}" name="Column13617"/>
    <tableColumn id="13618" xr3:uid="{6CC95B87-B6E3-493A-82A6-4F3EE0F7E557}" name="Column13618"/>
    <tableColumn id="13619" xr3:uid="{BFD065C0-9112-45BA-8CD1-D4A87945EDB7}" name="Column13619"/>
    <tableColumn id="13620" xr3:uid="{099824CC-AF59-4B10-B11C-62CA524A9516}" name="Column13620"/>
    <tableColumn id="13621" xr3:uid="{8A158734-5AB4-4998-AD3D-982BA74113EA}" name="Column13621"/>
    <tableColumn id="13622" xr3:uid="{E1427BE5-629D-4DB2-9DBC-2BA43B14FF6F}" name="Column13622"/>
    <tableColumn id="13623" xr3:uid="{DC9F3AEF-4464-45BD-8C4C-35B1FDC940F8}" name="Column13623"/>
    <tableColumn id="13624" xr3:uid="{2B27C230-8280-4644-966B-AE350F11457B}" name="Column13624"/>
    <tableColumn id="13625" xr3:uid="{751AA1AE-7093-4FCB-846F-24E7E83163EA}" name="Column13625"/>
    <tableColumn id="13626" xr3:uid="{CC867E38-4AE3-4182-BC1F-181D0BABB0CF}" name="Column13626"/>
    <tableColumn id="13627" xr3:uid="{8684562B-601E-4064-8081-6F4F2B81EE21}" name="Column13627"/>
    <tableColumn id="13628" xr3:uid="{399CDFA1-EC64-4D9C-9D1E-C0E954A8F449}" name="Column13628"/>
    <tableColumn id="13629" xr3:uid="{B9FACDA2-D8A5-4F8A-B4BF-ED7FD21AAFA5}" name="Column13629"/>
    <tableColumn id="13630" xr3:uid="{86C40895-154D-4F61-A1E4-49F234AC5089}" name="Column13630"/>
    <tableColumn id="13631" xr3:uid="{7FB6B86C-30CA-40B3-94EF-2B4CBBEDD61C}" name="Column13631"/>
    <tableColumn id="13632" xr3:uid="{4DD59F01-3243-4579-A9E7-062F15B2CCB7}" name="Column13632"/>
    <tableColumn id="13633" xr3:uid="{D6024BC3-EB3F-4D59-BD05-9BCB5D86A7E4}" name="Column13633"/>
    <tableColumn id="13634" xr3:uid="{402294C4-2B1F-48B6-8E62-4D8E5F69B5B4}" name="Column13634"/>
    <tableColumn id="13635" xr3:uid="{84E63300-E456-459E-9F1B-CD4AD0F05F25}" name="Column13635"/>
    <tableColumn id="13636" xr3:uid="{C2F27642-5F3B-4CE7-BD8B-A4783971904D}" name="Column13636"/>
    <tableColumn id="13637" xr3:uid="{DAC6FA20-2A6A-4E8A-9DE7-E5872C191D12}" name="Column13637"/>
    <tableColumn id="13638" xr3:uid="{0ABAC4EB-24CB-48D8-8782-EB7E7C45957C}" name="Column13638"/>
    <tableColumn id="13639" xr3:uid="{6011B792-2631-4F72-AAAE-4C7C9E85F6EC}" name="Column13639"/>
    <tableColumn id="13640" xr3:uid="{537037CA-6369-4CFC-BD36-49F122E09BB3}" name="Column13640"/>
    <tableColumn id="13641" xr3:uid="{612CCF32-CA9C-4028-8C3C-45B0C440EF75}" name="Column13641"/>
    <tableColumn id="13642" xr3:uid="{179A9052-7E4D-4482-921C-1305B9FD3320}" name="Column13642"/>
    <tableColumn id="13643" xr3:uid="{37519C04-0655-43BF-B48B-40D1B3B2B40B}" name="Column13643"/>
    <tableColumn id="13644" xr3:uid="{1F7D0557-E6DC-4DE2-A64F-C8343CF9C9B6}" name="Column13644"/>
    <tableColumn id="13645" xr3:uid="{B6954BC6-CB89-4948-A60A-825A3BEC4FB7}" name="Column13645"/>
    <tableColumn id="13646" xr3:uid="{5BA10D1C-0D52-4B65-9039-880ADC2E8D6D}" name="Column13646"/>
    <tableColumn id="13647" xr3:uid="{BC2D36FC-4042-4BFD-89C7-705B982DF2FF}" name="Column13647"/>
    <tableColumn id="13648" xr3:uid="{B21D4BC9-E1CA-4093-AAD0-E5BB0AA44C88}" name="Column13648"/>
    <tableColumn id="13649" xr3:uid="{CA604D06-EBAA-45A7-982C-6D381A076CB9}" name="Column13649"/>
    <tableColumn id="13650" xr3:uid="{8BA2D169-69F5-429B-BDAD-1C8B10CADFE0}" name="Column13650"/>
    <tableColumn id="13651" xr3:uid="{6249105D-3A67-4F17-9D86-593F7BD3C107}" name="Column13651"/>
    <tableColumn id="13652" xr3:uid="{4330A12E-CB80-4AB9-8F73-5844066C63C3}" name="Column13652"/>
    <tableColumn id="13653" xr3:uid="{D24F6A17-42BC-4443-B702-B97C5DD6A600}" name="Column13653"/>
    <tableColumn id="13654" xr3:uid="{1E5CB12B-6616-4A17-A517-0C4BC872EFD7}" name="Column13654"/>
    <tableColumn id="13655" xr3:uid="{80BB1227-513B-4F97-BAD2-E7C70E71935D}" name="Column13655"/>
    <tableColumn id="13656" xr3:uid="{2E56F977-1B02-4601-816E-90D69FE2B079}" name="Column13656"/>
    <tableColumn id="13657" xr3:uid="{9ED35F8B-4DFE-4023-8198-359CF55F24EE}" name="Column13657"/>
    <tableColumn id="13658" xr3:uid="{52CB7AF3-F4A7-488C-891C-26C62B520CFB}" name="Column13658"/>
    <tableColumn id="13659" xr3:uid="{FF7524A9-D7DC-4C98-B6E5-3E82F3DFE710}" name="Column13659"/>
    <tableColumn id="13660" xr3:uid="{517F7BB8-C313-4684-9430-2A0D5520A1F8}" name="Column13660"/>
    <tableColumn id="13661" xr3:uid="{62FA5A4D-47BB-4436-BC0E-97035A0BA819}" name="Column13661"/>
    <tableColumn id="13662" xr3:uid="{6C33220D-2EC0-46CC-8B8A-F92AF2B2B46B}" name="Column13662"/>
    <tableColumn id="13663" xr3:uid="{DC4E3356-3825-4724-AC7F-C1CE9FCA55DE}" name="Column13663"/>
    <tableColumn id="13664" xr3:uid="{542131DB-6DCC-4A3E-8ACB-D8139E2E1613}" name="Column13664"/>
    <tableColumn id="13665" xr3:uid="{CA6163B7-72F7-4641-A4D0-733034E2EC10}" name="Column13665"/>
    <tableColumn id="13666" xr3:uid="{AEF70D4F-4CFD-49E6-BA73-4DA2C0F809BC}" name="Column13666"/>
    <tableColumn id="13667" xr3:uid="{D74B1F42-17BC-4687-AA02-EF4847B9688C}" name="Column13667"/>
    <tableColumn id="13668" xr3:uid="{73207B9F-D09A-4A4C-80DA-28DFD6905EB3}" name="Column13668"/>
    <tableColumn id="13669" xr3:uid="{FF9D3523-C8F5-46F8-8BC9-EF9434B87059}" name="Column13669"/>
    <tableColumn id="13670" xr3:uid="{A18256F9-B3FD-4BEC-A15B-C12D228A3A8C}" name="Column13670"/>
    <tableColumn id="13671" xr3:uid="{BD62F4F4-7E90-4F26-8146-C684991FE388}" name="Column13671"/>
    <tableColumn id="13672" xr3:uid="{EFE39FEF-C8DD-4BD1-9B5A-AA97A2A877EE}" name="Column13672"/>
    <tableColumn id="13673" xr3:uid="{25A4EA44-30E5-4F64-8564-4E345779AF91}" name="Column13673"/>
    <tableColumn id="13674" xr3:uid="{75FC5987-0339-4A65-AA5F-6718DCBFF095}" name="Column13674"/>
    <tableColumn id="13675" xr3:uid="{1D835DF3-05A1-48C1-A21D-F845AFFCF876}" name="Column13675"/>
    <tableColumn id="13676" xr3:uid="{6A580AC0-C2FC-4C7F-949D-BDD30FC31511}" name="Column13676"/>
    <tableColumn id="13677" xr3:uid="{AE5E3DD3-22BD-4ECE-8408-5EAAEC431E5C}" name="Column13677"/>
    <tableColumn id="13678" xr3:uid="{E3932E40-DA2A-401C-A80F-C88B172EB7B3}" name="Column13678"/>
    <tableColumn id="13679" xr3:uid="{4FA219C9-7FE5-4F3D-959F-3E3A86FCA3BA}" name="Column13679"/>
    <tableColumn id="13680" xr3:uid="{7F726C48-071E-400E-9B04-50813B1184A8}" name="Column13680"/>
    <tableColumn id="13681" xr3:uid="{760972D6-0C44-4B11-B08E-4C169268E809}" name="Column13681"/>
    <tableColumn id="13682" xr3:uid="{ED153829-704E-430E-8506-EA77298BC3FD}" name="Column13682"/>
    <tableColumn id="13683" xr3:uid="{B1FFF6A7-6B29-45BF-9F57-52E1D8D0B255}" name="Column13683"/>
    <tableColumn id="13684" xr3:uid="{DAC9D670-4FA5-4E38-A753-127D726C1279}" name="Column13684"/>
    <tableColumn id="13685" xr3:uid="{C3CC1064-D08B-4CF5-B5C8-06590447F9C6}" name="Column13685"/>
    <tableColumn id="13686" xr3:uid="{A5B05274-6CA4-4C67-BE21-2B04D0EF8839}" name="Column13686"/>
    <tableColumn id="13687" xr3:uid="{F07B0710-5CE5-4798-B10D-9FEDBFBB8673}" name="Column13687"/>
    <tableColumn id="13688" xr3:uid="{12193B5F-2FCE-4A71-9D78-DC706F31113C}" name="Column13688"/>
    <tableColumn id="13689" xr3:uid="{35E4F302-9F75-45DB-A4E3-7C995DAF209C}" name="Column13689"/>
    <tableColumn id="13690" xr3:uid="{2A381986-DB07-4C8E-BA13-8CFCC9AEE10A}" name="Column13690"/>
    <tableColumn id="13691" xr3:uid="{3DE5FBDB-A379-473A-9195-1DF9AE3DF951}" name="Column13691"/>
    <tableColumn id="13692" xr3:uid="{50F8F9D7-F260-43C9-B4F9-6F97F7440C30}" name="Column13692"/>
    <tableColumn id="13693" xr3:uid="{55C69218-65E5-4203-9A34-33F4EE094363}" name="Column13693"/>
    <tableColumn id="13694" xr3:uid="{C9D34639-4469-48AE-B1AC-3E49F1B137C1}" name="Column13694"/>
    <tableColumn id="13695" xr3:uid="{4265B87C-3A87-4BFB-AD53-50A052DCEC95}" name="Column13695"/>
    <tableColumn id="13696" xr3:uid="{CCB89E35-63B7-48D7-BE6C-CAEB372E7D5B}" name="Column13696"/>
    <tableColumn id="13697" xr3:uid="{2217D67C-B5E6-4FA4-85F4-81B3FE957307}" name="Column13697"/>
    <tableColumn id="13698" xr3:uid="{09805FE0-ACA6-4B0B-BAE6-E800B992FEB3}" name="Column13698"/>
    <tableColumn id="13699" xr3:uid="{1A2505F5-9568-4BBF-9FEF-B7B15755CFD8}" name="Column13699"/>
    <tableColumn id="13700" xr3:uid="{32F5598C-D36F-490C-BF80-8BE0E2344511}" name="Column13700"/>
    <tableColumn id="13701" xr3:uid="{D699E00B-4144-408F-A3E6-F3C1BFFC1B2F}" name="Column13701"/>
    <tableColumn id="13702" xr3:uid="{2215B2CA-A07C-46D6-8495-6A3762A7739C}" name="Column13702"/>
    <tableColumn id="13703" xr3:uid="{6B53897E-B52A-47EB-B351-FCEDD75DC8D6}" name="Column13703"/>
    <tableColumn id="13704" xr3:uid="{9F0A7490-1E45-48D8-97D8-0BFF085374A4}" name="Column13704"/>
    <tableColumn id="13705" xr3:uid="{E741D4D9-D900-4F88-87DE-93C4DCAD3767}" name="Column13705"/>
    <tableColumn id="13706" xr3:uid="{7756E00D-E813-430C-9BE0-24D54EFA2A4B}" name="Column13706"/>
    <tableColumn id="13707" xr3:uid="{35F27002-4F24-457D-B503-767B7BEA84CA}" name="Column13707"/>
    <tableColumn id="13708" xr3:uid="{49D9C83C-DADF-4CCB-BF11-8EE3135A1EEC}" name="Column13708"/>
    <tableColumn id="13709" xr3:uid="{ABFC517E-3C1A-42C9-A04D-87EC78C00614}" name="Column13709"/>
    <tableColumn id="13710" xr3:uid="{AEE69201-4139-43AE-A4B9-300F5C4DE817}" name="Column13710"/>
    <tableColumn id="13711" xr3:uid="{F41F9A25-7904-4CB4-87E0-B9FA3750DC0B}" name="Column13711"/>
    <tableColumn id="13712" xr3:uid="{EE7F00A8-C831-4476-BAA5-5C2D66C5A289}" name="Column13712"/>
    <tableColumn id="13713" xr3:uid="{D1A78835-8F21-4DA7-938B-AA3D9FBF0974}" name="Column13713"/>
    <tableColumn id="13714" xr3:uid="{D062DD69-FBCB-48B1-AB9B-13220A5F95AF}" name="Column13714"/>
    <tableColumn id="13715" xr3:uid="{D4B72EE2-EA7F-40CF-A389-ECF24FED602F}" name="Column13715"/>
    <tableColumn id="13716" xr3:uid="{F373C516-65DF-48EB-A196-A512A6838B8C}" name="Column13716"/>
    <tableColumn id="13717" xr3:uid="{A6D02E48-AFFA-4C8E-86B9-89C93C10F048}" name="Column13717"/>
    <tableColumn id="13718" xr3:uid="{B2229EA9-FC99-4C5D-AB90-602FEF86CE25}" name="Column13718"/>
    <tableColumn id="13719" xr3:uid="{D9509084-1D50-4EC3-B0AC-F9FC04E71343}" name="Column13719"/>
    <tableColumn id="13720" xr3:uid="{2C83932E-7C13-4B8E-A95D-40CB63468C65}" name="Column13720"/>
    <tableColumn id="13721" xr3:uid="{31F9DE0C-D203-4AB2-ABD8-9204725DD257}" name="Column13721"/>
    <tableColumn id="13722" xr3:uid="{DA0E42E0-A043-4143-973B-5BD68D8B5829}" name="Column13722"/>
    <tableColumn id="13723" xr3:uid="{BEBF852B-A3FA-4C38-8A73-F77D9A2F725B}" name="Column13723"/>
    <tableColumn id="13724" xr3:uid="{106D6812-2F05-4847-809A-20D2E8FC831D}" name="Column13724"/>
    <tableColumn id="13725" xr3:uid="{B8C2573F-79FA-46D2-BA79-6E64B970BB82}" name="Column13725"/>
    <tableColumn id="13726" xr3:uid="{9D70BEAD-888C-4DE5-B360-26C4AEBB9F79}" name="Column13726"/>
    <tableColumn id="13727" xr3:uid="{C8022E3D-A87C-4566-A1D2-4FED9970A320}" name="Column13727"/>
    <tableColumn id="13728" xr3:uid="{45CB7347-C328-4C9D-B691-79EFB12EC675}" name="Column13728"/>
    <tableColumn id="13729" xr3:uid="{27DD6E3E-2B53-4D2C-B6F4-2DD742D9A345}" name="Column13729"/>
    <tableColumn id="13730" xr3:uid="{476478D1-7B90-46A1-B357-DBAE8E493C2B}" name="Column13730"/>
    <tableColumn id="13731" xr3:uid="{F935116D-A369-4BBB-9A82-B82A3178BE93}" name="Column13731"/>
    <tableColumn id="13732" xr3:uid="{8011F3F1-2BD1-4721-A006-6C49642D714D}" name="Column13732"/>
    <tableColumn id="13733" xr3:uid="{8A2DE4CF-88B5-456A-BAA5-0BCF7FC447B5}" name="Column13733"/>
    <tableColumn id="13734" xr3:uid="{3D37BEE1-3CD7-4316-B767-EFCE16AC965C}" name="Column13734"/>
    <tableColumn id="13735" xr3:uid="{E994D8D5-BC31-4683-88F8-D71BF7E6C737}" name="Column13735"/>
    <tableColumn id="13736" xr3:uid="{63539BA5-E51B-4F33-8481-137FC9B818D6}" name="Column13736"/>
    <tableColumn id="13737" xr3:uid="{0FEBC9B2-42E7-4385-BA0B-F40D1AE20F5B}" name="Column13737"/>
    <tableColumn id="13738" xr3:uid="{8DC8E032-D2A6-4A91-9026-631A7B787201}" name="Column13738"/>
    <tableColumn id="13739" xr3:uid="{32D1A417-5FC0-4FED-A09A-B761FBF24C0D}" name="Column13739"/>
    <tableColumn id="13740" xr3:uid="{D470BBB2-1203-4DC8-AAAA-E3844D68268F}" name="Column13740"/>
    <tableColumn id="13741" xr3:uid="{843D9360-4FC2-4906-A7F6-75F720F470F0}" name="Column13741"/>
    <tableColumn id="13742" xr3:uid="{CD737DDC-D83D-4F0A-B801-2EAC725C1008}" name="Column13742"/>
    <tableColumn id="13743" xr3:uid="{21791395-539B-4AE2-AED1-AC25A50A9100}" name="Column13743"/>
    <tableColumn id="13744" xr3:uid="{0FC9B03F-5615-4BCA-82FD-00F0FD622325}" name="Column13744"/>
    <tableColumn id="13745" xr3:uid="{81D0DCC5-E5C9-4BCC-87C1-DE02D28C717E}" name="Column13745"/>
    <tableColumn id="13746" xr3:uid="{7F4126D8-0732-4EF6-BE81-01688BF1892F}" name="Column13746"/>
    <tableColumn id="13747" xr3:uid="{616A765C-C684-4904-B199-2BAC073F12D8}" name="Column13747"/>
    <tableColumn id="13748" xr3:uid="{1EA634E4-A0B5-4A52-B7A8-C6EAF0594E4E}" name="Column13748"/>
    <tableColumn id="13749" xr3:uid="{5185BD02-1485-4D46-981E-8573508DE04E}" name="Column13749"/>
    <tableColumn id="13750" xr3:uid="{388D80C4-6C83-4CBC-AB19-408B3BF8012F}" name="Column13750"/>
    <tableColumn id="13751" xr3:uid="{2941F65E-DE68-4E72-9831-4E4E08C32D28}" name="Column13751"/>
    <tableColumn id="13752" xr3:uid="{6070B0E1-94A3-4A4E-8A45-9A28E0643266}" name="Column13752"/>
    <tableColumn id="13753" xr3:uid="{C032439C-AE49-441A-BF79-225A6F9492A9}" name="Column13753"/>
    <tableColumn id="13754" xr3:uid="{516778C5-3F77-48E0-A45B-2BD3FBAD0F47}" name="Column13754"/>
    <tableColumn id="13755" xr3:uid="{249205EC-E054-4CB9-8808-37604772B122}" name="Column13755"/>
    <tableColumn id="13756" xr3:uid="{5A1E2907-BA86-4E27-9A05-7355AECAFC66}" name="Column13756"/>
    <tableColumn id="13757" xr3:uid="{20E86650-E4FE-4022-B3ED-1DDB093D3F6E}" name="Column13757"/>
    <tableColumn id="13758" xr3:uid="{11DBDFF7-CE32-468D-BEC0-1885B28DA056}" name="Column13758"/>
    <tableColumn id="13759" xr3:uid="{B72DDF54-D0B8-4629-AD69-458BA04BEE44}" name="Column13759"/>
    <tableColumn id="13760" xr3:uid="{3B5E3979-8E6E-455D-ADA3-8E660AA99157}" name="Column13760"/>
    <tableColumn id="13761" xr3:uid="{3BE0CBB2-FA40-4B35-88A2-A981526727EC}" name="Column13761"/>
    <tableColumn id="13762" xr3:uid="{3CC37A3E-38CA-4A85-AFD4-5130501081FC}" name="Column13762"/>
    <tableColumn id="13763" xr3:uid="{ED2D5BE2-6B00-4050-81A8-61E5FF112F35}" name="Column13763"/>
    <tableColumn id="13764" xr3:uid="{F128E113-31E5-434E-88C0-BC56802D2B8E}" name="Column13764"/>
    <tableColumn id="13765" xr3:uid="{A03011E1-976D-4301-9917-C16FF5B8B428}" name="Column13765"/>
    <tableColumn id="13766" xr3:uid="{C8DA790C-AAA8-4920-961F-2B8E4988A5AB}" name="Column13766"/>
    <tableColumn id="13767" xr3:uid="{2F212CD0-56AE-459C-BFBC-A9D71D78CD5C}" name="Column13767"/>
    <tableColumn id="13768" xr3:uid="{2A274C2F-A747-49C5-ABD6-C71AA0615E28}" name="Column13768"/>
    <tableColumn id="13769" xr3:uid="{5578D009-70AC-479D-B17E-72444EF32F0A}" name="Column13769"/>
    <tableColumn id="13770" xr3:uid="{E9ABE192-C5EE-46D8-9CCC-437C6F1551BD}" name="Column13770"/>
    <tableColumn id="13771" xr3:uid="{E074BF3F-B75C-410D-AB12-CE5DF59B30EE}" name="Column13771"/>
    <tableColumn id="13772" xr3:uid="{C30F2060-E13D-4770-8629-C260DBAB93EE}" name="Column13772"/>
    <tableColumn id="13773" xr3:uid="{7E7353E2-CBCC-4880-A5FF-4E81B75A22C9}" name="Column13773"/>
    <tableColumn id="13774" xr3:uid="{C1D7A7E9-6246-49F1-BB3C-A3408A732FDE}" name="Column13774"/>
    <tableColumn id="13775" xr3:uid="{7DA0D2DB-0F7D-43FF-9DB5-7A2CB385C66A}" name="Column13775"/>
    <tableColumn id="13776" xr3:uid="{373CDA65-5214-469B-9C5D-779B2D4046B4}" name="Column13776"/>
    <tableColumn id="13777" xr3:uid="{C58DB913-A133-4F93-835E-E22E41FF436D}" name="Column13777"/>
    <tableColumn id="13778" xr3:uid="{510B5CF0-6D21-4AA8-93B5-D98499EAAD4F}" name="Column13778"/>
    <tableColumn id="13779" xr3:uid="{67A1F407-D0BC-4CFD-B0BE-7A8161616490}" name="Column13779"/>
    <tableColumn id="13780" xr3:uid="{DC4F6C31-4A27-48C6-BA6F-2C4ABC304D6D}" name="Column13780"/>
    <tableColumn id="13781" xr3:uid="{FA9BA6AB-FC2D-4A49-98F5-C8819C8CA71C}" name="Column13781"/>
    <tableColumn id="13782" xr3:uid="{E3FB39CD-F16B-4206-A385-E1039DE1F5BD}" name="Column13782"/>
    <tableColumn id="13783" xr3:uid="{03C34148-E24C-4D5F-9EA2-7E4F78C944A9}" name="Column13783"/>
    <tableColumn id="13784" xr3:uid="{19C6C5A1-2DB4-49F8-8B55-6917CC4C1B7B}" name="Column13784"/>
    <tableColumn id="13785" xr3:uid="{50468379-7A04-4AE1-B22F-D3B46ECE82D8}" name="Column13785"/>
    <tableColumn id="13786" xr3:uid="{19BD4217-054B-4CFC-BA3A-8E1F446E7E46}" name="Column13786"/>
    <tableColumn id="13787" xr3:uid="{4C2392F6-B093-49E2-AC14-23EB2012DFC5}" name="Column13787"/>
    <tableColumn id="13788" xr3:uid="{C8BBECF9-F277-4064-AE1A-A52B38BA4060}" name="Column13788"/>
    <tableColumn id="13789" xr3:uid="{5BF16DFE-E6DE-4329-9C2F-463471F1776C}" name="Column13789"/>
    <tableColumn id="13790" xr3:uid="{CC2DECF5-EDEF-46C7-AF09-51D72B6A465E}" name="Column13790"/>
    <tableColumn id="13791" xr3:uid="{EEA2BACA-64ED-4C91-843F-BBBBA389E2A0}" name="Column13791"/>
    <tableColumn id="13792" xr3:uid="{B6C0F433-CBAD-41C1-91C6-223A2371DF23}" name="Column13792"/>
    <tableColumn id="13793" xr3:uid="{268E408F-0790-41C0-A090-6F1BE23E7014}" name="Column13793"/>
    <tableColumn id="13794" xr3:uid="{43A1FBE9-FC82-47C3-B08B-74C245EB2104}" name="Column13794"/>
    <tableColumn id="13795" xr3:uid="{6E84E412-CC5B-4A69-AD99-81D19BBA2BAE}" name="Column13795"/>
    <tableColumn id="13796" xr3:uid="{B90C6943-851D-44E7-9629-E7B70D8E7597}" name="Column13796"/>
    <tableColumn id="13797" xr3:uid="{401D930D-AF4C-44FE-914C-9651D39F387D}" name="Column13797"/>
    <tableColumn id="13798" xr3:uid="{B84DB73C-DB3A-42A2-B99F-EA25D787D89A}" name="Column13798"/>
    <tableColumn id="13799" xr3:uid="{B7EC1E32-9FCD-4850-87C9-BD4F1BCD802D}" name="Column13799"/>
    <tableColumn id="13800" xr3:uid="{BDAD0807-CC74-4903-808A-9562668FBA0C}" name="Column13800"/>
    <tableColumn id="13801" xr3:uid="{A2A2E422-40DF-4EBF-BBEF-046ADDA589B1}" name="Column13801"/>
    <tableColumn id="13802" xr3:uid="{8A3D7CD2-FF58-43F4-BDAF-740D5A7AFC10}" name="Column13802"/>
    <tableColumn id="13803" xr3:uid="{9DE49910-416A-47D8-81D9-59A3760C4577}" name="Column13803"/>
    <tableColumn id="13804" xr3:uid="{29E75F49-D420-4689-812F-8382D7B7F984}" name="Column13804"/>
    <tableColumn id="13805" xr3:uid="{A17949BB-D2A0-4277-A7E9-DB02E0B09984}" name="Column13805"/>
    <tableColumn id="13806" xr3:uid="{A9428603-0F53-432C-A65E-35B1444D0E57}" name="Column13806"/>
    <tableColumn id="13807" xr3:uid="{214E55E1-9EC2-47BA-8499-EA39185837FD}" name="Column13807"/>
    <tableColumn id="13808" xr3:uid="{39A884BE-A5EC-4CF1-9FEA-A54AE79D143F}" name="Column13808"/>
    <tableColumn id="13809" xr3:uid="{1460DE41-70BD-4EA0-9DED-7C484E9CC7B4}" name="Column13809"/>
    <tableColumn id="13810" xr3:uid="{DBA5718F-2A4B-43B2-B8BB-515DD91BE06E}" name="Column13810"/>
    <tableColumn id="13811" xr3:uid="{79D5A90A-809D-45D6-A6C1-6F84406C2ED7}" name="Column13811"/>
    <tableColumn id="13812" xr3:uid="{D7D9AA3A-907C-4676-B161-A342E04DA8FA}" name="Column13812"/>
    <tableColumn id="13813" xr3:uid="{4554E064-3539-47D1-9F04-AFA99585EE7D}" name="Column13813"/>
    <tableColumn id="13814" xr3:uid="{C087602E-2F31-4935-97C0-7958B6DEC07E}" name="Column13814"/>
    <tableColumn id="13815" xr3:uid="{D135B4C7-A49C-4914-83EA-F7DA653C5C0C}" name="Column13815"/>
    <tableColumn id="13816" xr3:uid="{8AF02155-BAE6-4A31-8CA2-9FD3B7B0183E}" name="Column13816"/>
    <tableColumn id="13817" xr3:uid="{9FB7C446-183D-431E-9AC2-5BED72FD16AD}" name="Column13817"/>
    <tableColumn id="13818" xr3:uid="{C07DECD1-D2A6-4D3A-86C4-8DEF31A0662A}" name="Column13818"/>
    <tableColumn id="13819" xr3:uid="{BC3580DF-651C-44AF-9D5A-DE00B8EB7DDD}" name="Column13819"/>
    <tableColumn id="13820" xr3:uid="{6A7B620B-089E-4FE3-A195-BBD4448D2A89}" name="Column13820"/>
    <tableColumn id="13821" xr3:uid="{E7F8AC5F-59EC-468C-B5FB-9DDD8D8980DF}" name="Column13821"/>
    <tableColumn id="13822" xr3:uid="{D41FB0A5-6ECB-47BA-AAC4-C7666DB6E408}" name="Column13822"/>
    <tableColumn id="13823" xr3:uid="{96076E29-F820-4BFD-88E0-34363A0AC9A4}" name="Column13823"/>
    <tableColumn id="13824" xr3:uid="{F957DB12-AC49-4626-864D-3419422285DD}" name="Column13824"/>
    <tableColumn id="13825" xr3:uid="{660C7EAA-B427-450B-AF50-E56E8EE306DC}" name="Column13825"/>
    <tableColumn id="13826" xr3:uid="{9831A876-2869-4ADC-9735-F8B4D044C61B}" name="Column13826"/>
    <tableColumn id="13827" xr3:uid="{6DD0895E-AC3E-4514-9D5A-104FFA80ED93}" name="Column13827"/>
    <tableColumn id="13828" xr3:uid="{C1828E9B-86C0-44B5-91DA-30BEDE54B737}" name="Column13828"/>
    <tableColumn id="13829" xr3:uid="{D4188524-435B-4EFD-A9B1-D4E35BA58784}" name="Column13829"/>
    <tableColumn id="13830" xr3:uid="{003CF25A-D745-4B06-B9A4-A0BD943C4634}" name="Column13830"/>
    <tableColumn id="13831" xr3:uid="{71836A62-F236-4AC9-8BE3-8B0D0B2B05B4}" name="Column13831"/>
    <tableColumn id="13832" xr3:uid="{F281079E-7C43-4DB3-AA46-0B11EB012DE0}" name="Column13832"/>
    <tableColumn id="13833" xr3:uid="{59CCDF9B-D701-4B09-8FFB-0D8CA80C77DE}" name="Column13833"/>
    <tableColumn id="13834" xr3:uid="{43460BDE-65C1-4103-9B35-C6B528F322E5}" name="Column13834"/>
    <tableColumn id="13835" xr3:uid="{DCD1FBF5-40C6-41DA-B0B5-98479D398C0D}" name="Column13835"/>
    <tableColumn id="13836" xr3:uid="{0F6DC863-B3F9-4200-A5B8-077DCF771935}" name="Column13836"/>
    <tableColumn id="13837" xr3:uid="{434102A9-EF05-497E-9210-8C9AF79FF1FB}" name="Column13837"/>
    <tableColumn id="13838" xr3:uid="{21664DA0-38B3-4846-BBE5-F33CE27BB1F9}" name="Column13838"/>
    <tableColumn id="13839" xr3:uid="{D505D00D-2EEE-4ED9-8CC9-C7A4294DB96D}" name="Column13839"/>
    <tableColumn id="13840" xr3:uid="{6DD5D597-F3B5-45E7-AD69-E88C68595CD1}" name="Column13840"/>
    <tableColumn id="13841" xr3:uid="{9439EE82-8832-44D1-9C62-6D12D663C336}" name="Column13841"/>
    <tableColumn id="13842" xr3:uid="{79527981-B025-4B19-BC82-1EE5ACC6F54A}" name="Column13842"/>
    <tableColumn id="13843" xr3:uid="{8B47C216-3776-41B3-86CF-66C92272BA50}" name="Column13843"/>
    <tableColumn id="13844" xr3:uid="{97C88CAE-4FB5-4EDF-B76A-73DBE1D30DE5}" name="Column13844"/>
    <tableColumn id="13845" xr3:uid="{30DBE562-2BBD-4D54-9BA7-7BB402D7503D}" name="Column13845"/>
    <tableColumn id="13846" xr3:uid="{DEED32E3-2201-4FB4-8CF4-CD6D4BBE143C}" name="Column13846"/>
    <tableColumn id="13847" xr3:uid="{616CDD82-89E8-4232-BF2A-94E044FB5CED}" name="Column13847"/>
    <tableColumn id="13848" xr3:uid="{D91D78EB-FF64-485D-B51D-850E0FD07C1D}" name="Column13848"/>
    <tableColumn id="13849" xr3:uid="{0403D89F-07C4-4A9F-A9F8-757F5E54015F}" name="Column13849"/>
    <tableColumn id="13850" xr3:uid="{1BBDF8DC-159F-43B6-9A0B-3DD10E5C64EE}" name="Column13850"/>
    <tableColumn id="13851" xr3:uid="{8E5E7188-BB92-4C34-BF8F-917F39BC63F8}" name="Column13851"/>
    <tableColumn id="13852" xr3:uid="{1DB940F1-8A35-4375-A60E-8DE42031FFE3}" name="Column13852"/>
    <tableColumn id="13853" xr3:uid="{B2D849C8-73E8-4763-B9C0-B27571A9873D}" name="Column13853"/>
    <tableColumn id="13854" xr3:uid="{28B4B64A-8260-419C-AC89-F34522217E92}" name="Column13854"/>
    <tableColumn id="13855" xr3:uid="{63EABD73-4092-40B3-B90E-2C39B66BF07C}" name="Column13855"/>
    <tableColumn id="13856" xr3:uid="{9D07D7B4-73F4-4F0E-8228-F1F6580397F7}" name="Column13856"/>
    <tableColumn id="13857" xr3:uid="{773FE769-865C-49CB-9C8C-760C021CBF82}" name="Column13857"/>
    <tableColumn id="13858" xr3:uid="{12F270EB-5170-43C6-B738-32FBB76E18E1}" name="Column13858"/>
    <tableColumn id="13859" xr3:uid="{1270B8AC-A450-46AC-A1A6-D9D6C0D5B2F3}" name="Column13859"/>
    <tableColumn id="13860" xr3:uid="{5FC1D653-0707-4761-BA71-2B6FCEDFF03B}" name="Column13860"/>
    <tableColumn id="13861" xr3:uid="{8A373FDF-948F-4551-A9F5-358B22677E16}" name="Column13861"/>
    <tableColumn id="13862" xr3:uid="{66B79BF3-1860-4C87-BB29-19FBB955F974}" name="Column13862"/>
    <tableColumn id="13863" xr3:uid="{16674929-F12F-4B19-8D88-152336453A3D}" name="Column13863"/>
    <tableColumn id="13864" xr3:uid="{310D1461-031E-4D7D-945B-F3C72B21A059}" name="Column13864"/>
    <tableColumn id="13865" xr3:uid="{AE348C39-544E-4BAE-89A9-0658700DF13D}" name="Column13865"/>
    <tableColumn id="13866" xr3:uid="{30585FE5-0301-406E-A662-B50652D8A73F}" name="Column13866"/>
    <tableColumn id="13867" xr3:uid="{CFA561C4-A659-43FE-B6AA-54E6F9F1D487}" name="Column13867"/>
    <tableColumn id="13868" xr3:uid="{EAADD545-004C-4F26-8269-B8ECBA5E0091}" name="Column13868"/>
    <tableColumn id="13869" xr3:uid="{D044C3EB-5A9F-4FD7-963E-9C71EC6A5883}" name="Column13869"/>
    <tableColumn id="13870" xr3:uid="{6A8D9120-1EFE-4D07-8CBC-14B207186842}" name="Column13870"/>
    <tableColumn id="13871" xr3:uid="{394D8D5D-D56B-4993-9E09-C883FEE4AD63}" name="Column13871"/>
    <tableColumn id="13872" xr3:uid="{68BE4843-9947-4633-BA33-D8E84339C074}" name="Column13872"/>
    <tableColumn id="13873" xr3:uid="{18580F58-9014-43E4-B9D5-05F3552E1438}" name="Column13873"/>
    <tableColumn id="13874" xr3:uid="{2404DD09-E57E-4492-8DCC-CC1B7FEAA6DF}" name="Column13874"/>
    <tableColumn id="13875" xr3:uid="{AFA0E7A7-4EF4-4922-AB28-71AD5663CEA5}" name="Column13875"/>
    <tableColumn id="13876" xr3:uid="{76BCF554-DA92-49C4-9D88-1D9EE46F9048}" name="Column13876"/>
    <tableColumn id="13877" xr3:uid="{8BD159C4-74AA-45D3-8B8C-6F95093A0554}" name="Column13877"/>
    <tableColumn id="13878" xr3:uid="{B22FD8B3-7A3A-4419-B217-7D243BC5C346}" name="Column13878"/>
    <tableColumn id="13879" xr3:uid="{B0D6B2D6-D944-4047-AD9C-5CE83F3BD8DA}" name="Column13879"/>
    <tableColumn id="13880" xr3:uid="{E2844AC7-101E-4CCD-9CCA-B1BF0AD36B9C}" name="Column13880"/>
    <tableColumn id="13881" xr3:uid="{3CEE0E79-92BB-48D5-AB12-5A028D736AE1}" name="Column13881"/>
    <tableColumn id="13882" xr3:uid="{F1FAE8C1-5A49-42D9-B6EB-0B653EA98074}" name="Column13882"/>
    <tableColumn id="13883" xr3:uid="{41E0DBD2-2F99-43B3-8A6E-0FAA3165211D}" name="Column13883"/>
    <tableColumn id="13884" xr3:uid="{36EC221A-8397-4018-8CB9-84036F57606B}" name="Column13884"/>
    <tableColumn id="13885" xr3:uid="{D07E846A-A052-40CD-AA07-3DEDF3DD29C1}" name="Column13885"/>
    <tableColumn id="13886" xr3:uid="{AC68F94A-06DC-4F1B-97A7-1F8B611F390F}" name="Column13886"/>
    <tableColumn id="13887" xr3:uid="{5730ABAD-BFF4-44C7-9429-3FE86E6BCAD4}" name="Column13887"/>
    <tableColumn id="13888" xr3:uid="{0185017D-EA80-48A3-9827-D3505F0F87FE}" name="Column13888"/>
    <tableColumn id="13889" xr3:uid="{157D3D39-F881-40CB-8698-C353D85DD50C}" name="Column13889"/>
    <tableColumn id="13890" xr3:uid="{B3D4C80E-FF9F-4D18-9E22-EFA4DF251C4E}" name="Column13890"/>
    <tableColumn id="13891" xr3:uid="{E95AAE6C-40A2-42E3-8ED5-BB46961FDA8D}" name="Column13891"/>
    <tableColumn id="13892" xr3:uid="{B500E2B5-4A7E-4EA6-94A6-BD5D8F311B72}" name="Column13892"/>
    <tableColumn id="13893" xr3:uid="{E0F59587-FF5F-46A1-BFF7-4B281667AACD}" name="Column13893"/>
    <tableColumn id="13894" xr3:uid="{AE8FAA97-1286-4A47-B70A-A9B62F2BCFDB}" name="Column13894"/>
    <tableColumn id="13895" xr3:uid="{6CAC4869-A20D-47DB-AD0D-089B5CDA11F4}" name="Column13895"/>
    <tableColumn id="13896" xr3:uid="{2535D2BF-323D-45CC-BE7C-53C34607729B}" name="Column13896"/>
    <tableColumn id="13897" xr3:uid="{190E239F-0D00-48F1-9008-DDC683ED5B71}" name="Column13897"/>
    <tableColumn id="13898" xr3:uid="{9DDDDA3D-DFAD-4F21-99E9-45C4C23176D0}" name="Column13898"/>
    <tableColumn id="13899" xr3:uid="{75ED30C0-29DA-4B7A-83AA-46C43E14B942}" name="Column13899"/>
    <tableColumn id="13900" xr3:uid="{E5F66548-415E-47CB-A614-19F4323FBBE7}" name="Column13900"/>
    <tableColumn id="13901" xr3:uid="{BF660BB8-7531-4849-8A01-D01459A3DC66}" name="Column13901"/>
    <tableColumn id="13902" xr3:uid="{64981349-84C8-4443-A6C4-2184957377EB}" name="Column13902"/>
    <tableColumn id="13903" xr3:uid="{BF60D17E-0F5D-4CFC-A932-1D78DA63FD88}" name="Column13903"/>
    <tableColumn id="13904" xr3:uid="{098C2B3F-4F81-43F5-A7CE-C85B06047AF8}" name="Column13904"/>
    <tableColumn id="13905" xr3:uid="{64A45DEA-029F-4CF0-B124-B1D435AB9719}" name="Column13905"/>
    <tableColumn id="13906" xr3:uid="{15604D6E-4FC2-4F8E-B36B-A88A5EBF6240}" name="Column13906"/>
    <tableColumn id="13907" xr3:uid="{4D78D761-F455-4CF7-BED7-C6FC1C91B2F6}" name="Column13907"/>
    <tableColumn id="13908" xr3:uid="{7A33EE08-6806-4CD1-81B1-08344D14CE6A}" name="Column13908"/>
    <tableColumn id="13909" xr3:uid="{BFDCF179-CE92-47B5-9B88-AECD04D4DB45}" name="Column13909"/>
    <tableColumn id="13910" xr3:uid="{BAD35DA6-845E-40E9-BF0E-FB50038AA2FD}" name="Column13910"/>
    <tableColumn id="13911" xr3:uid="{EEBAE31B-4576-4429-8317-053CEEB5A083}" name="Column13911"/>
    <tableColumn id="13912" xr3:uid="{E41B9AB9-E153-46A3-9733-C62552D818A0}" name="Column13912"/>
    <tableColumn id="13913" xr3:uid="{5BE71CE2-C00D-42E1-8651-3A9373AD453B}" name="Column13913"/>
    <tableColumn id="13914" xr3:uid="{AC2827F9-D1CE-4E18-A476-8E5CC777A35F}" name="Column13914"/>
    <tableColumn id="13915" xr3:uid="{2608BA92-D19F-426E-97BA-DA15B2AA89DC}" name="Column13915"/>
    <tableColumn id="13916" xr3:uid="{4F8E39A7-E62D-4268-832B-1D2D77D5F884}" name="Column13916"/>
    <tableColumn id="13917" xr3:uid="{D10E4EA4-DDB3-44C9-9A0D-9495293AE115}" name="Column13917"/>
    <tableColumn id="13918" xr3:uid="{AF646890-AC09-4466-9613-2543AF70BEB7}" name="Column13918"/>
    <tableColumn id="13919" xr3:uid="{00110023-88FC-4221-BFF6-B15E694EFDCB}" name="Column13919"/>
    <tableColumn id="13920" xr3:uid="{049E8350-1E3A-409D-9B4C-F504DCA0EDD4}" name="Column13920"/>
    <tableColumn id="13921" xr3:uid="{B403800F-077F-468A-A930-9F2B0CEE6FC2}" name="Column13921"/>
    <tableColumn id="13922" xr3:uid="{CF2CD356-A145-49AC-B096-1B82FC63CCAC}" name="Column13922"/>
    <tableColumn id="13923" xr3:uid="{5A46BFDC-6FE3-4FC5-B415-AD4392270671}" name="Column13923"/>
    <tableColumn id="13924" xr3:uid="{B1BD6F43-85EA-4808-93DB-4BEABD47664F}" name="Column13924"/>
    <tableColumn id="13925" xr3:uid="{DDE9FB0E-F901-4ADC-83EF-E509136B26F3}" name="Column13925"/>
    <tableColumn id="13926" xr3:uid="{306D9051-97A2-4DA7-BEAC-426C92DEE745}" name="Column13926"/>
    <tableColumn id="13927" xr3:uid="{84F248D2-402D-4EEE-98B9-90B0A6CBB465}" name="Column13927"/>
    <tableColumn id="13928" xr3:uid="{E7318662-87C8-4966-A3BC-7BBD2EEB687E}" name="Column13928"/>
    <tableColumn id="13929" xr3:uid="{3EC475A6-72AE-4863-9243-8E3825071FA9}" name="Column13929"/>
    <tableColumn id="13930" xr3:uid="{654397F2-1000-47B0-866B-3B67E2786B67}" name="Column13930"/>
    <tableColumn id="13931" xr3:uid="{3C10BA0D-FF12-44A2-B683-BAD10D714753}" name="Column13931"/>
    <tableColumn id="13932" xr3:uid="{EA79D9F4-742E-420C-9A16-79484D49850B}" name="Column13932"/>
    <tableColumn id="13933" xr3:uid="{2C25075F-4DDB-469B-B7B6-EDE832F51792}" name="Column13933"/>
    <tableColumn id="13934" xr3:uid="{FD276C0A-0538-4F7E-A710-87466F7513A8}" name="Column13934"/>
    <tableColumn id="13935" xr3:uid="{C27C0A9A-E70F-49A0-BBFB-2580FFC5EF5F}" name="Column13935"/>
    <tableColumn id="13936" xr3:uid="{6F4DCF55-0347-4BC3-92FE-A9490B48153D}" name="Column13936"/>
    <tableColumn id="13937" xr3:uid="{8A58F244-B22B-41EA-8CF1-729B5B304240}" name="Column13937"/>
    <tableColumn id="13938" xr3:uid="{B41A42A9-B346-4099-8D67-F258F80CD1F4}" name="Column13938"/>
    <tableColumn id="13939" xr3:uid="{9D5DA834-FD33-4642-90FE-4BDB3A9B0611}" name="Column13939"/>
    <tableColumn id="13940" xr3:uid="{49187AD9-FC8C-4832-ADBB-F3D1C0EB936C}" name="Column13940"/>
    <tableColumn id="13941" xr3:uid="{6E8853FE-2259-4264-8977-BF0BD3D00575}" name="Column13941"/>
    <tableColumn id="13942" xr3:uid="{8F8A80EA-6AA6-44CD-A293-1A4A7F3442A5}" name="Column13942"/>
    <tableColumn id="13943" xr3:uid="{02ABFF9B-E34F-4EE1-B4FE-3A3200F2E92D}" name="Column13943"/>
    <tableColumn id="13944" xr3:uid="{4425C478-57EA-4837-BF4A-A234EA70E240}" name="Column13944"/>
    <tableColumn id="13945" xr3:uid="{419139A9-530F-4C35-8491-E0959C435B12}" name="Column13945"/>
    <tableColumn id="13946" xr3:uid="{B06297AB-2240-405B-9549-C67423DC8813}" name="Column13946"/>
    <tableColumn id="13947" xr3:uid="{20BEB9AD-7506-4220-BA40-834B13E21329}" name="Column13947"/>
    <tableColumn id="13948" xr3:uid="{0009C6F1-D27C-4D8A-B52E-9EE06B74AD7C}" name="Column13948"/>
    <tableColumn id="13949" xr3:uid="{F22E5684-3ED3-4001-9C60-6B9737121F6D}" name="Column13949"/>
    <tableColumn id="13950" xr3:uid="{CB92B0A8-D1EC-4605-AF52-21C786CEBB37}" name="Column13950"/>
    <tableColumn id="13951" xr3:uid="{128EE404-AB8C-4862-ACAE-FE22FBB82827}" name="Column13951"/>
    <tableColumn id="13952" xr3:uid="{EEC675D2-90C8-4A24-97AB-5D4E6B8FA06B}" name="Column13952"/>
    <tableColumn id="13953" xr3:uid="{03041FAC-1CEE-48B4-81FC-E1F972821E8A}" name="Column13953"/>
    <tableColumn id="13954" xr3:uid="{6574D950-1017-4559-BE73-EA88990FE0D3}" name="Column13954"/>
    <tableColumn id="13955" xr3:uid="{73B58F34-8154-40EE-AEFD-8F5F14DC12FA}" name="Column13955"/>
    <tableColumn id="13956" xr3:uid="{31D8671E-A51B-4521-8315-AF7924B2011E}" name="Column13956"/>
    <tableColumn id="13957" xr3:uid="{009B1EEA-92E4-456B-8909-350E73F85B89}" name="Column13957"/>
    <tableColumn id="13958" xr3:uid="{D31B9E0E-B8B2-4B04-B215-2BD6B11182EA}" name="Column13958"/>
    <tableColumn id="13959" xr3:uid="{ADAFAE71-7734-4019-8C13-47D8862D8A2A}" name="Column13959"/>
    <tableColumn id="13960" xr3:uid="{AB18C2DF-810E-49B7-B205-DB4E68F18093}" name="Column13960"/>
    <tableColumn id="13961" xr3:uid="{7269B816-0D2A-467B-8958-4F916A651E1B}" name="Column13961"/>
    <tableColumn id="13962" xr3:uid="{CC38B858-D19B-4BD4-AA56-1A7B7AFC474C}" name="Column13962"/>
    <tableColumn id="13963" xr3:uid="{874B914D-724B-43DA-A65D-FE5430DB9C23}" name="Column13963"/>
    <tableColumn id="13964" xr3:uid="{B27AA308-AD44-4C10-BC47-3B05436EC71D}" name="Column13964"/>
    <tableColumn id="13965" xr3:uid="{B0B0BD13-147E-47D7-AD56-C15A71AF8381}" name="Column13965"/>
    <tableColumn id="13966" xr3:uid="{53802DEE-35AE-446B-828D-3B4F55B5A217}" name="Column13966"/>
    <tableColumn id="13967" xr3:uid="{D1233457-35BE-4158-9EDE-09CE2E43B243}" name="Column13967"/>
    <tableColumn id="13968" xr3:uid="{F346A428-75E8-4753-8BD3-C2615DB83370}" name="Column13968"/>
    <tableColumn id="13969" xr3:uid="{6561A027-D120-4217-8201-16AE0AC61CC0}" name="Column13969"/>
    <tableColumn id="13970" xr3:uid="{9B03AFF3-C9EC-41E6-8CFF-79EF555FEEEB}" name="Column13970"/>
    <tableColumn id="13971" xr3:uid="{1998EA13-D0C0-4975-AAEB-FC698BB29613}" name="Column13971"/>
    <tableColumn id="13972" xr3:uid="{28D7DCAB-DD3B-41E9-9474-655C119552A0}" name="Column13972"/>
    <tableColumn id="13973" xr3:uid="{9D76DE8B-FCB1-48E5-97C7-D83812B93AB7}" name="Column13973"/>
    <tableColumn id="13974" xr3:uid="{7EE5AD6D-FFD0-423D-AB34-77F86AA1B2D9}" name="Column13974"/>
    <tableColumn id="13975" xr3:uid="{5C60138C-F04D-4442-A64A-35BD4E0A9118}" name="Column13975"/>
    <tableColumn id="13976" xr3:uid="{0E3077E6-4C54-4290-BD09-5BF799309AF5}" name="Column13976"/>
    <tableColumn id="13977" xr3:uid="{CE2CFE38-FBE9-42C4-B1FD-38D3966C0436}" name="Column13977"/>
    <tableColumn id="13978" xr3:uid="{41555A39-FE7C-4FEF-9B13-A787DB0CDD75}" name="Column13978"/>
    <tableColumn id="13979" xr3:uid="{8853721D-8CE8-45A2-8E9E-F7A4A607171C}" name="Column13979"/>
    <tableColumn id="13980" xr3:uid="{A2D2B5A7-389B-4739-AA96-C78FA40D0A61}" name="Column13980"/>
    <tableColumn id="13981" xr3:uid="{D37031FD-FCBC-40E8-A8E9-E5B1FD83FF94}" name="Column13981"/>
    <tableColumn id="13982" xr3:uid="{C9D2D7A0-540C-460D-A067-7463B76FD6E6}" name="Column13982"/>
    <tableColumn id="13983" xr3:uid="{44C7833C-1EDD-454B-89C9-67BC65337443}" name="Column13983"/>
    <tableColumn id="13984" xr3:uid="{42E21BD7-7A39-4DF7-A7AE-4B9E87393D27}" name="Column13984"/>
    <tableColumn id="13985" xr3:uid="{6E18C23A-A588-40A1-9B60-F53B7E60461B}" name="Column13985"/>
    <tableColumn id="13986" xr3:uid="{69B1449E-1DB2-431E-9F45-A4D4A9CE7876}" name="Column13986"/>
    <tableColumn id="13987" xr3:uid="{998ACB0E-04C7-4D88-B67F-1F679B8BEFBF}" name="Column13987"/>
    <tableColumn id="13988" xr3:uid="{6F0C45B0-D880-4B40-84F1-CD0F1254557A}" name="Column13988"/>
    <tableColumn id="13989" xr3:uid="{23EEED78-7D44-4BCA-A93B-FE3B51DF694B}" name="Column13989"/>
    <tableColumn id="13990" xr3:uid="{0FCD4F81-833D-40CA-B1FC-A2FC1D9215A0}" name="Column13990"/>
    <tableColumn id="13991" xr3:uid="{8C194CA1-F186-41C5-A2F3-4CBCDC46EBFF}" name="Column13991"/>
    <tableColumn id="13992" xr3:uid="{DD0781C2-4EFD-43B8-A244-4A3AA3732697}" name="Column13992"/>
    <tableColumn id="13993" xr3:uid="{3A46FCB9-CFD1-4888-BEA7-243B307C29F6}" name="Column13993"/>
    <tableColumn id="13994" xr3:uid="{958DCD3E-3901-4556-9A20-172AB573794A}" name="Column13994"/>
    <tableColumn id="13995" xr3:uid="{973F1198-A9E4-45F6-A184-A0D780892EE6}" name="Column13995"/>
    <tableColumn id="13996" xr3:uid="{63487EC0-4832-4406-AB52-B8B650F04FA8}" name="Column13996"/>
    <tableColumn id="13997" xr3:uid="{03674257-FAE7-4706-90C5-B4B46397FE31}" name="Column13997"/>
    <tableColumn id="13998" xr3:uid="{0F33C7B6-B41D-41F1-B023-3124445CB69F}" name="Column13998"/>
    <tableColumn id="13999" xr3:uid="{62170D90-D78E-44D0-A704-E60F69C379B7}" name="Column13999"/>
    <tableColumn id="14000" xr3:uid="{6CBAB6E4-DB81-48F7-B199-9C3FE59164EC}" name="Column14000"/>
    <tableColumn id="14001" xr3:uid="{13E3905D-4839-45FF-80F3-9769E3FA056D}" name="Column14001"/>
    <tableColumn id="14002" xr3:uid="{A4894041-E3CC-472D-8480-8AC7249F8C65}" name="Column14002"/>
    <tableColumn id="14003" xr3:uid="{C8F81650-7965-440E-B629-D9437E54146E}" name="Column14003"/>
    <tableColumn id="14004" xr3:uid="{DF36BDAF-9604-419E-A35A-B35D4C856D58}" name="Column14004"/>
    <tableColumn id="14005" xr3:uid="{CBE792E1-F7FC-450F-B99D-BD69F755024F}" name="Column14005"/>
    <tableColumn id="14006" xr3:uid="{F66CEDE9-6447-406F-AA89-53E3FD8E3D3F}" name="Column14006"/>
    <tableColumn id="14007" xr3:uid="{03D91395-770D-4E37-B231-543C586BB014}" name="Column14007"/>
    <tableColumn id="14008" xr3:uid="{F45C1D20-A442-44C0-9C5F-341B1A3EBA94}" name="Column14008"/>
    <tableColumn id="14009" xr3:uid="{0B6F794D-666E-4B62-B0AD-3A8211FD983B}" name="Column14009"/>
    <tableColumn id="14010" xr3:uid="{715558EE-F8AA-4D6F-B34D-74C2145B4C2E}" name="Column14010"/>
    <tableColumn id="14011" xr3:uid="{F08ED407-3A3B-4801-A563-12C3E6853A5E}" name="Column14011"/>
    <tableColumn id="14012" xr3:uid="{E2120F08-2A1F-4EED-8F36-DD5DF5DD436E}" name="Column14012"/>
    <tableColumn id="14013" xr3:uid="{E17CEA53-D723-440A-ADAC-C52A7438228E}" name="Column14013"/>
    <tableColumn id="14014" xr3:uid="{88F7DFEB-2E91-4FD2-805D-250682743405}" name="Column14014"/>
    <tableColumn id="14015" xr3:uid="{0E0470EC-8648-433A-89A3-8298E06EAA98}" name="Column14015"/>
    <tableColumn id="14016" xr3:uid="{D099311C-950C-42B5-9D8D-D5D3B2E27C3F}" name="Column14016"/>
    <tableColumn id="14017" xr3:uid="{4947CEF2-A77B-4A0F-9E72-AAFE345F1ACB}" name="Column14017"/>
    <tableColumn id="14018" xr3:uid="{958E7027-641C-4463-BD9D-9FEBC779785F}" name="Column14018"/>
    <tableColumn id="14019" xr3:uid="{9DEB38DF-9312-4A07-AB9A-B5477BCFD7D9}" name="Column14019"/>
    <tableColumn id="14020" xr3:uid="{8EBEB9B5-DC97-4FD6-B6FD-28EB35E46BA2}" name="Column14020"/>
    <tableColumn id="14021" xr3:uid="{6F47434C-BCAC-41F2-A37C-1B58926DAC6B}" name="Column14021"/>
    <tableColumn id="14022" xr3:uid="{BA95C77B-1D01-4EF6-BDE8-F1A280BED279}" name="Column14022"/>
    <tableColumn id="14023" xr3:uid="{41C6D99D-6E69-4467-981F-3B1C976DC57A}" name="Column14023"/>
    <tableColumn id="14024" xr3:uid="{B8E9EE16-41B3-4233-878E-412C7770F57C}" name="Column14024"/>
    <tableColumn id="14025" xr3:uid="{B09AD9A3-E67F-4B88-AB8F-99EC36225887}" name="Column14025"/>
    <tableColumn id="14026" xr3:uid="{9145FD20-0EA4-4A21-8408-59497E79928B}" name="Column14026"/>
    <tableColumn id="14027" xr3:uid="{70AEB593-DEA0-42A0-9850-8C08205AC6D8}" name="Column14027"/>
    <tableColumn id="14028" xr3:uid="{5A6AA59A-C15A-48AF-92AB-A3C9D0156491}" name="Column14028"/>
    <tableColumn id="14029" xr3:uid="{8B4AB77D-E2E5-4EF9-A9DE-C309ECD11F86}" name="Column14029"/>
    <tableColumn id="14030" xr3:uid="{15FD7249-D593-4E95-9D10-7D3132AEB49B}" name="Column14030"/>
    <tableColumn id="14031" xr3:uid="{F38844F9-64B1-4205-94EE-48D91EC71FCE}" name="Column14031"/>
    <tableColumn id="14032" xr3:uid="{5A5D0DEE-7406-4A9F-8449-ED80A845B9BF}" name="Column14032"/>
    <tableColumn id="14033" xr3:uid="{32C53847-2AA0-4F8E-B986-83AD97BFFFDD}" name="Column14033"/>
    <tableColumn id="14034" xr3:uid="{E3656D90-5DF6-4781-84E2-4548C5838CE1}" name="Column14034"/>
    <tableColumn id="14035" xr3:uid="{A35B6980-1CE5-4AF9-8FDA-1C8D22E19447}" name="Column14035"/>
    <tableColumn id="14036" xr3:uid="{5FC17AC4-1266-4961-AFDF-76A091F2B9B0}" name="Column14036"/>
    <tableColumn id="14037" xr3:uid="{AD634E8C-0909-42B7-A7E3-4C32FC020B14}" name="Column14037"/>
    <tableColumn id="14038" xr3:uid="{21E232CA-6CDA-4A44-87ED-A20C72F6E07F}" name="Column14038"/>
    <tableColumn id="14039" xr3:uid="{74242682-6A5B-4A01-92EB-741050CDAE4A}" name="Column14039"/>
    <tableColumn id="14040" xr3:uid="{8AE7E0B0-56A8-4DAD-87BF-E294A749DD54}" name="Column14040"/>
    <tableColumn id="14041" xr3:uid="{B220B625-C62A-4A44-9891-2F36732185BB}" name="Column14041"/>
    <tableColumn id="14042" xr3:uid="{E6F5E603-01E2-42CF-A5E8-03857FCC673D}" name="Column14042"/>
    <tableColumn id="14043" xr3:uid="{4E8D951F-BDC5-475C-84B0-A7479ADE5252}" name="Column14043"/>
    <tableColumn id="14044" xr3:uid="{C919DFAA-6BF0-4FB5-8CB5-BEBE8EAF5298}" name="Column14044"/>
    <tableColumn id="14045" xr3:uid="{3D48D1A9-D688-49AB-89B5-BAF5B72268E8}" name="Column14045"/>
    <tableColumn id="14046" xr3:uid="{F905F06D-98C2-4A46-A7EB-96D518B18910}" name="Column14046"/>
    <tableColumn id="14047" xr3:uid="{46A59AB6-5F79-4CCA-9FCF-1A9A8A6D2298}" name="Column14047"/>
    <tableColumn id="14048" xr3:uid="{E0768283-AA24-471D-8481-0976E478AD42}" name="Column14048"/>
    <tableColumn id="14049" xr3:uid="{0DF3ECF9-8B9E-4322-B5B0-D6BBE3E5F5AE}" name="Column14049"/>
    <tableColumn id="14050" xr3:uid="{9BCEDD61-ACCD-4B50-9D1F-FE7AAD65AEFE}" name="Column14050"/>
    <tableColumn id="14051" xr3:uid="{09DE8EFF-D1D6-4C8E-AFC1-B6C5A74820B4}" name="Column14051"/>
    <tableColumn id="14052" xr3:uid="{07124337-FF78-4800-A31F-A68871B56A59}" name="Column14052"/>
    <tableColumn id="14053" xr3:uid="{702B3A33-0633-4592-9F40-A52CAE7E1986}" name="Column14053"/>
    <tableColumn id="14054" xr3:uid="{D2598DB2-CD37-4FC6-B512-797F4DE709AF}" name="Column14054"/>
    <tableColumn id="14055" xr3:uid="{4F7B750E-53B7-4E9D-A0EF-6D74A237F6E3}" name="Column14055"/>
    <tableColumn id="14056" xr3:uid="{48CDC333-600D-4F10-9824-CAF242EEA3FD}" name="Column14056"/>
    <tableColumn id="14057" xr3:uid="{2BB3695E-16CD-42C7-8241-64D21D2D1AE4}" name="Column14057"/>
    <tableColumn id="14058" xr3:uid="{E97A5236-E9FC-4AEA-BE57-26A2F7A4DEC9}" name="Column14058"/>
    <tableColumn id="14059" xr3:uid="{4AF6AEB4-967E-4EF5-B8E8-994E6748DD36}" name="Column14059"/>
    <tableColumn id="14060" xr3:uid="{76DAEEA7-0091-41CB-9941-7A752F9262A1}" name="Column14060"/>
    <tableColumn id="14061" xr3:uid="{95DA64A5-40C4-4799-BACA-440889B2E373}" name="Column14061"/>
    <tableColumn id="14062" xr3:uid="{C1366BC2-F925-49D7-8FCC-1F96519D1B2E}" name="Column14062"/>
    <tableColumn id="14063" xr3:uid="{31481A74-1449-4BC3-BC32-9AA178BF7BC6}" name="Column14063"/>
    <tableColumn id="14064" xr3:uid="{31F30FCD-D228-47A0-9ADE-33C4B3A83827}" name="Column14064"/>
    <tableColumn id="14065" xr3:uid="{B5E11F2D-01BE-4F5A-AB7D-E394E7A7D2F0}" name="Column14065"/>
    <tableColumn id="14066" xr3:uid="{CCCF0442-61E0-4C24-9F93-5124D7D82F0A}" name="Column14066"/>
    <tableColumn id="14067" xr3:uid="{049AF647-D86E-4F5A-8AD2-61A276879D3F}" name="Column14067"/>
    <tableColumn id="14068" xr3:uid="{958BFC4F-64AA-42F5-9293-53595F65895F}" name="Column14068"/>
    <tableColumn id="14069" xr3:uid="{52C5CDD6-31D5-40F8-AF8E-65E4F3FBB7C2}" name="Column14069"/>
    <tableColumn id="14070" xr3:uid="{C8930928-EAAD-429F-AEE5-68BB9B068988}" name="Column14070"/>
    <tableColumn id="14071" xr3:uid="{B8562DE9-32A1-4898-85DB-749A1039B64B}" name="Column14071"/>
    <tableColumn id="14072" xr3:uid="{931A5CD0-00AF-4328-A3A4-CE570705D2C0}" name="Column14072"/>
    <tableColumn id="14073" xr3:uid="{A2F1B015-3DFC-44C1-BD5D-E9275EFFE154}" name="Column14073"/>
    <tableColumn id="14074" xr3:uid="{B079DB2D-5665-4781-B95F-E926B845A42B}" name="Column14074"/>
    <tableColumn id="14075" xr3:uid="{1C96B207-B3B1-4E36-8877-13B6C3A803ED}" name="Column14075"/>
    <tableColumn id="14076" xr3:uid="{09E0C637-3629-4509-B561-A9F63BFD0CD9}" name="Column14076"/>
    <tableColumn id="14077" xr3:uid="{B41BAEA7-DC03-4A76-A359-CA0A2D73C10A}" name="Column14077"/>
    <tableColumn id="14078" xr3:uid="{F4A281E8-EF5A-4EE7-85BD-A6AE720211B2}" name="Column14078"/>
    <tableColumn id="14079" xr3:uid="{A9408D83-F0F3-4BDE-938C-4F0F4178D473}" name="Column14079"/>
    <tableColumn id="14080" xr3:uid="{C3C9E730-BFB4-492E-9C7B-DD5E1AAF3B7C}" name="Column14080"/>
    <tableColumn id="14081" xr3:uid="{B37A9AAE-B286-4526-87CA-B3D3E35CD90F}" name="Column14081"/>
    <tableColumn id="14082" xr3:uid="{E70538CF-5668-4B1B-8A9F-8D585F2502A3}" name="Column14082"/>
    <tableColumn id="14083" xr3:uid="{060F6CA8-E82A-4E84-9547-BDA249DD5209}" name="Column14083"/>
    <tableColumn id="14084" xr3:uid="{3E3C1E12-EE25-423B-8C68-B1B74DF10E11}" name="Column14084"/>
    <tableColumn id="14085" xr3:uid="{5C9EC2C3-1267-4CF0-A023-575F78AD07FC}" name="Column14085"/>
    <tableColumn id="14086" xr3:uid="{FD2F0890-2350-49C8-B895-8D9B8DA856BE}" name="Column14086"/>
    <tableColumn id="14087" xr3:uid="{188A0297-A6FE-46D8-9469-67D48AA4A169}" name="Column14087"/>
    <tableColumn id="14088" xr3:uid="{5493F60C-DE34-4C72-92F3-126DFD6284A5}" name="Column14088"/>
    <tableColumn id="14089" xr3:uid="{70299087-2229-4DC2-B4F2-44183AA1F756}" name="Column14089"/>
    <tableColumn id="14090" xr3:uid="{E3E1E01C-566D-45D1-A2E7-38D69CEBDEFE}" name="Column14090"/>
    <tableColumn id="14091" xr3:uid="{0251AFF7-6E56-4DEE-84B4-9B1CA4F2FCA8}" name="Column14091"/>
    <tableColumn id="14092" xr3:uid="{1849CCB4-CE1F-456A-8834-A1F492960868}" name="Column14092"/>
    <tableColumn id="14093" xr3:uid="{3AA1448B-EFB0-47C0-A805-33BBA08151A2}" name="Column14093"/>
    <tableColumn id="14094" xr3:uid="{874ABA99-4E9C-4B61-9E2F-F68B4F662B13}" name="Column14094"/>
    <tableColumn id="14095" xr3:uid="{4B2B38D7-5D6E-447E-A5AB-02AAB81C5E02}" name="Column14095"/>
    <tableColumn id="14096" xr3:uid="{DDFA7AB2-0C3B-4A7F-B735-66FCCAFE960D}" name="Column14096"/>
    <tableColumn id="14097" xr3:uid="{235096E4-D88B-4EF7-9832-A3AB36DCB79B}" name="Column14097"/>
    <tableColumn id="14098" xr3:uid="{50CAB2F9-FCE3-4F90-9552-61C6F917A81F}" name="Column14098"/>
    <tableColumn id="14099" xr3:uid="{7D15C31B-FF2E-433E-8083-0ECDBBFF8E65}" name="Column14099"/>
    <tableColumn id="14100" xr3:uid="{9EF70E64-BBA9-4CC9-B39E-7643C09EDD96}" name="Column14100"/>
    <tableColumn id="14101" xr3:uid="{701906BB-869E-4E62-A42D-CD1FFF8A126A}" name="Column14101"/>
    <tableColumn id="14102" xr3:uid="{B3FDB402-1CBF-40B0-94D3-D89970F6077B}" name="Column14102"/>
    <tableColumn id="14103" xr3:uid="{E78BB168-240C-44E2-B7CE-8B4B37AC026E}" name="Column14103"/>
    <tableColumn id="14104" xr3:uid="{F035DDEC-2FD9-4566-ABC0-509DD7608663}" name="Column14104"/>
    <tableColumn id="14105" xr3:uid="{1F7A4114-B224-4FA0-861B-6936911DABD6}" name="Column14105"/>
    <tableColumn id="14106" xr3:uid="{1A0D40CF-C5EF-4E0C-A3A4-1F89C8843941}" name="Column14106"/>
    <tableColumn id="14107" xr3:uid="{DDE00DAA-25AD-436D-AAB3-42D8E5C3E50B}" name="Column14107"/>
    <tableColumn id="14108" xr3:uid="{809398AF-B379-4F2C-9912-D5BD2056F969}" name="Column14108"/>
    <tableColumn id="14109" xr3:uid="{0B5BEE3A-CB21-4900-9C4E-6DD87DE398A6}" name="Column14109"/>
    <tableColumn id="14110" xr3:uid="{04AA2F6E-2FD0-4627-A0A8-64157C035AD2}" name="Column14110"/>
    <tableColumn id="14111" xr3:uid="{F712D605-92E0-436E-ACC5-4EDDF8CCBC6E}" name="Column14111"/>
    <tableColumn id="14112" xr3:uid="{4C146A13-B752-49AD-AEA2-55A9EC5D441E}" name="Column14112"/>
    <tableColumn id="14113" xr3:uid="{2101D67C-D0D9-44CA-A6BF-C600D8A4ED88}" name="Column14113"/>
    <tableColumn id="14114" xr3:uid="{AE2D9281-2D90-48AE-A620-B9F00F2676D6}" name="Column14114"/>
    <tableColumn id="14115" xr3:uid="{E5C5D0C4-406F-4956-B1E1-3DF284DAC5C4}" name="Column14115"/>
    <tableColumn id="14116" xr3:uid="{63BE1ABA-4796-4D64-9981-8D35AB59AFEF}" name="Column14116"/>
    <tableColumn id="14117" xr3:uid="{6D058379-9E72-46F9-A6EF-DE07CE653753}" name="Column14117"/>
    <tableColumn id="14118" xr3:uid="{83ABC386-9181-4E2F-B0FF-6FF396E310B5}" name="Column14118"/>
    <tableColumn id="14119" xr3:uid="{1CEC3BB6-FC93-43FC-B53C-C8DB123DEA0D}" name="Column14119"/>
    <tableColumn id="14120" xr3:uid="{226D3423-0190-4575-8663-DE47C2019B44}" name="Column14120"/>
    <tableColumn id="14121" xr3:uid="{4CC8CDCC-1C30-46FA-BA7F-02805C498B77}" name="Column14121"/>
    <tableColumn id="14122" xr3:uid="{D8DA9796-654D-493A-8AF0-70A656D3AAEC}" name="Column14122"/>
    <tableColumn id="14123" xr3:uid="{A71A5F1B-D895-4557-A17F-D6255DBEA7BE}" name="Column14123"/>
    <tableColumn id="14124" xr3:uid="{7C034C47-2CCC-4050-BF74-42524EA91C05}" name="Column14124"/>
    <tableColumn id="14125" xr3:uid="{987CCC17-745C-4266-847B-F497FC0B3B4E}" name="Column14125"/>
    <tableColumn id="14126" xr3:uid="{55754A40-C781-40C7-BE7F-1A526EE34997}" name="Column14126"/>
    <tableColumn id="14127" xr3:uid="{6C8B188E-59C1-4D36-82C2-EE1070CD7DE7}" name="Column14127"/>
    <tableColumn id="14128" xr3:uid="{BB0EE4A8-D8DA-4FD6-9A3A-B31186D4BA0E}" name="Column14128"/>
    <tableColumn id="14129" xr3:uid="{F639D2BF-5F12-4812-A813-AA65390EDC18}" name="Column14129"/>
    <tableColumn id="14130" xr3:uid="{465AFB74-54C5-4857-A61D-AA6EF1C3D48D}" name="Column14130"/>
    <tableColumn id="14131" xr3:uid="{25C64AF7-B0E3-479B-B346-4CF2DB11E9CF}" name="Column14131"/>
    <tableColumn id="14132" xr3:uid="{46E50D4D-BC48-4A03-A519-ACA713686611}" name="Column14132"/>
    <tableColumn id="14133" xr3:uid="{86A53AC5-69CA-4EBB-84DC-4BCA8A45E7AA}" name="Column14133"/>
    <tableColumn id="14134" xr3:uid="{3150B0E8-67F4-4C7C-8300-0CE5FB06E31A}" name="Column14134"/>
    <tableColumn id="14135" xr3:uid="{51836053-6D9B-487C-A47D-2D3AA793CAB9}" name="Column14135"/>
    <tableColumn id="14136" xr3:uid="{45DA2325-3A75-4E3D-B33C-5030958B6FF5}" name="Column14136"/>
    <tableColumn id="14137" xr3:uid="{7DC08BC5-AE03-400D-A0F8-027BF28EDB27}" name="Column14137"/>
    <tableColumn id="14138" xr3:uid="{DD76FD68-7556-4060-8B7E-60E4E9EE26E0}" name="Column14138"/>
    <tableColumn id="14139" xr3:uid="{162960E5-AA2B-460B-8943-2240A5A97B67}" name="Column14139"/>
    <tableColumn id="14140" xr3:uid="{45AB9DE2-36FB-4996-87C5-FD2EFCD1CD08}" name="Column14140"/>
    <tableColumn id="14141" xr3:uid="{CD9F897B-25C3-4A69-AA85-D8D94DA75194}" name="Column14141"/>
    <tableColumn id="14142" xr3:uid="{2FB7BC04-B616-4D56-8734-46888C1D6450}" name="Column14142"/>
    <tableColumn id="14143" xr3:uid="{DE542B59-5E72-49D1-88A9-311CB3784587}" name="Column14143"/>
    <tableColumn id="14144" xr3:uid="{F9116FAA-1098-4916-8491-A92975C2ECE8}" name="Column14144"/>
    <tableColumn id="14145" xr3:uid="{31AD9D91-73CE-4BE1-86ED-FAA30E2A9BF9}" name="Column14145"/>
    <tableColumn id="14146" xr3:uid="{E514FCCF-33B3-4EE0-AA65-15B75602F2F9}" name="Column14146"/>
    <tableColumn id="14147" xr3:uid="{D275DF83-7B5E-433F-AAFD-B51BFF888C09}" name="Column14147"/>
    <tableColumn id="14148" xr3:uid="{0C2C54B3-145A-4170-9250-E310D8F70816}" name="Column14148"/>
    <tableColumn id="14149" xr3:uid="{31CFC07E-9DD2-4243-B7CD-65509A50AAC8}" name="Column14149"/>
    <tableColumn id="14150" xr3:uid="{36C1A0F1-1C58-4F47-9E70-3F017806AA9D}" name="Column14150"/>
    <tableColumn id="14151" xr3:uid="{B9D0D2D7-9DA1-4407-B202-675F6E8551A8}" name="Column14151"/>
    <tableColumn id="14152" xr3:uid="{27DA99EB-5DAB-463C-86AC-483E67F7E45C}" name="Column14152"/>
    <tableColumn id="14153" xr3:uid="{2CE1BB79-EBC6-43B3-BFE1-5FD57030A1EF}" name="Column14153"/>
    <tableColumn id="14154" xr3:uid="{24D911F9-7405-4DBE-9161-59B377DE33A7}" name="Column14154"/>
    <tableColumn id="14155" xr3:uid="{B61FA5D3-D613-43CA-A58F-C1CDEE8FBE99}" name="Column14155"/>
    <tableColumn id="14156" xr3:uid="{1320276B-8E76-418F-A442-114C5CED04EC}" name="Column14156"/>
    <tableColumn id="14157" xr3:uid="{FB78D305-0495-4A36-95B4-E4178CBE4BE0}" name="Column14157"/>
    <tableColumn id="14158" xr3:uid="{B5A02AF1-8E59-4EBA-AA89-D29817CF4F3E}" name="Column14158"/>
    <tableColumn id="14159" xr3:uid="{2432D566-024D-40CF-8433-922B58107654}" name="Column14159"/>
    <tableColumn id="14160" xr3:uid="{07E262D0-375B-48BB-8633-F67BF03618B6}" name="Column14160"/>
    <tableColumn id="14161" xr3:uid="{17926723-0F33-4E5C-BB65-87EBB63595DC}" name="Column14161"/>
    <tableColumn id="14162" xr3:uid="{F8B71669-5961-46ED-B4BE-2A94B28FE504}" name="Column14162"/>
    <tableColumn id="14163" xr3:uid="{23EB35C7-DAF0-4556-B293-8A3888D315DA}" name="Column14163"/>
    <tableColumn id="14164" xr3:uid="{598E49AF-1917-4350-A7F3-8E6142C9A998}" name="Column14164"/>
    <tableColumn id="14165" xr3:uid="{54857D3F-59B8-4F46-866A-6D3D70EB1863}" name="Column14165"/>
    <tableColumn id="14166" xr3:uid="{EBACF13C-2B1A-4652-9FB0-D8CDF81F64C8}" name="Column14166"/>
    <tableColumn id="14167" xr3:uid="{488D8C64-E99A-4C86-A457-AAFE6114315E}" name="Column14167"/>
    <tableColumn id="14168" xr3:uid="{B1751927-3602-4371-9E69-FE077F18CA95}" name="Column14168"/>
    <tableColumn id="14169" xr3:uid="{FAB31B28-67CF-4247-88FD-A7467E87D0C4}" name="Column14169"/>
    <tableColumn id="14170" xr3:uid="{ECB4CA05-6990-4F04-9171-6A6835A0F5E2}" name="Column14170"/>
    <tableColumn id="14171" xr3:uid="{CED325A3-EB19-49EB-B19E-3D4E869EC8B9}" name="Column14171"/>
    <tableColumn id="14172" xr3:uid="{499CA31F-3FB7-4A0A-B5C6-BBE668559D14}" name="Column14172"/>
    <tableColumn id="14173" xr3:uid="{8A6C11CF-8333-4A9D-BB94-3217FA1AC7C3}" name="Column14173"/>
    <tableColumn id="14174" xr3:uid="{51C7AAA4-3C86-4FA9-B103-2F4E4EB47749}" name="Column14174"/>
    <tableColumn id="14175" xr3:uid="{D0B87C6E-DAB3-4932-BAAA-2CBA8B9B345D}" name="Column14175"/>
    <tableColumn id="14176" xr3:uid="{EA9113E8-2F6B-47CB-974E-25E259471876}" name="Column14176"/>
    <tableColumn id="14177" xr3:uid="{10A261CE-F66C-4D32-987B-59305CB8F417}" name="Column14177"/>
    <tableColumn id="14178" xr3:uid="{95DE5645-F428-46DD-84EA-1DEB2068FEB4}" name="Column14178"/>
    <tableColumn id="14179" xr3:uid="{5DC4AEE0-413F-4D91-A089-F33E88DA6A17}" name="Column14179"/>
    <tableColumn id="14180" xr3:uid="{E33C10E5-EC7E-41B5-B747-4DB5E05A9B3E}" name="Column14180"/>
    <tableColumn id="14181" xr3:uid="{CCB45786-AB0D-46C6-86E6-BB7B1C1EC9BA}" name="Column14181"/>
    <tableColumn id="14182" xr3:uid="{6E51FD72-F43A-4D9E-BF20-2511ADF655EA}" name="Column14182"/>
    <tableColumn id="14183" xr3:uid="{91184CDF-A781-493B-BD50-CE0806B37A35}" name="Column14183"/>
    <tableColumn id="14184" xr3:uid="{0D09E93B-D5A5-4BC0-B6B3-E68ADBD36B34}" name="Column14184"/>
    <tableColumn id="14185" xr3:uid="{94C365A0-FBBF-4BA5-AF91-556EEC09D534}" name="Column14185"/>
    <tableColumn id="14186" xr3:uid="{7F1E71BE-03FE-4B51-A29B-7294FD981C63}" name="Column14186"/>
    <tableColumn id="14187" xr3:uid="{9FAFC7E5-E112-46A4-9F1B-02DE40D41403}" name="Column14187"/>
    <tableColumn id="14188" xr3:uid="{ED29E6FA-3391-45B8-866C-DABA456D4ECA}" name="Column14188"/>
    <tableColumn id="14189" xr3:uid="{A1650810-2BA5-43B9-8314-C0328C883911}" name="Column14189"/>
    <tableColumn id="14190" xr3:uid="{F166A4FD-9FE2-48DD-80A5-7D318FE19C49}" name="Column14190"/>
    <tableColumn id="14191" xr3:uid="{E7A6AB24-783F-43C0-9FF0-D3FDA0515EF0}" name="Column14191"/>
    <tableColumn id="14192" xr3:uid="{948513C4-EFFE-44AF-9EC5-79FF23A7715C}" name="Column14192"/>
    <tableColumn id="14193" xr3:uid="{73C4318B-A33B-41BD-8E9B-9F9C3689CDE6}" name="Column14193"/>
    <tableColumn id="14194" xr3:uid="{5CF0E0DB-C401-4D39-85D1-22CE51DA9790}" name="Column14194"/>
    <tableColumn id="14195" xr3:uid="{E98BB317-8052-4562-A27D-808461F5F3F9}" name="Column14195"/>
    <tableColumn id="14196" xr3:uid="{6FE12855-AF1D-4180-899D-C7CAA230A8F0}" name="Column14196"/>
    <tableColumn id="14197" xr3:uid="{267F3C34-3DFA-4DC8-91D9-193A2F6F9E96}" name="Column14197"/>
    <tableColumn id="14198" xr3:uid="{3FE001F8-301D-4E84-84F3-4CB4E43A0B3E}" name="Column14198"/>
    <tableColumn id="14199" xr3:uid="{6D7858C9-369C-4327-96D7-E934C2EE6429}" name="Column14199"/>
    <tableColumn id="14200" xr3:uid="{2E2E1976-F95B-4EAF-A5D1-02AE99EF1638}" name="Column14200"/>
    <tableColumn id="14201" xr3:uid="{E95B5429-7C4A-40C3-8C06-3C01E6046BB0}" name="Column14201"/>
    <tableColumn id="14202" xr3:uid="{24D29C9F-52E0-427C-B9D0-DD0B9DD78F71}" name="Column14202"/>
    <tableColumn id="14203" xr3:uid="{CDE3CD9D-9A99-4E9D-AD63-30D724AD0283}" name="Column14203"/>
    <tableColumn id="14204" xr3:uid="{8E2F7777-17CD-4346-ACD5-A38F246E43AA}" name="Column14204"/>
    <tableColumn id="14205" xr3:uid="{7BFDCEB0-4BC3-45CB-A6D1-41EF713E2316}" name="Column14205"/>
    <tableColumn id="14206" xr3:uid="{7FE3CB46-5AEB-4A80-8932-22520525CC89}" name="Column14206"/>
    <tableColumn id="14207" xr3:uid="{B9E0353A-3F61-4A3D-89AC-A58D8EB52C8D}" name="Column14207"/>
    <tableColumn id="14208" xr3:uid="{4E1ABE34-4A6D-40A1-AB35-1C323F55A862}" name="Column14208"/>
    <tableColumn id="14209" xr3:uid="{17FCE6A7-EFC8-43BC-B5DA-B227AB8F4AE8}" name="Column14209"/>
    <tableColumn id="14210" xr3:uid="{33CF1DFF-E739-4D1F-AD4B-E3D3BEE5FBCD}" name="Column14210"/>
    <tableColumn id="14211" xr3:uid="{A35EB471-FC4C-4623-A374-419C2E9B9E64}" name="Column14211"/>
    <tableColumn id="14212" xr3:uid="{313277D5-491D-41DE-9928-9941DFC1EE73}" name="Column14212"/>
    <tableColumn id="14213" xr3:uid="{CDF8EDA5-CA3D-4F76-9EE1-562D306306E4}" name="Column14213"/>
    <tableColumn id="14214" xr3:uid="{EB77E3B8-D85C-498F-ACB6-6B5EA4320067}" name="Column14214"/>
    <tableColumn id="14215" xr3:uid="{C1747DF7-1907-45E2-A198-071E40518922}" name="Column14215"/>
    <tableColumn id="14216" xr3:uid="{0E8F05EC-F481-4688-8700-4BD580872687}" name="Column14216"/>
    <tableColumn id="14217" xr3:uid="{32025127-3C63-4122-A22B-ECB5391764BD}" name="Column14217"/>
    <tableColumn id="14218" xr3:uid="{B8B45773-F271-41AB-A640-6AAFE391F3C4}" name="Column14218"/>
    <tableColumn id="14219" xr3:uid="{49E117AB-D1D1-4EBD-B546-48EF6940F806}" name="Column14219"/>
    <tableColumn id="14220" xr3:uid="{A4AEE641-9AA7-45CC-AB47-EC4EFC2F7A53}" name="Column14220"/>
    <tableColumn id="14221" xr3:uid="{5E4F9B68-87C1-4C6A-82E2-1B8412E91967}" name="Column14221"/>
    <tableColumn id="14222" xr3:uid="{6EED8064-78DE-4773-879A-A3F8C9E1CA4A}" name="Column14222"/>
    <tableColumn id="14223" xr3:uid="{839BEFED-2957-4E75-B74F-F6B6983A42E8}" name="Column14223"/>
    <tableColumn id="14224" xr3:uid="{8EC8F991-B523-4F9B-852D-6172A204D7C9}" name="Column14224"/>
    <tableColumn id="14225" xr3:uid="{55D2AF46-0ACC-4CB2-B9C1-E0F51538B81C}" name="Column14225"/>
    <tableColumn id="14226" xr3:uid="{6B35A139-0CAE-4689-8577-FE51B38CFCF8}" name="Column14226"/>
    <tableColumn id="14227" xr3:uid="{CA428148-1EDB-416F-94FF-38020F1AD055}" name="Column14227"/>
    <tableColumn id="14228" xr3:uid="{6EE5A48C-86BF-46EE-B100-EA7FD528A73B}" name="Column14228"/>
    <tableColumn id="14229" xr3:uid="{22A343F1-D595-480E-84E5-49F663958869}" name="Column14229"/>
    <tableColumn id="14230" xr3:uid="{52AF8C36-7DCF-43FE-84F5-61ACE6D54CF2}" name="Column14230"/>
    <tableColumn id="14231" xr3:uid="{F64AB978-2DE1-43A1-BA95-BF6C12CE2CCF}" name="Column14231"/>
    <tableColumn id="14232" xr3:uid="{09B2BFC2-C24F-4254-BB04-E83EB8B5EFCB}" name="Column14232"/>
    <tableColumn id="14233" xr3:uid="{AF8517BB-37B8-4C81-B626-05C7997F8C7F}" name="Column14233"/>
    <tableColumn id="14234" xr3:uid="{5880C863-7D11-4542-8553-F99CDB5B49EF}" name="Column14234"/>
    <tableColumn id="14235" xr3:uid="{8112D518-1DAB-4E20-9B34-C6FA4BBCEF41}" name="Column14235"/>
    <tableColumn id="14236" xr3:uid="{D777FE0A-89BB-40DF-8C75-88918AC9CCFF}" name="Column14236"/>
    <tableColumn id="14237" xr3:uid="{35F6115D-13C9-413B-8379-754E6D22ECE3}" name="Column14237"/>
    <tableColumn id="14238" xr3:uid="{C0B707F8-94ED-4752-9A2C-6360EB35753A}" name="Column14238"/>
    <tableColumn id="14239" xr3:uid="{3FDC80E3-66C1-4440-A05F-225D23D2FC8A}" name="Column14239"/>
    <tableColumn id="14240" xr3:uid="{21A07635-F766-4E9B-ACC4-E68FAFF9B1B0}" name="Column14240"/>
    <tableColumn id="14241" xr3:uid="{C5F4E34B-96E6-428E-A374-67DD7C74C55A}" name="Column14241"/>
    <tableColumn id="14242" xr3:uid="{40379ADF-F68D-425F-82B4-ABE9392AC09D}" name="Column14242"/>
    <tableColumn id="14243" xr3:uid="{4CEB4D5E-3560-4C5D-81BF-6DE1170C969D}" name="Column14243"/>
    <tableColumn id="14244" xr3:uid="{93747A01-A74A-45B4-A149-86C641801443}" name="Column14244"/>
    <tableColumn id="14245" xr3:uid="{F6C41B36-C495-4EF3-B80D-DFC2B3265F29}" name="Column14245"/>
    <tableColumn id="14246" xr3:uid="{A62A45E9-207E-46E1-B0BD-7FCD7D7E2708}" name="Column14246"/>
    <tableColumn id="14247" xr3:uid="{11EC384E-2863-4A46-98CC-85E9E33BE2C7}" name="Column14247"/>
    <tableColumn id="14248" xr3:uid="{C6923139-1FCE-4B7A-9138-4AEBBCE40798}" name="Column14248"/>
    <tableColumn id="14249" xr3:uid="{C84EB738-AFA5-46E4-8EFA-A076DDF2F78B}" name="Column14249"/>
    <tableColumn id="14250" xr3:uid="{4BBA61DB-31C2-4B9E-8275-53491A708009}" name="Column14250"/>
    <tableColumn id="14251" xr3:uid="{38D36567-574D-47EE-8164-27E1E17D1C2E}" name="Column14251"/>
    <tableColumn id="14252" xr3:uid="{62EE54BD-1B74-491D-BBF5-D02DF0C06776}" name="Column14252"/>
    <tableColumn id="14253" xr3:uid="{DDE52A49-4E41-42E0-8612-B0ECA50894C1}" name="Column14253"/>
    <tableColumn id="14254" xr3:uid="{36CF9EC3-3F87-40D7-B977-4045AD6B3A9C}" name="Column14254"/>
    <tableColumn id="14255" xr3:uid="{5AC5C325-42A0-45DB-8C8B-FAA14413FCA4}" name="Column14255"/>
    <tableColumn id="14256" xr3:uid="{EB240ECE-BC73-45DA-BA1A-DC6EBE6C41DC}" name="Column14256"/>
    <tableColumn id="14257" xr3:uid="{29AF02A4-FA74-478D-9EB7-3E1CD4001B78}" name="Column14257"/>
    <tableColumn id="14258" xr3:uid="{8B9E51AD-0783-49B2-8B50-5E24881A1DC1}" name="Column14258"/>
    <tableColumn id="14259" xr3:uid="{C69CD0AC-CDEA-4B49-AC90-2215A77520A2}" name="Column14259"/>
    <tableColumn id="14260" xr3:uid="{79227B6A-2BB6-4748-A718-1824BEE88F2F}" name="Column14260"/>
    <tableColumn id="14261" xr3:uid="{A7BD6F21-A9DD-4E4D-8B13-DA63963DF02C}" name="Column14261"/>
    <tableColumn id="14262" xr3:uid="{C1106754-DDDA-4F11-964D-520A50B9FCE8}" name="Column14262"/>
    <tableColumn id="14263" xr3:uid="{87FBED18-3F9A-434B-B112-69077B1A1659}" name="Column14263"/>
    <tableColumn id="14264" xr3:uid="{F351C578-58ED-4C19-B3F4-42176FEC20F5}" name="Column14264"/>
    <tableColumn id="14265" xr3:uid="{4E60627D-71D3-4A6C-8C48-8651645174A8}" name="Column14265"/>
    <tableColumn id="14266" xr3:uid="{BDFB0AF1-5343-4C75-8583-4456BADE7DD0}" name="Column14266"/>
    <tableColumn id="14267" xr3:uid="{05984C3D-4413-47EF-AEB9-1012CFEBC3D1}" name="Column14267"/>
    <tableColumn id="14268" xr3:uid="{6E6843B9-53E2-425E-934E-44ABA82801CF}" name="Column14268"/>
    <tableColumn id="14269" xr3:uid="{46872EBD-2C95-4F10-B097-AE576EDB753F}" name="Column14269"/>
    <tableColumn id="14270" xr3:uid="{5446C91E-9123-4CC1-AE6E-833D08220AB9}" name="Column14270"/>
    <tableColumn id="14271" xr3:uid="{B02EC9C2-FFF3-4B13-AA57-5F04E1A76574}" name="Column14271"/>
    <tableColumn id="14272" xr3:uid="{340AA6C0-A7FF-44C7-BE4B-E6149E3AD494}" name="Column14272"/>
    <tableColumn id="14273" xr3:uid="{77B4EC65-4562-4F20-9E57-04416B690AFC}" name="Column14273"/>
    <tableColumn id="14274" xr3:uid="{1142BC09-4830-432D-A33C-48C3013AC75F}" name="Column14274"/>
    <tableColumn id="14275" xr3:uid="{745B5532-C556-4594-8B4A-53A1749239D5}" name="Column14275"/>
    <tableColumn id="14276" xr3:uid="{EC7A979F-74A5-4A8F-81C0-1883EC56AB82}" name="Column14276"/>
    <tableColumn id="14277" xr3:uid="{BD8C880D-ADB7-4D68-AB15-5B0E36CCCB61}" name="Column14277"/>
    <tableColumn id="14278" xr3:uid="{C02B2086-44B2-4FD2-8D6C-80FA5055D80E}" name="Column14278"/>
    <tableColumn id="14279" xr3:uid="{6D30F5D8-AE10-4F25-974C-B493F290D876}" name="Column14279"/>
    <tableColumn id="14280" xr3:uid="{0CDED6BD-4155-4994-A4E9-84FA4641713B}" name="Column14280"/>
    <tableColumn id="14281" xr3:uid="{0FF8267D-F26B-4ED8-9918-9F17DAEB7561}" name="Column14281"/>
    <tableColumn id="14282" xr3:uid="{643587BA-8A57-48D4-BE60-3285C1411670}" name="Column14282"/>
    <tableColumn id="14283" xr3:uid="{C45A63A0-0298-4C7B-8BEE-A27DD6624673}" name="Column14283"/>
    <tableColumn id="14284" xr3:uid="{7F9204A3-149A-4257-AEFF-6BBB9CFF5161}" name="Column14284"/>
    <tableColumn id="14285" xr3:uid="{CEB338DB-9195-4BF1-8DD4-03CE0731ADF2}" name="Column14285"/>
    <tableColumn id="14286" xr3:uid="{53C76890-3135-4F35-A873-63471A8287E4}" name="Column14286"/>
    <tableColumn id="14287" xr3:uid="{7F5D830B-3419-4773-96D2-AEA8DE2163E2}" name="Column14287"/>
    <tableColumn id="14288" xr3:uid="{A87C0CE6-CC4C-4359-820E-0C337CFE0DBF}" name="Column14288"/>
    <tableColumn id="14289" xr3:uid="{C01182BD-819E-4185-BB86-34153B611338}" name="Column14289"/>
    <tableColumn id="14290" xr3:uid="{81EBB8C6-8A14-47A4-8364-737AEEE4861F}" name="Column14290"/>
    <tableColumn id="14291" xr3:uid="{1712DC8B-E407-466B-924D-B2C3123C21A3}" name="Column14291"/>
    <tableColumn id="14292" xr3:uid="{341A9E4C-09B5-4B99-9C71-A3B06F76BCE2}" name="Column14292"/>
    <tableColumn id="14293" xr3:uid="{7EA5D3A0-E3BC-4E47-91B6-5CC264AB6DD9}" name="Column14293"/>
    <tableColumn id="14294" xr3:uid="{38009B49-4A0B-4E39-BC71-34DFB330A866}" name="Column14294"/>
    <tableColumn id="14295" xr3:uid="{C7675530-256E-4E79-80B5-01DAA13F54DD}" name="Column14295"/>
    <tableColumn id="14296" xr3:uid="{7F859456-9EDA-4E9F-AA70-ABD41284655B}" name="Column14296"/>
    <tableColumn id="14297" xr3:uid="{0AF293C8-98D3-4C6E-98AF-4F7D1759CCD3}" name="Column14297"/>
    <tableColumn id="14298" xr3:uid="{51B8DB53-D7FA-4287-8C26-45D4E58366F7}" name="Column14298"/>
    <tableColumn id="14299" xr3:uid="{62134350-B411-4F63-B687-77A8BC7BA091}" name="Column14299"/>
    <tableColumn id="14300" xr3:uid="{D0008E10-958A-476C-BAB3-4641C5B6C867}" name="Column14300"/>
    <tableColumn id="14301" xr3:uid="{11DEAD56-DCAE-413B-ADAE-0FD2E7033D3E}" name="Column14301"/>
    <tableColumn id="14302" xr3:uid="{8AFD65DB-B677-4A11-96D1-A1A4CC29AB07}" name="Column14302"/>
    <tableColumn id="14303" xr3:uid="{CC44CFB4-E2DA-4F98-A0D3-87714FAA6A9A}" name="Column14303"/>
    <tableColumn id="14304" xr3:uid="{1B4FB867-72C2-4AAC-964A-F3122E0A755B}" name="Column14304"/>
    <tableColumn id="14305" xr3:uid="{974CE77D-70C5-4B74-B4E8-439A6B7AC6A4}" name="Column14305"/>
    <tableColumn id="14306" xr3:uid="{A9CCC0F4-BC3C-41D8-AB66-1DD6933BCFDA}" name="Column14306"/>
    <tableColumn id="14307" xr3:uid="{6280E07A-EAC7-4613-A05B-ADB105D3C0B4}" name="Column14307"/>
    <tableColumn id="14308" xr3:uid="{F734C6A9-318B-4D19-BF58-5E056C4E3E99}" name="Column14308"/>
    <tableColumn id="14309" xr3:uid="{628E1CD9-8277-429D-9581-076396BC83EA}" name="Column14309"/>
    <tableColumn id="14310" xr3:uid="{E5018927-16F3-4026-9033-C111A4A62441}" name="Column14310"/>
    <tableColumn id="14311" xr3:uid="{1E385598-9E63-418F-87D1-C4E1606B7EC6}" name="Column14311"/>
    <tableColumn id="14312" xr3:uid="{72846D80-BC1F-4502-8521-25742C247326}" name="Column14312"/>
    <tableColumn id="14313" xr3:uid="{63240A18-A2F5-43D8-A893-C84683CB5A19}" name="Column14313"/>
    <tableColumn id="14314" xr3:uid="{ECEF40F1-E8CB-4133-BE75-AF9D27948E9A}" name="Column14314"/>
    <tableColumn id="14315" xr3:uid="{C3D0C68E-FE67-4D93-B526-F12406AB2FF5}" name="Column14315"/>
    <tableColumn id="14316" xr3:uid="{DE627534-18F8-4DEC-8C6E-9600251DEED9}" name="Column14316"/>
    <tableColumn id="14317" xr3:uid="{AF78B487-3C17-452C-A971-D2F692FD4FBD}" name="Column14317"/>
    <tableColumn id="14318" xr3:uid="{295D0AEA-75CA-4C41-9481-AF4C56E6F246}" name="Column14318"/>
    <tableColumn id="14319" xr3:uid="{6EBE3A23-F17B-4AAE-AF41-40DB3C9AABA9}" name="Column14319"/>
    <tableColumn id="14320" xr3:uid="{AAD12CF0-2197-46CA-8C09-D94281A6962B}" name="Column14320"/>
    <tableColumn id="14321" xr3:uid="{37BBAA2B-F2AA-4B00-AB82-F284494DBB67}" name="Column14321"/>
    <tableColumn id="14322" xr3:uid="{73335504-0AED-4603-BDE4-AA7ED0520640}" name="Column14322"/>
    <tableColumn id="14323" xr3:uid="{23FF81B0-3B39-4845-AEF2-673509D7C7D5}" name="Column14323"/>
    <tableColumn id="14324" xr3:uid="{D66CDEE0-2592-4DC2-BDB1-0D66D81AE144}" name="Column14324"/>
    <tableColumn id="14325" xr3:uid="{0C944052-7468-484B-8FF6-B4EF338C7C25}" name="Column14325"/>
    <tableColumn id="14326" xr3:uid="{A6C82B39-4D4E-4756-84CB-27DD723D6279}" name="Column14326"/>
    <tableColumn id="14327" xr3:uid="{CD801665-936D-49E1-B6A7-FD0172C70EE1}" name="Column14327"/>
    <tableColumn id="14328" xr3:uid="{94F7438B-EC35-4917-93EE-1B54D183EF23}" name="Column14328"/>
    <tableColumn id="14329" xr3:uid="{18342F21-D567-4E2C-A20A-2D4A7397C248}" name="Column14329"/>
    <tableColumn id="14330" xr3:uid="{473C4BCE-4933-43E2-8649-EFFAB1051589}" name="Column14330"/>
    <tableColumn id="14331" xr3:uid="{673EE207-ED7A-4BC2-93C2-5EC9A16BD435}" name="Column14331"/>
    <tableColumn id="14332" xr3:uid="{1FD001F3-6D53-4C35-9D50-BC3E3DB5783B}" name="Column14332"/>
    <tableColumn id="14333" xr3:uid="{01121542-BA1A-4908-BB76-1ABE74622AA4}" name="Column14333"/>
    <tableColumn id="14334" xr3:uid="{70FD3CFD-0917-462C-939F-B6BFDCAE2389}" name="Column14334"/>
    <tableColumn id="14335" xr3:uid="{B68D0ED7-905E-4E1F-B7C1-2638F899095F}" name="Column14335"/>
    <tableColumn id="14336" xr3:uid="{30140E45-2D7F-4073-AE62-A1698E42B79F}" name="Column14336"/>
    <tableColumn id="14337" xr3:uid="{6D2FF276-6CFB-44AA-89DB-9C9AFF7ECAFC}" name="Column14337"/>
    <tableColumn id="14338" xr3:uid="{CCD86AE0-EB11-4214-A470-4944A4FAF9CC}" name="Column14338"/>
    <tableColumn id="14339" xr3:uid="{D4005D73-BEB2-445F-8FDE-D853746504AE}" name="Column14339"/>
    <tableColumn id="14340" xr3:uid="{2086F339-8D75-4B96-BB7B-0FAD1566D6BC}" name="Column14340"/>
    <tableColumn id="14341" xr3:uid="{09780EFF-5C8A-40CF-ABA6-491FA0F4B5BC}" name="Column14341"/>
    <tableColumn id="14342" xr3:uid="{3BB7B322-2193-4D85-A02F-82F60AA3C529}" name="Column14342"/>
    <tableColumn id="14343" xr3:uid="{02685042-8426-4ACD-B6B2-84E7724F57F1}" name="Column14343"/>
    <tableColumn id="14344" xr3:uid="{FC3BE005-ADB4-4E04-B4AD-FE5B9BFC6A98}" name="Column14344"/>
    <tableColumn id="14345" xr3:uid="{874D601A-8EC7-4067-8505-9384E976B386}" name="Column14345"/>
    <tableColumn id="14346" xr3:uid="{2DCCC890-26CE-4DF9-9C93-E8760D938DDF}" name="Column14346"/>
    <tableColumn id="14347" xr3:uid="{76CD1EB4-F46F-4AB2-8FC3-B2DD6C7E4A3F}" name="Column14347"/>
    <tableColumn id="14348" xr3:uid="{CB0CAF69-66DD-4304-83B0-1C426142BE83}" name="Column14348"/>
    <tableColumn id="14349" xr3:uid="{0378DC01-DFC7-49E0-B4EF-E38177F8D397}" name="Column14349"/>
    <tableColumn id="14350" xr3:uid="{680250DF-677E-48B1-A010-4B09CDCCE269}" name="Column14350"/>
    <tableColumn id="14351" xr3:uid="{54305B93-6E53-46AC-88C5-B27FB01437E1}" name="Column14351"/>
    <tableColumn id="14352" xr3:uid="{4F9CF2A3-4E0D-403E-A033-86AD81BD43B2}" name="Column14352"/>
    <tableColumn id="14353" xr3:uid="{B6E051D8-9C66-4C34-BC25-136FB4132D08}" name="Column14353"/>
    <tableColumn id="14354" xr3:uid="{AFCD9363-0D99-4640-ABAF-2FD453D8EBFA}" name="Column14354"/>
    <tableColumn id="14355" xr3:uid="{47A9F074-9D99-4769-9058-2FCB25FFEF94}" name="Column14355"/>
    <tableColumn id="14356" xr3:uid="{AEBD056C-E043-4ACD-B50A-28CB383B8243}" name="Column14356"/>
    <tableColumn id="14357" xr3:uid="{1E883405-6821-4B97-B6C3-33E6B3B5858A}" name="Column14357"/>
    <tableColumn id="14358" xr3:uid="{7A32018F-94A6-4A0E-B885-7D5C8124B1E1}" name="Column14358"/>
    <tableColumn id="14359" xr3:uid="{5232EE56-CEFD-441B-B3A9-AEB4A0E4D1D1}" name="Column14359"/>
    <tableColumn id="14360" xr3:uid="{4FAD84C5-38F0-42D6-A4C7-B512821C6E5A}" name="Column14360"/>
    <tableColumn id="14361" xr3:uid="{8A80F33B-2D7D-42A5-88E3-2B1679B0CB70}" name="Column14361"/>
    <tableColumn id="14362" xr3:uid="{69BF5F36-B54A-4DA1-BFE3-BF13A5335124}" name="Column14362"/>
    <tableColumn id="14363" xr3:uid="{808A4E03-62CB-408B-89E5-A6AC0B3091F9}" name="Column14363"/>
    <tableColumn id="14364" xr3:uid="{9A7FAED3-D083-4C47-A4A5-3F2A582C12D7}" name="Column14364"/>
    <tableColumn id="14365" xr3:uid="{CBB58BA2-172C-4B08-87FB-7FCD926CF9D4}" name="Column14365"/>
    <tableColumn id="14366" xr3:uid="{474D721B-2381-4D6F-A5FB-FA89534C8E62}" name="Column14366"/>
    <tableColumn id="14367" xr3:uid="{2A03EDC2-7A3D-4747-90EF-24360A7F7595}" name="Column14367"/>
    <tableColumn id="14368" xr3:uid="{A5C323C4-AA09-4D67-9267-7EC9737451F9}" name="Column14368"/>
    <tableColumn id="14369" xr3:uid="{C29524E5-56E4-458D-80DF-1E478D13B5F4}" name="Column14369"/>
    <tableColumn id="14370" xr3:uid="{9FE007B7-33C8-4885-8EA0-69C685CA0665}" name="Column14370"/>
    <tableColumn id="14371" xr3:uid="{5745516F-43B4-4D3E-9082-54B0928B14D8}" name="Column14371"/>
    <tableColumn id="14372" xr3:uid="{9B3232D4-08EC-430A-BD31-91E54C07B06B}" name="Column14372"/>
    <tableColumn id="14373" xr3:uid="{DBBFC357-363E-488C-982C-77AFEF839989}" name="Column14373"/>
    <tableColumn id="14374" xr3:uid="{1E7D7019-F7A8-4F72-B1FC-AF04A7B6C2E9}" name="Column14374"/>
    <tableColumn id="14375" xr3:uid="{62B37565-9C55-4F0D-828E-FB76F6D68C78}" name="Column14375"/>
    <tableColumn id="14376" xr3:uid="{214F9C3D-B267-4BC8-A6AC-E345F8B668C5}" name="Column14376"/>
    <tableColumn id="14377" xr3:uid="{CDB82987-2E0E-42C7-A0FB-A34DCD86DAB7}" name="Column14377"/>
    <tableColumn id="14378" xr3:uid="{1B5CB82E-663E-4598-83FB-471591C16AF7}" name="Column14378"/>
    <tableColumn id="14379" xr3:uid="{71D48955-4BAE-4D7C-A9E5-0C3DA6BCF7D6}" name="Column14379"/>
    <tableColumn id="14380" xr3:uid="{CFB6CE4C-9E49-4B82-887C-04CF27A4C7F4}" name="Column14380"/>
    <tableColumn id="14381" xr3:uid="{DAB798B7-4B2E-47DF-97A5-55D97932CAF7}" name="Column14381"/>
    <tableColumn id="14382" xr3:uid="{45D8D97E-C365-4DB2-BA31-0AC725FD2570}" name="Column14382"/>
    <tableColumn id="14383" xr3:uid="{34A99555-1DF8-448B-B96A-51A0F15A6574}" name="Column14383"/>
    <tableColumn id="14384" xr3:uid="{FCB93D3E-34BF-446F-A404-46ACCBF8D1EC}" name="Column14384"/>
    <tableColumn id="14385" xr3:uid="{4524BA94-3ADB-44B5-9D42-907D24DF20DB}" name="Column14385"/>
    <tableColumn id="14386" xr3:uid="{7B53F077-35C8-4966-8859-D3E25E9CE5EB}" name="Column14386"/>
    <tableColumn id="14387" xr3:uid="{11B80D87-ABC8-4F2B-853C-79644B589998}" name="Column14387"/>
    <tableColumn id="14388" xr3:uid="{66623E6F-76BD-4CEE-9540-CBC35A6125FB}" name="Column14388"/>
    <tableColumn id="14389" xr3:uid="{FB62B626-EFD4-4C12-A83D-32FFD90C13CE}" name="Column14389"/>
    <tableColumn id="14390" xr3:uid="{038B8F47-E411-4FD0-B896-0D3334C2B5A2}" name="Column14390"/>
    <tableColumn id="14391" xr3:uid="{18C14981-8760-4148-BECF-C79D88289BC5}" name="Column14391"/>
    <tableColumn id="14392" xr3:uid="{A64974E0-5330-4C3C-8DC4-4F05632F8733}" name="Column14392"/>
    <tableColumn id="14393" xr3:uid="{4878298D-D796-41D1-8FEA-10829E1696F1}" name="Column14393"/>
    <tableColumn id="14394" xr3:uid="{7D6795C2-EE52-4A4A-8C2A-BF2D58A00A20}" name="Column14394"/>
    <tableColumn id="14395" xr3:uid="{FAD11E42-5DFB-4702-9FB8-D464D1A0B391}" name="Column14395"/>
    <tableColumn id="14396" xr3:uid="{EAED8CF0-8824-4C38-B1EE-B8A4D7D1C34C}" name="Column14396"/>
    <tableColumn id="14397" xr3:uid="{515AF78C-8942-45D8-8B54-06B6809BCB91}" name="Column14397"/>
    <tableColumn id="14398" xr3:uid="{CBCC3BEB-AE50-4871-85BD-2A28339578A2}" name="Column14398"/>
    <tableColumn id="14399" xr3:uid="{E4040535-98F2-4836-9BD2-66442034867C}" name="Column14399"/>
    <tableColumn id="14400" xr3:uid="{496D79E6-1760-4D05-9B37-46744F4C1E97}" name="Column14400"/>
    <tableColumn id="14401" xr3:uid="{0A3AF650-3635-40B2-8E8F-E2D49DEA17B6}" name="Column14401"/>
    <tableColumn id="14402" xr3:uid="{1606EA88-6255-4E96-9140-F81473B42D5C}" name="Column14402"/>
    <tableColumn id="14403" xr3:uid="{EFCC9D09-9386-400A-A775-466974B0BF24}" name="Column14403"/>
    <tableColumn id="14404" xr3:uid="{F82E106E-E3C6-482D-824B-1B30BDC7309E}" name="Column14404"/>
    <tableColumn id="14405" xr3:uid="{8EC2E822-14DF-4BC4-B239-0CA5435E64AD}" name="Column14405"/>
    <tableColumn id="14406" xr3:uid="{E56D5B1B-EFD3-47B6-BB25-D47DB4E63F8C}" name="Column14406"/>
    <tableColumn id="14407" xr3:uid="{007EC1EF-C3F5-4734-9416-C77E1B8A228A}" name="Column14407"/>
    <tableColumn id="14408" xr3:uid="{2DF47290-9F4B-4F93-90FF-D92B6FD109A8}" name="Column14408"/>
    <tableColumn id="14409" xr3:uid="{D92F5FFF-9DBC-443A-B6E1-6109DAF1D23D}" name="Column14409"/>
    <tableColumn id="14410" xr3:uid="{71929603-998F-4AA3-ACDD-AD2BDBF9FC4C}" name="Column14410"/>
    <tableColumn id="14411" xr3:uid="{4F421F27-BA4C-46DC-AE87-55D06493E7BE}" name="Column14411"/>
    <tableColumn id="14412" xr3:uid="{17B98C34-99AD-47E3-9E40-F5AD0792CCA6}" name="Column14412"/>
    <tableColumn id="14413" xr3:uid="{3C9D9B45-6890-466C-84C8-F89C5F5D720C}" name="Column14413"/>
    <tableColumn id="14414" xr3:uid="{F8544ADA-077C-469B-9D2E-FEDC047AF556}" name="Column14414"/>
    <tableColumn id="14415" xr3:uid="{3C4FEBAB-B5C6-4F9A-8E43-3E67C7F3CBC4}" name="Column14415"/>
    <tableColumn id="14416" xr3:uid="{F8F473C5-0FAA-495A-9CB7-0D6D2DA95576}" name="Column14416"/>
    <tableColumn id="14417" xr3:uid="{7FBE5104-DCDA-4BBC-90D5-ACDEAD32A46A}" name="Column14417"/>
    <tableColumn id="14418" xr3:uid="{804FC52C-3757-4EC8-AE21-22B1DE9DE7CC}" name="Column14418"/>
    <tableColumn id="14419" xr3:uid="{865977BA-EEAD-40A3-85CD-A0DFB02636DE}" name="Column14419"/>
    <tableColumn id="14420" xr3:uid="{9E095C2D-EDEB-4E17-8001-50BE87DED848}" name="Column14420"/>
    <tableColumn id="14421" xr3:uid="{A1FCBDFA-9E96-4BED-B4E6-37571CFDCD18}" name="Column14421"/>
    <tableColumn id="14422" xr3:uid="{3E3EB4B6-DC0F-418C-8C62-BAEC9DD2EA0B}" name="Column14422"/>
    <tableColumn id="14423" xr3:uid="{C3AF6A7E-4069-4C8F-8E2C-89E6F99B09EA}" name="Column14423"/>
    <tableColumn id="14424" xr3:uid="{A6BFAAA6-F9DF-42AA-A016-E2CEF4D05585}" name="Column14424"/>
    <tableColumn id="14425" xr3:uid="{D9F4FD67-CB58-45ED-87EB-4E799275D988}" name="Column14425"/>
    <tableColumn id="14426" xr3:uid="{780782B2-04B8-4C7A-B3DF-C5EEC6906EB3}" name="Column14426"/>
    <tableColumn id="14427" xr3:uid="{4C84C980-C7F1-4D79-AB06-14FFBF405C10}" name="Column14427"/>
    <tableColumn id="14428" xr3:uid="{EE4F6343-C571-44E7-81DB-81D1E9B12F1D}" name="Column14428"/>
    <tableColumn id="14429" xr3:uid="{A8F0231D-000A-4067-8330-6F62E2495173}" name="Column14429"/>
    <tableColumn id="14430" xr3:uid="{B015BE72-BEAC-42F3-91A2-27DAA0AF819B}" name="Column14430"/>
    <tableColumn id="14431" xr3:uid="{A0945CFD-438D-417E-B4C9-6F5641C50DB6}" name="Column14431"/>
    <tableColumn id="14432" xr3:uid="{6AB1A9D2-AB78-432F-B878-F93912C534A5}" name="Column14432"/>
    <tableColumn id="14433" xr3:uid="{E80700AF-727F-488D-BC9B-2681A4C7530C}" name="Column14433"/>
    <tableColumn id="14434" xr3:uid="{2BEFD3F3-6277-45D0-A0B0-8B0BC586D15F}" name="Column14434"/>
    <tableColumn id="14435" xr3:uid="{DA20831F-9E0B-403A-ACE9-BDB1A352AF14}" name="Column14435"/>
    <tableColumn id="14436" xr3:uid="{387B56CE-460B-4747-8FE1-54CDD5EDBB61}" name="Column14436"/>
    <tableColumn id="14437" xr3:uid="{00254788-1886-4E97-AADE-9072D4C8B3FE}" name="Column14437"/>
    <tableColumn id="14438" xr3:uid="{007C40C7-654D-4648-A646-908958CCC191}" name="Column14438"/>
    <tableColumn id="14439" xr3:uid="{EF0DCDBF-131E-49F5-B938-B3007F154A5E}" name="Column14439"/>
    <tableColumn id="14440" xr3:uid="{A14D28CA-35EA-47D8-9215-5B17E856CABE}" name="Column14440"/>
    <tableColumn id="14441" xr3:uid="{7D7EB433-7710-4855-BBDF-5413AA294CFB}" name="Column14441"/>
    <tableColumn id="14442" xr3:uid="{B8266CA1-8772-4B9E-AFC3-E90274657C29}" name="Column14442"/>
    <tableColumn id="14443" xr3:uid="{0EBE3287-D32E-422E-B873-09F8C39B1362}" name="Column14443"/>
    <tableColumn id="14444" xr3:uid="{F5855FF2-CF57-4B2C-B4DD-CCDC23D7903E}" name="Column14444"/>
    <tableColumn id="14445" xr3:uid="{B3D2E6CB-A23B-491F-B7B5-E5DF4A0D8251}" name="Column14445"/>
    <tableColumn id="14446" xr3:uid="{ECD5020A-3F39-4578-B0B7-1DF68B7FB0D7}" name="Column14446"/>
    <tableColumn id="14447" xr3:uid="{846145A5-55A5-44F7-B817-8196ABCC07AE}" name="Column14447"/>
    <tableColumn id="14448" xr3:uid="{596DD362-1532-4385-8A11-7CDF84639C21}" name="Column14448"/>
    <tableColumn id="14449" xr3:uid="{3DE9CD86-CC8D-4331-9A53-1EB2C44748C3}" name="Column14449"/>
    <tableColumn id="14450" xr3:uid="{F0F58A32-C5EA-4FA4-BE68-F9042AFE88EE}" name="Column14450"/>
    <tableColumn id="14451" xr3:uid="{6937BC42-B9F7-4A15-A960-B578A98C9B64}" name="Column14451"/>
    <tableColumn id="14452" xr3:uid="{19DB6BDB-CDA4-497E-94CC-5CAAC8DCE3A2}" name="Column14452"/>
    <tableColumn id="14453" xr3:uid="{6DB1F6C8-0EC1-4621-B129-EFD16D9AFC40}" name="Column14453"/>
    <tableColumn id="14454" xr3:uid="{899886CC-8188-4F63-B566-968BEDE08B9A}" name="Column14454"/>
    <tableColumn id="14455" xr3:uid="{15D42BF0-EBE4-4BD9-AF13-ED3E4E2BF535}" name="Column14455"/>
    <tableColumn id="14456" xr3:uid="{B7853C14-A037-471D-8105-B61F477D4493}" name="Column14456"/>
    <tableColumn id="14457" xr3:uid="{8DCE74F1-490D-4605-AB83-44FA7AC3F4CE}" name="Column14457"/>
    <tableColumn id="14458" xr3:uid="{464B70E5-987E-49ED-B416-72856E70B384}" name="Column14458"/>
    <tableColumn id="14459" xr3:uid="{1FF445A4-0520-4148-A996-B598E56448DD}" name="Column14459"/>
    <tableColumn id="14460" xr3:uid="{5881735A-48C3-4597-B0A8-DC322CD8CC05}" name="Column14460"/>
    <tableColumn id="14461" xr3:uid="{A98447EE-AD0B-44D4-91CC-020584345B99}" name="Column14461"/>
    <tableColumn id="14462" xr3:uid="{1C28199F-A22F-4FC1-B237-3900FD22DD80}" name="Column14462"/>
    <tableColumn id="14463" xr3:uid="{EA9E3F46-A47B-4AD6-9D1E-4A6B40553F62}" name="Column14463"/>
    <tableColumn id="14464" xr3:uid="{39418C87-FDE6-452A-95D9-B6F445D16838}" name="Column14464"/>
    <tableColumn id="14465" xr3:uid="{76E14E72-B3CF-4226-A8A5-BCF25EE5E845}" name="Column14465"/>
    <tableColumn id="14466" xr3:uid="{BD8E461A-CC6D-4634-8E50-0820B6EC98F0}" name="Column14466"/>
    <tableColumn id="14467" xr3:uid="{30FB5B72-0331-496C-9D3F-4FAACED3AD3C}" name="Column14467"/>
    <tableColumn id="14468" xr3:uid="{E369FE1A-F065-4BFF-A344-E9D1623BFA6F}" name="Column14468"/>
    <tableColumn id="14469" xr3:uid="{995274F5-8C60-4E43-BD0C-6B1384562EAD}" name="Column14469"/>
    <tableColumn id="14470" xr3:uid="{4787D579-0020-4BA8-8C5B-4C4019B30A76}" name="Column14470"/>
    <tableColumn id="14471" xr3:uid="{9C9AF397-5A1B-4AE8-A8B4-3E195139769E}" name="Column14471"/>
    <tableColumn id="14472" xr3:uid="{573B4E13-8321-4416-AC54-2C2F7CFF0FD6}" name="Column14472"/>
    <tableColumn id="14473" xr3:uid="{8A61AFDE-8AFB-47C7-89F3-CC8CB742EDF5}" name="Column14473"/>
    <tableColumn id="14474" xr3:uid="{1D417D7A-4E1F-4D68-B8A0-4DE2DE10F345}" name="Column14474"/>
    <tableColumn id="14475" xr3:uid="{D3E80E06-2FF8-46C6-90B3-BC7A2C5B62D2}" name="Column14475"/>
    <tableColumn id="14476" xr3:uid="{A34FD974-2013-4F47-8FA7-246FF1A2EE8B}" name="Column14476"/>
    <tableColumn id="14477" xr3:uid="{CF189032-3491-49D5-93BB-0EB85485433D}" name="Column14477"/>
    <tableColumn id="14478" xr3:uid="{2B2634EB-762E-4DE9-A0AA-E2E873288C83}" name="Column14478"/>
    <tableColumn id="14479" xr3:uid="{B4A8C3A4-F656-42D0-A72D-1227E59A5DD9}" name="Column14479"/>
    <tableColumn id="14480" xr3:uid="{1837ABBC-E4B5-4524-97D8-F260F75BE225}" name="Column14480"/>
    <tableColumn id="14481" xr3:uid="{2DC0E0B0-909D-4060-97C0-9FAF8863BE42}" name="Column14481"/>
    <tableColumn id="14482" xr3:uid="{1F957790-C613-4B5B-B06B-E3C927958ACC}" name="Column14482"/>
    <tableColumn id="14483" xr3:uid="{1454FECC-3A19-4070-BDF3-BFC8FB1F109C}" name="Column14483"/>
    <tableColumn id="14484" xr3:uid="{0783F65D-50DC-47CD-AA48-C4A28C4B522F}" name="Column14484"/>
    <tableColumn id="14485" xr3:uid="{3BFDA1A2-AC9E-4D56-8A78-5AEC01F51A94}" name="Column14485"/>
    <tableColumn id="14486" xr3:uid="{AA055CB6-8C52-484A-9515-C2AF269859EE}" name="Column14486"/>
    <tableColumn id="14487" xr3:uid="{C5330A39-6710-4EFC-9CBE-D7F004417DC7}" name="Column14487"/>
    <tableColumn id="14488" xr3:uid="{4D3D6527-5780-4913-B8EB-E0F6307FA57C}" name="Column14488"/>
    <tableColumn id="14489" xr3:uid="{30767045-99FD-451C-BFAE-A7F631C713F8}" name="Column14489"/>
    <tableColumn id="14490" xr3:uid="{B40B4AAD-1BBF-4C01-9543-F86B2D3989C5}" name="Column14490"/>
    <tableColumn id="14491" xr3:uid="{A9919EA0-0391-4371-BE1C-4DA0C84AACAA}" name="Column14491"/>
    <tableColumn id="14492" xr3:uid="{9ABA3BDE-014F-4891-A620-3307B51AC5B3}" name="Column14492"/>
    <tableColumn id="14493" xr3:uid="{A8750146-B4A2-4A7B-96BF-0E846AF0AE5A}" name="Column14493"/>
    <tableColumn id="14494" xr3:uid="{095DCD14-C5F9-4CBA-A5C1-7A50F6B3F320}" name="Column14494"/>
    <tableColumn id="14495" xr3:uid="{90365C57-5ED5-40B0-B312-9B09E9373078}" name="Column14495"/>
    <tableColumn id="14496" xr3:uid="{FF110FB7-CBD6-4B7A-B8C0-93A05AA0DD69}" name="Column14496"/>
    <tableColumn id="14497" xr3:uid="{1E397F46-96BB-41AC-B820-053D2D72CF66}" name="Column14497"/>
    <tableColumn id="14498" xr3:uid="{E6678F38-56DA-4AD4-993D-E6EACD1C16FE}" name="Column14498"/>
    <tableColumn id="14499" xr3:uid="{0C17E358-F647-4B9B-A887-710EF530AC13}" name="Column14499"/>
    <tableColumn id="14500" xr3:uid="{5FF55D27-30BF-4070-874B-09EAEC9CDB1C}" name="Column14500"/>
    <tableColumn id="14501" xr3:uid="{FF2B4C9C-C355-4387-8AEF-71AA8BA238BD}" name="Column14501"/>
    <tableColumn id="14502" xr3:uid="{23840DA3-90BA-4E45-BFB4-F8E8F5ADA99A}" name="Column14502"/>
    <tableColumn id="14503" xr3:uid="{A1659576-9E98-4859-AD4A-BE95BF57031A}" name="Column14503"/>
    <tableColumn id="14504" xr3:uid="{426F295F-54D2-45AA-9E40-1660F080461D}" name="Column14504"/>
    <tableColumn id="14505" xr3:uid="{26D23659-225D-49DF-B5D4-EBFADDC883D9}" name="Column14505"/>
    <tableColumn id="14506" xr3:uid="{A994268A-46D9-48AD-BC3F-3577F2C21EFE}" name="Column14506"/>
    <tableColumn id="14507" xr3:uid="{955579F3-F031-4256-9E0F-4BD04F149CE5}" name="Column14507"/>
    <tableColumn id="14508" xr3:uid="{3330559E-6CC5-4C71-B50D-128A6DFBB80F}" name="Column14508"/>
    <tableColumn id="14509" xr3:uid="{0B9F5DCC-F43E-4EC7-ACC6-C8D440BC8C99}" name="Column14509"/>
    <tableColumn id="14510" xr3:uid="{CBD1AF2A-F5CA-4CDC-8249-4312D9DCBA5C}" name="Column14510"/>
    <tableColumn id="14511" xr3:uid="{0BB8D307-D23C-483E-BB5B-A685E11236F7}" name="Column14511"/>
    <tableColumn id="14512" xr3:uid="{E8095CC8-AD9D-4703-8087-FDE4B74A8343}" name="Column14512"/>
    <tableColumn id="14513" xr3:uid="{1D703140-5A9E-4E4F-B66C-2EE4A6B16720}" name="Column14513"/>
    <tableColumn id="14514" xr3:uid="{3D11573E-EF8F-413E-B290-97A93D86824B}" name="Column14514"/>
    <tableColumn id="14515" xr3:uid="{88DD811E-66A1-48C3-BD69-1AE77301910C}" name="Column14515"/>
    <tableColumn id="14516" xr3:uid="{5E3EED60-D7E0-4FC3-BB28-E7E0B19BD8DC}" name="Column14516"/>
    <tableColumn id="14517" xr3:uid="{C545396E-A79A-438E-A850-2C3A579BB1D2}" name="Column14517"/>
    <tableColumn id="14518" xr3:uid="{2AB7CF75-8282-4BAD-B689-0590C7E32583}" name="Column14518"/>
    <tableColumn id="14519" xr3:uid="{849EA2D2-4BBF-49AF-9EF4-43952521A99A}" name="Column14519"/>
    <tableColumn id="14520" xr3:uid="{3E8B3B3E-A6F4-4585-9189-932037A0386C}" name="Column14520"/>
    <tableColumn id="14521" xr3:uid="{62A95583-7473-41F4-9248-339D296735E2}" name="Column14521"/>
    <tableColumn id="14522" xr3:uid="{86F69565-6D37-4D15-AEC4-E1089FB0D1FF}" name="Column14522"/>
    <tableColumn id="14523" xr3:uid="{A7939A8D-2190-41C6-8018-675997452EB6}" name="Column14523"/>
    <tableColumn id="14524" xr3:uid="{FFD22CDA-FC6D-498B-8A41-852572F290D1}" name="Column14524"/>
    <tableColumn id="14525" xr3:uid="{2B767765-ED65-4D38-B7E3-7071C17A02E9}" name="Column14525"/>
    <tableColumn id="14526" xr3:uid="{81EB5A91-BB3D-435E-B5B6-226E47701374}" name="Column14526"/>
    <tableColumn id="14527" xr3:uid="{B08600A5-D682-45F7-BB32-B0B5E14E0DEC}" name="Column14527"/>
    <tableColumn id="14528" xr3:uid="{8B6478CC-E68C-47B3-AD92-E5C6C7D2DF1F}" name="Column14528"/>
    <tableColumn id="14529" xr3:uid="{C0459011-900E-40BC-893C-0BD17EFF5821}" name="Column14529"/>
    <tableColumn id="14530" xr3:uid="{97BFCD66-17C2-4748-8E47-8E65B6F548FB}" name="Column14530"/>
    <tableColumn id="14531" xr3:uid="{8073A5EB-8D03-4ECD-A864-BD0D19CF0FE9}" name="Column14531"/>
    <tableColumn id="14532" xr3:uid="{746E4DC6-1B54-463C-BDD4-9B92A6DFD1AC}" name="Column14532"/>
    <tableColumn id="14533" xr3:uid="{5C3452AE-E53A-451D-A4E1-FDEFA64B7E1F}" name="Column14533"/>
    <tableColumn id="14534" xr3:uid="{69F668BB-4CB3-4F09-BB53-967917394489}" name="Column14534"/>
    <tableColumn id="14535" xr3:uid="{4CBA9F96-7C80-442F-B2FC-5CD7466B0EF6}" name="Column14535"/>
    <tableColumn id="14536" xr3:uid="{D0CA5D8F-82C0-4FE0-87B0-2811F1652F3C}" name="Column14536"/>
    <tableColumn id="14537" xr3:uid="{C7EBFDB6-89AE-42B1-90A9-D8ECC4AC82F9}" name="Column14537"/>
    <tableColumn id="14538" xr3:uid="{880512D0-8A26-47F1-A273-1D9AA076EE91}" name="Column14538"/>
    <tableColumn id="14539" xr3:uid="{3A76B09A-CFD2-452B-BF5B-61C4908AF5B2}" name="Column14539"/>
    <tableColumn id="14540" xr3:uid="{E5AEDE16-2181-4438-938C-E493488CC7F2}" name="Column14540"/>
    <tableColumn id="14541" xr3:uid="{DBAB7FBA-948E-4B2F-81B3-02EDCD7845F8}" name="Column14541"/>
    <tableColumn id="14542" xr3:uid="{2F6755F3-9204-4686-AEAE-EFA704CFD116}" name="Column14542"/>
    <tableColumn id="14543" xr3:uid="{DF7B3A17-83A5-465D-A65A-E91225E6E25D}" name="Column14543"/>
    <tableColumn id="14544" xr3:uid="{D891893C-CAAF-42E2-A79B-444B18CAD2CA}" name="Column14544"/>
    <tableColumn id="14545" xr3:uid="{8032BABB-6777-4730-8407-BACD9574F0FC}" name="Column14545"/>
    <tableColumn id="14546" xr3:uid="{6F24C534-E254-4334-A614-24C971B12C39}" name="Column14546"/>
    <tableColumn id="14547" xr3:uid="{4625097D-271A-466B-905C-5CB72D7B31B7}" name="Column14547"/>
    <tableColumn id="14548" xr3:uid="{4789590D-6DB2-4960-9045-4C4B7B2BD074}" name="Column14548"/>
    <tableColumn id="14549" xr3:uid="{63007CFE-F394-4399-9EB0-06CFA95175F5}" name="Column14549"/>
    <tableColumn id="14550" xr3:uid="{7923ECC0-F052-4208-96DE-49BFC2E96B74}" name="Column14550"/>
    <tableColumn id="14551" xr3:uid="{26CB4980-12CC-4B14-A2D4-8B6B70234534}" name="Column14551"/>
    <tableColumn id="14552" xr3:uid="{2172AFCA-605B-456B-9297-50603271EB2E}" name="Column14552"/>
    <tableColumn id="14553" xr3:uid="{230EC5F0-636D-4081-88B0-8533F81241B9}" name="Column14553"/>
    <tableColumn id="14554" xr3:uid="{925C83C5-4D95-48B2-BF6C-C6949F14E2F7}" name="Column14554"/>
    <tableColumn id="14555" xr3:uid="{D72C984D-8786-456B-88C6-7D28075B1134}" name="Column14555"/>
    <tableColumn id="14556" xr3:uid="{CE94F20D-9896-4CFF-9495-C4C05BF26900}" name="Column14556"/>
    <tableColumn id="14557" xr3:uid="{533CA61B-1319-41CB-98C3-D5A91C1B2C8D}" name="Column14557"/>
    <tableColumn id="14558" xr3:uid="{5D8D87C7-C5E7-45AB-AA95-9BCBDCA65505}" name="Column14558"/>
    <tableColumn id="14559" xr3:uid="{E1E67042-45F3-4540-B070-8A49C2496ECC}" name="Column14559"/>
    <tableColumn id="14560" xr3:uid="{CB0EB6FD-0C02-400E-B5DA-EC1182FDD350}" name="Column14560"/>
    <tableColumn id="14561" xr3:uid="{7AE8A2AD-D2C9-4EE0-9E7D-9D08E5C5E010}" name="Column14561"/>
    <tableColumn id="14562" xr3:uid="{D98E73DB-5F50-451C-940C-0A242DAA40BC}" name="Column14562"/>
    <tableColumn id="14563" xr3:uid="{0AE73FD2-FF9C-41DF-AFDF-A504254106BF}" name="Column14563"/>
    <tableColumn id="14564" xr3:uid="{06891E5A-806C-4936-BD4D-34AF9F4D9B2F}" name="Column14564"/>
    <tableColumn id="14565" xr3:uid="{9B6B0623-63F6-41EF-BEA4-6A0E6BEE0EBC}" name="Column14565"/>
    <tableColumn id="14566" xr3:uid="{A6B2AA16-7F74-4AA6-9718-811A5BD0AF2E}" name="Column14566"/>
    <tableColumn id="14567" xr3:uid="{2E9C6177-6BD4-4AB4-BC31-C0DDC228ED10}" name="Column14567"/>
    <tableColumn id="14568" xr3:uid="{3F95B51D-A6F5-4E5E-B41B-359CA0E9ECD4}" name="Column14568"/>
    <tableColumn id="14569" xr3:uid="{962622A2-54B1-46E0-A589-02C12ACABCC1}" name="Column14569"/>
    <tableColumn id="14570" xr3:uid="{55D13BA5-352F-405B-ABD0-FD7A6B840BEE}" name="Column14570"/>
    <tableColumn id="14571" xr3:uid="{B0EACC9E-CC11-4C82-A0AC-EF354BDDB2A5}" name="Column14571"/>
    <tableColumn id="14572" xr3:uid="{B196C691-6695-4844-86C0-0F5B03EAC551}" name="Column14572"/>
    <tableColumn id="14573" xr3:uid="{D096615E-20A0-4408-959C-AFE585EAE825}" name="Column14573"/>
    <tableColumn id="14574" xr3:uid="{C5DEF651-2D3B-47FB-89E8-C35A2B31A38C}" name="Column14574"/>
    <tableColumn id="14575" xr3:uid="{C60FAD47-B46A-4676-AC45-60712E3C58A1}" name="Column14575"/>
    <tableColumn id="14576" xr3:uid="{0A91DD6E-2263-4C28-801C-F3C56F153A02}" name="Column14576"/>
    <tableColumn id="14577" xr3:uid="{E467B126-2D83-4094-9355-1E8A73982343}" name="Column14577"/>
    <tableColumn id="14578" xr3:uid="{356895BA-7D40-4E84-80D8-24DC92A2DB7C}" name="Column14578"/>
    <tableColumn id="14579" xr3:uid="{163B7965-0CCD-4D00-9760-D07A8005E811}" name="Column14579"/>
    <tableColumn id="14580" xr3:uid="{86E3FBF5-FCF3-4B45-B74B-BE460C332FD5}" name="Column14580"/>
    <tableColumn id="14581" xr3:uid="{2C6E76A3-9229-4444-9656-32A2CF167FF0}" name="Column14581"/>
    <tableColumn id="14582" xr3:uid="{149AF05E-B3F4-4269-9F2D-50FDA5DC0C3E}" name="Column14582"/>
    <tableColumn id="14583" xr3:uid="{8F864CBE-7549-4504-86F5-705682FAA84F}" name="Column14583"/>
    <tableColumn id="14584" xr3:uid="{3B46F35F-D5C7-49EE-B89B-CC6A4185EE07}" name="Column14584"/>
    <tableColumn id="14585" xr3:uid="{CB025430-E7E8-46B1-86C8-B885F17214A5}" name="Column14585"/>
    <tableColumn id="14586" xr3:uid="{E719E8A7-A4AB-450F-92F2-519C3EE6C924}" name="Column14586"/>
    <tableColumn id="14587" xr3:uid="{1CAE00A3-4ADC-41BE-B86B-974EBED28C89}" name="Column14587"/>
    <tableColumn id="14588" xr3:uid="{E2B2FEA2-40D7-4237-AC6A-BC89071817B8}" name="Column14588"/>
    <tableColumn id="14589" xr3:uid="{54EFE3DC-6003-4566-A34C-31502BFD14DC}" name="Column14589"/>
    <tableColumn id="14590" xr3:uid="{93D3A991-C694-4E82-A696-9C4800264993}" name="Column14590"/>
    <tableColumn id="14591" xr3:uid="{476B62BA-4471-49BC-8D19-03C6F2D1CAEC}" name="Column14591"/>
    <tableColumn id="14592" xr3:uid="{839F182A-91F5-4471-AD92-0B80B2D941E8}" name="Column14592"/>
    <tableColumn id="14593" xr3:uid="{8B57E9B9-F1C7-4D86-BB47-F289FB641A16}" name="Column14593"/>
    <tableColumn id="14594" xr3:uid="{9C40CAE8-5A0B-4F4B-AE4A-8C29A48EA2BD}" name="Column14594"/>
    <tableColumn id="14595" xr3:uid="{B71B8310-F0B2-438C-81D2-E11D1DCB6C26}" name="Column14595"/>
    <tableColumn id="14596" xr3:uid="{4142553D-C77F-4DD7-AE8B-B2E92FBBEA6F}" name="Column14596"/>
    <tableColumn id="14597" xr3:uid="{73E8C381-3B07-4873-9FE7-305576CF8CB6}" name="Column14597"/>
    <tableColumn id="14598" xr3:uid="{D1294871-2371-4FCB-ACB4-51308164C3A9}" name="Column14598"/>
    <tableColumn id="14599" xr3:uid="{FF34376C-1527-48AC-A979-ABBFB05D7C49}" name="Column14599"/>
    <tableColumn id="14600" xr3:uid="{710F7817-231B-4A35-B1BD-2B483D16A03E}" name="Column14600"/>
    <tableColumn id="14601" xr3:uid="{1353A03E-5C8B-4DB2-84B4-BC0B8551E7BE}" name="Column14601"/>
    <tableColumn id="14602" xr3:uid="{A1BFD88D-A8DE-432D-97F3-CF23CB515C51}" name="Column14602"/>
    <tableColumn id="14603" xr3:uid="{968BE8C8-A143-4379-88C4-B2DDE638DA98}" name="Column14603"/>
    <tableColumn id="14604" xr3:uid="{D36A9EDC-639F-41B1-9102-549C0C50084B}" name="Column14604"/>
    <tableColumn id="14605" xr3:uid="{27F72BA8-C82B-45CA-B35C-6D0A95AA4F2D}" name="Column14605"/>
    <tableColumn id="14606" xr3:uid="{682F3B3E-9973-4124-B3E7-BFC33A1D62D4}" name="Column14606"/>
    <tableColumn id="14607" xr3:uid="{2D3D3519-936F-4432-883A-CCADC631DE58}" name="Column14607"/>
    <tableColumn id="14608" xr3:uid="{260C4A9D-C553-4143-882E-2CE025D4B25C}" name="Column14608"/>
    <tableColumn id="14609" xr3:uid="{B203941E-3567-4D87-80CF-EBE05C49FE49}" name="Column14609"/>
    <tableColumn id="14610" xr3:uid="{2CE4795D-5E10-49FE-AD8B-1535013A7B96}" name="Column14610"/>
    <tableColumn id="14611" xr3:uid="{2681D409-BD55-47FE-96C4-9575E49CC881}" name="Column14611"/>
    <tableColumn id="14612" xr3:uid="{F32A3D8F-3025-4B5D-90D2-2BBE1E6CC396}" name="Column14612"/>
    <tableColumn id="14613" xr3:uid="{AB389182-09B2-4049-83D2-D888CB39F08E}" name="Column14613"/>
    <tableColumn id="14614" xr3:uid="{4A753463-A906-44DC-A8D6-D4FE10C75592}" name="Column14614"/>
    <tableColumn id="14615" xr3:uid="{8B17B396-615F-4A8B-BA96-FD2561B5E31A}" name="Column14615"/>
    <tableColumn id="14616" xr3:uid="{A1C9449F-9AD5-4F7B-BBF7-91D7FBB2FE25}" name="Column14616"/>
    <tableColumn id="14617" xr3:uid="{9CF9FFF6-4F3B-4A35-BB12-05B981A28DED}" name="Column14617"/>
    <tableColumn id="14618" xr3:uid="{90A42A44-BFFF-443D-83C3-5AFFE7DCFCA9}" name="Column14618"/>
    <tableColumn id="14619" xr3:uid="{14E22DAB-D13A-44CB-AA1E-992CA06D212B}" name="Column14619"/>
    <tableColumn id="14620" xr3:uid="{123AB9BA-DD60-450F-BB1F-E0D69E565CF9}" name="Column14620"/>
    <tableColumn id="14621" xr3:uid="{0ABFC9EF-2626-4056-9E76-CD9C153A3B36}" name="Column14621"/>
    <tableColumn id="14622" xr3:uid="{4487A453-E494-4155-8F2C-325744A38979}" name="Column14622"/>
    <tableColumn id="14623" xr3:uid="{5D84FC7D-B7A2-4DCD-A10D-719DE6FDDA90}" name="Column14623"/>
    <tableColumn id="14624" xr3:uid="{98CC28FF-0978-416D-A6CA-F8614877F2BE}" name="Column14624"/>
    <tableColumn id="14625" xr3:uid="{11F6A43D-A1D2-416B-96BF-0EB5B45E6702}" name="Column14625"/>
    <tableColumn id="14626" xr3:uid="{021AF090-8425-46B1-8874-46219828797C}" name="Column14626"/>
    <tableColumn id="14627" xr3:uid="{01AF7236-84C5-4BED-8796-36347AEC4B32}" name="Column14627"/>
    <tableColumn id="14628" xr3:uid="{36574F60-BCEC-4569-8E56-72BBE46D71A5}" name="Column14628"/>
    <tableColumn id="14629" xr3:uid="{DFF72DC6-A5C1-42E5-8652-A87D433D49D4}" name="Column14629"/>
    <tableColumn id="14630" xr3:uid="{DD06F43F-7256-430A-8CDB-5045377CAD28}" name="Column14630"/>
    <tableColumn id="14631" xr3:uid="{4059E1E2-2659-47DA-896A-AB471B9A6DCE}" name="Column14631"/>
    <tableColumn id="14632" xr3:uid="{8B54D7FE-CA6D-4FB3-B0AA-45257AA77058}" name="Column14632"/>
    <tableColumn id="14633" xr3:uid="{ED00F687-C0B4-4F42-97D7-691B6E09FDA6}" name="Column14633"/>
    <tableColumn id="14634" xr3:uid="{4D3A6081-3A3F-4463-9402-E90B5C599F1B}" name="Column14634"/>
    <tableColumn id="14635" xr3:uid="{DFE46FBF-74F4-46A8-86E4-1EA5B3B4FB38}" name="Column14635"/>
    <tableColumn id="14636" xr3:uid="{49B96A1B-F4F5-43B7-B776-9066D2B8A7CC}" name="Column14636"/>
    <tableColumn id="14637" xr3:uid="{56480D1F-10EF-4ECD-8E84-E4F0593EE2F6}" name="Column14637"/>
    <tableColumn id="14638" xr3:uid="{9554C415-A2B4-4595-968F-42F52D666AA3}" name="Column14638"/>
    <tableColumn id="14639" xr3:uid="{91B7A976-B4B9-4AEE-A3A6-CFE3BE425789}" name="Column14639"/>
    <tableColumn id="14640" xr3:uid="{95ED8A08-93C0-43A5-BEE2-E121FDC26F78}" name="Column14640"/>
    <tableColumn id="14641" xr3:uid="{9F098D11-6383-4770-B266-5CADE8E99100}" name="Column14641"/>
    <tableColumn id="14642" xr3:uid="{D1E5799D-9F60-41BD-8234-5F92D098A6D8}" name="Column14642"/>
    <tableColumn id="14643" xr3:uid="{94620E06-52B8-4265-8C39-B0FBCF798821}" name="Column14643"/>
    <tableColumn id="14644" xr3:uid="{65D45DC3-D28F-4940-8AF1-2424D644FABB}" name="Column14644"/>
    <tableColumn id="14645" xr3:uid="{1FBE68A2-6336-4CE5-A3D2-B9926082A96A}" name="Column14645"/>
    <tableColumn id="14646" xr3:uid="{979AAC72-4948-4FAB-AAC0-72A5BCFEA51A}" name="Column14646"/>
    <tableColumn id="14647" xr3:uid="{24CCA8E4-ADF5-47B0-BECF-889CB6687277}" name="Column14647"/>
    <tableColumn id="14648" xr3:uid="{2CBC9B47-61E7-4322-BDE2-B6D3A15A34ED}" name="Column14648"/>
    <tableColumn id="14649" xr3:uid="{CCE9DAF9-7FD6-4C66-8F00-E7BCE8DEA8E6}" name="Column14649"/>
    <tableColumn id="14650" xr3:uid="{05780223-09EC-432D-A554-6A8BAF20F09D}" name="Column14650"/>
    <tableColumn id="14651" xr3:uid="{7869BF38-B663-4B99-B409-89FEC815291F}" name="Column14651"/>
    <tableColumn id="14652" xr3:uid="{EA1820F6-4626-4B21-9B65-D1073E39F6D2}" name="Column14652"/>
    <tableColumn id="14653" xr3:uid="{E77350F0-8EE3-4B4B-B9F4-9E4C08849835}" name="Column14653"/>
    <tableColumn id="14654" xr3:uid="{B489DB19-BD14-4815-A264-CE892DEEEC33}" name="Column14654"/>
    <tableColumn id="14655" xr3:uid="{63AE0E80-13AF-4E55-B9A2-CE1DEB589963}" name="Column14655"/>
    <tableColumn id="14656" xr3:uid="{14566555-E166-4A10-98F1-D54B8D4F96C0}" name="Column14656"/>
    <tableColumn id="14657" xr3:uid="{6698F9DB-D689-4134-B106-EA0961C2CAD1}" name="Column14657"/>
    <tableColumn id="14658" xr3:uid="{CFC6E1D9-F4A4-4864-BF0C-C41CF14F4089}" name="Column14658"/>
    <tableColumn id="14659" xr3:uid="{4D470699-8131-4977-B88A-9421FF5D6F66}" name="Column14659"/>
    <tableColumn id="14660" xr3:uid="{75FBA2E1-996C-4729-9003-6057CF725B79}" name="Column14660"/>
    <tableColumn id="14661" xr3:uid="{A649BC2E-D2CE-40D8-9D78-82E68D61A63A}" name="Column14661"/>
    <tableColumn id="14662" xr3:uid="{57029BA7-519D-4D9F-AA4D-97649EAC3AA9}" name="Column14662"/>
    <tableColumn id="14663" xr3:uid="{E95F29B3-018A-4B1C-901E-FDE2251251CC}" name="Column14663"/>
    <tableColumn id="14664" xr3:uid="{512153C6-BD4E-4ED4-AEC0-11CF72E9A38B}" name="Column14664"/>
    <tableColumn id="14665" xr3:uid="{941A63E7-CCAC-430E-B225-6BE06A398791}" name="Column14665"/>
    <tableColumn id="14666" xr3:uid="{03067433-DA7C-4961-BB48-C0F457B148F8}" name="Column14666"/>
    <tableColumn id="14667" xr3:uid="{3EBCF466-7EB1-4303-B2CE-3AE9E5DB5F62}" name="Column14667"/>
    <tableColumn id="14668" xr3:uid="{C6E66BCE-AB9E-4F67-8FE9-72F3506DFE10}" name="Column14668"/>
    <tableColumn id="14669" xr3:uid="{0D3C82FA-8E49-4377-8803-9AD865AB0748}" name="Column14669"/>
    <tableColumn id="14670" xr3:uid="{BD3AB443-4ED2-4275-80E7-C00E7B7E3546}" name="Column14670"/>
    <tableColumn id="14671" xr3:uid="{2921D245-7004-4A8E-8CD4-31880B9E74DD}" name="Column14671"/>
    <tableColumn id="14672" xr3:uid="{3A13D5BC-7AF8-492C-BB3B-076FA18BFF96}" name="Column14672"/>
    <tableColumn id="14673" xr3:uid="{4F100144-5136-44F8-AE72-2B1FA6A7226E}" name="Column14673"/>
    <tableColumn id="14674" xr3:uid="{A9DCFB43-45F9-4572-92E1-B79C5101B77E}" name="Column14674"/>
    <tableColumn id="14675" xr3:uid="{EF37649A-3C5D-4227-A9B9-9D919039B1BA}" name="Column14675"/>
    <tableColumn id="14676" xr3:uid="{66C60D44-F9C5-4523-B671-BC602A5FACD4}" name="Column14676"/>
    <tableColumn id="14677" xr3:uid="{8E564896-2AA3-425A-ABEE-C2554E576286}" name="Column14677"/>
    <tableColumn id="14678" xr3:uid="{0F0E7F77-2E95-41AE-8250-353969B42C37}" name="Column14678"/>
    <tableColumn id="14679" xr3:uid="{450DACA2-070E-497C-8425-5D04E95F761F}" name="Column14679"/>
    <tableColumn id="14680" xr3:uid="{15A81E46-9078-4815-A815-D5AD1AC46C19}" name="Column14680"/>
    <tableColumn id="14681" xr3:uid="{BFDA788A-C2E8-41C8-ACCF-A38573055A8A}" name="Column14681"/>
    <tableColumn id="14682" xr3:uid="{80E8B897-CBF4-46BE-BEFA-73B33382F623}" name="Column14682"/>
    <tableColumn id="14683" xr3:uid="{FDBF61AA-73AD-467A-A0AD-08397E155B23}" name="Column14683"/>
    <tableColumn id="14684" xr3:uid="{7BA6DB82-41E5-4BD6-8732-9C46EC87E1CE}" name="Column14684"/>
    <tableColumn id="14685" xr3:uid="{FADF9DCB-BD4D-4FD3-92A8-EC87C0777F43}" name="Column14685"/>
    <tableColumn id="14686" xr3:uid="{EBE77698-8AF5-4F0D-A3AA-BD5A68291938}" name="Column14686"/>
    <tableColumn id="14687" xr3:uid="{32FDBA99-BD01-43F9-BD9D-7C5F51328ED9}" name="Column14687"/>
    <tableColumn id="14688" xr3:uid="{C9C6041F-87F0-41B2-8520-006A538D6CB5}" name="Column14688"/>
    <tableColumn id="14689" xr3:uid="{49173C30-075E-47B9-9A58-2647C5FF7582}" name="Column14689"/>
    <tableColumn id="14690" xr3:uid="{2A3C5AC2-5DFF-4E41-B7B2-826144010521}" name="Column14690"/>
    <tableColumn id="14691" xr3:uid="{748BFA59-585E-4087-805C-050DCCC12852}" name="Column14691"/>
    <tableColumn id="14692" xr3:uid="{55330536-F376-48D8-9F8E-90427A6A61AB}" name="Column14692"/>
    <tableColumn id="14693" xr3:uid="{1A6E3E7D-9A46-4C90-9112-305DCE26A431}" name="Column14693"/>
    <tableColumn id="14694" xr3:uid="{35C47027-6F31-43BB-80AD-EC008C566C7F}" name="Column14694"/>
    <tableColumn id="14695" xr3:uid="{63F79BB0-759E-4752-A69B-D321D98786A7}" name="Column14695"/>
    <tableColumn id="14696" xr3:uid="{E9216887-2B7A-4D14-843B-A0A2B1580DAB}" name="Column14696"/>
    <tableColumn id="14697" xr3:uid="{A7EDF6AB-235B-4064-A557-DD1A254CCA39}" name="Column14697"/>
    <tableColumn id="14698" xr3:uid="{802EDC05-5819-4541-B334-73B203A0B90F}" name="Column14698"/>
    <tableColumn id="14699" xr3:uid="{B485E55A-6787-4F10-80A1-D53341A6C94A}" name="Column14699"/>
    <tableColumn id="14700" xr3:uid="{CFA47D1D-F9FE-449C-9463-79658CB933A0}" name="Column14700"/>
    <tableColumn id="14701" xr3:uid="{2BD1556B-F555-4F31-B894-3A49B6A84D49}" name="Column14701"/>
    <tableColumn id="14702" xr3:uid="{D86EEAA5-B893-4F24-A93F-8549E326349A}" name="Column14702"/>
    <tableColumn id="14703" xr3:uid="{8A0A8D80-2047-42BA-9D95-5EF9143A714C}" name="Column14703"/>
    <tableColumn id="14704" xr3:uid="{549ED6FA-DDF9-4917-B11A-262F73A18A4B}" name="Column14704"/>
    <tableColumn id="14705" xr3:uid="{01E5C6AB-3684-4EF5-B690-7410749CD987}" name="Column14705"/>
    <tableColumn id="14706" xr3:uid="{AC15441A-16C3-41B8-9672-05B7BD62F48C}" name="Column14706"/>
    <tableColumn id="14707" xr3:uid="{0C07EDEC-41C7-44DE-BBF5-B567FE152FF5}" name="Column14707"/>
    <tableColumn id="14708" xr3:uid="{8FFF9004-9A1F-4FCC-8ABF-20544878BB53}" name="Column14708"/>
    <tableColumn id="14709" xr3:uid="{5B33D912-1517-4232-8EBA-38D41D316697}" name="Column14709"/>
    <tableColumn id="14710" xr3:uid="{89850AAA-52CC-49DF-9B63-B264921F2A41}" name="Column14710"/>
    <tableColumn id="14711" xr3:uid="{FB5ED7C7-8D82-4B5C-BD73-B564E347B98C}" name="Column14711"/>
    <tableColumn id="14712" xr3:uid="{78B40500-B963-4E25-9ADF-3197A7A5C3D8}" name="Column14712"/>
    <tableColumn id="14713" xr3:uid="{ABF0355E-9B5D-498A-A376-945A7089E53F}" name="Column14713"/>
    <tableColumn id="14714" xr3:uid="{2FD300E5-D639-4C77-8AC8-4D2FC05AE0DE}" name="Column14714"/>
    <tableColumn id="14715" xr3:uid="{30D419FD-BBCD-42B5-9BF1-EF06103FBF15}" name="Column14715"/>
    <tableColumn id="14716" xr3:uid="{FFB57937-2D3F-4E79-8CF3-F5B6685F0CF2}" name="Column14716"/>
    <tableColumn id="14717" xr3:uid="{3C9113BC-3D83-4C3D-B268-BB7FFBC53072}" name="Column14717"/>
    <tableColumn id="14718" xr3:uid="{0E09ABFB-5CDE-4E03-AB2B-A8841A2D07EB}" name="Column14718"/>
    <tableColumn id="14719" xr3:uid="{538E40AD-9FB6-410A-AF11-B912597B141C}" name="Column14719"/>
    <tableColumn id="14720" xr3:uid="{8A55C248-3DDA-4E95-8FF5-4A0A8896C223}" name="Column14720"/>
    <tableColumn id="14721" xr3:uid="{53A97C94-EF2D-4691-95F0-8D7193AAE90C}" name="Column14721"/>
    <tableColumn id="14722" xr3:uid="{244BAF30-741F-426B-9EEE-078B067988EF}" name="Column14722"/>
    <tableColumn id="14723" xr3:uid="{D913581E-2AA4-45AF-8BE2-E3A536A5CA1D}" name="Column14723"/>
    <tableColumn id="14724" xr3:uid="{CF44EC07-AF76-4698-8542-5283F80E9666}" name="Column14724"/>
    <tableColumn id="14725" xr3:uid="{EBF0A6B9-B8EF-45A6-8D31-A6BAA8D2F4A9}" name="Column14725"/>
    <tableColumn id="14726" xr3:uid="{16D587AE-D483-4F9C-ABD4-904A55B7042C}" name="Column14726"/>
    <tableColumn id="14727" xr3:uid="{4E7E131F-923B-4A13-93F9-5D85A836E492}" name="Column14727"/>
    <tableColumn id="14728" xr3:uid="{BD399EB2-90EB-4245-82CD-2A73AA4A11A1}" name="Column14728"/>
    <tableColumn id="14729" xr3:uid="{5D19F7D6-F28B-471D-845F-6D85B9EAE35B}" name="Column14729"/>
    <tableColumn id="14730" xr3:uid="{014BA415-168C-430E-B77C-17A57D05FBC5}" name="Column14730"/>
    <tableColumn id="14731" xr3:uid="{E3BDB4DF-5849-452C-8E31-14511E483BD3}" name="Column14731"/>
    <tableColumn id="14732" xr3:uid="{76D44503-1444-4912-8B05-FEBC8B1DE326}" name="Column14732"/>
    <tableColumn id="14733" xr3:uid="{5B26EA8B-B9AE-4644-B6D4-F09CC7F3591E}" name="Column14733"/>
    <tableColumn id="14734" xr3:uid="{DFEEB5B7-132C-4E6F-A299-BBB4175777BC}" name="Column14734"/>
    <tableColumn id="14735" xr3:uid="{BD0952ED-31B9-4B56-B835-A74AC1E3EB10}" name="Column14735"/>
    <tableColumn id="14736" xr3:uid="{3A5C0068-3CC9-4ED2-AF3D-5C05177E2CA4}" name="Column14736"/>
    <tableColumn id="14737" xr3:uid="{462AA13C-355A-4A3C-AA8E-D7205D83E185}" name="Column14737"/>
    <tableColumn id="14738" xr3:uid="{F51A086C-75C7-4CB5-B5CF-626AF490411E}" name="Column14738"/>
    <tableColumn id="14739" xr3:uid="{6252484B-8EC1-4311-B603-8ED895D95CDE}" name="Column14739"/>
    <tableColumn id="14740" xr3:uid="{8C1F807B-6B0C-4D50-8AA8-A62D4D16C3E4}" name="Column14740"/>
    <tableColumn id="14741" xr3:uid="{B92594C5-8602-468F-A79A-A84F403DCB99}" name="Column14741"/>
    <tableColumn id="14742" xr3:uid="{8C8E8F77-77EA-4F3A-83D3-126CE5416C7B}" name="Column14742"/>
    <tableColumn id="14743" xr3:uid="{0845B796-46AC-4625-91B7-C7F1F9862A2F}" name="Column14743"/>
    <tableColumn id="14744" xr3:uid="{FB64813A-5264-4B10-B511-AF0631FD6E02}" name="Column14744"/>
    <tableColumn id="14745" xr3:uid="{AF4EE925-528D-4399-AB40-5854DFF75877}" name="Column14745"/>
    <tableColumn id="14746" xr3:uid="{89764525-26E7-4443-A751-294B9416001D}" name="Column14746"/>
    <tableColumn id="14747" xr3:uid="{FCE90D7E-E651-4E87-B43E-0E3F7C7047F6}" name="Column14747"/>
    <tableColumn id="14748" xr3:uid="{9D62FD64-D20F-4A53-9529-23F653623750}" name="Column14748"/>
    <tableColumn id="14749" xr3:uid="{B4355EB3-F006-4E17-A056-5F3350F7A172}" name="Column14749"/>
    <tableColumn id="14750" xr3:uid="{1AF8B592-2344-44F7-B00C-C87664644DDA}" name="Column14750"/>
    <tableColumn id="14751" xr3:uid="{F5A8A586-D5AA-4248-BB49-D8491BF2969C}" name="Column14751"/>
    <tableColumn id="14752" xr3:uid="{0DFE1D8D-547E-4769-884E-45090F7B471F}" name="Column14752"/>
    <tableColumn id="14753" xr3:uid="{8C1C73DC-C59B-4A57-A662-1BD940E85E04}" name="Column14753"/>
    <tableColumn id="14754" xr3:uid="{A64168C6-160B-48C6-BAB3-CA8B8028737D}" name="Column14754"/>
    <tableColumn id="14755" xr3:uid="{0D137970-E511-4ADE-81A5-CDCE2F8B3288}" name="Column14755"/>
    <tableColumn id="14756" xr3:uid="{504F8B85-EB1B-4EDB-BC59-2D2BBEE0D4E6}" name="Column14756"/>
    <tableColumn id="14757" xr3:uid="{A771D74B-1656-407C-B7AD-70DF76A96821}" name="Column14757"/>
    <tableColumn id="14758" xr3:uid="{7592FEEF-282A-45E7-8366-5BB708040E93}" name="Column14758"/>
    <tableColumn id="14759" xr3:uid="{14C7EDCC-B400-4D0B-83EA-17B950AA809E}" name="Column14759"/>
    <tableColumn id="14760" xr3:uid="{9A506EF2-5795-4770-9219-9D6F10983131}" name="Column14760"/>
    <tableColumn id="14761" xr3:uid="{8992306D-A3E3-4FA5-B6B9-2577BD818011}" name="Column14761"/>
    <tableColumn id="14762" xr3:uid="{FF5D6A50-F04B-4758-A219-652EF8954132}" name="Column14762"/>
    <tableColumn id="14763" xr3:uid="{85DC28BD-B61D-4546-B5BF-33474B58DBC0}" name="Column14763"/>
    <tableColumn id="14764" xr3:uid="{3E931E93-581F-4507-8099-1F56415193C9}" name="Column14764"/>
    <tableColumn id="14765" xr3:uid="{37168EA8-E219-4464-8D40-92259AC44A85}" name="Column14765"/>
    <tableColumn id="14766" xr3:uid="{3A86319C-D07C-49A3-AF6F-EAA57C4B241F}" name="Column14766"/>
    <tableColumn id="14767" xr3:uid="{5EED127B-5F55-435D-96B1-8F6DCCC54C3B}" name="Column14767"/>
    <tableColumn id="14768" xr3:uid="{946E6D52-BF43-4DB4-AC9D-14FFBFF54A13}" name="Column14768"/>
    <tableColumn id="14769" xr3:uid="{090E987F-A299-49F4-B1A3-0C59B999ED4F}" name="Column14769"/>
    <tableColumn id="14770" xr3:uid="{F8F2F593-BEDD-44A0-9C84-435D0BA42BFF}" name="Column14770"/>
    <tableColumn id="14771" xr3:uid="{65425AD9-DB6D-45B1-B7E2-0BDF9204CA77}" name="Column14771"/>
    <tableColumn id="14772" xr3:uid="{BA677A82-B706-4911-81EE-E7AA81F3ADB6}" name="Column14772"/>
    <tableColumn id="14773" xr3:uid="{E64CA81A-9E1E-4032-ABF8-B9EC8C802B67}" name="Column14773"/>
    <tableColumn id="14774" xr3:uid="{80507021-565A-4D0A-AEB3-43092892480E}" name="Column14774"/>
    <tableColumn id="14775" xr3:uid="{1374D12B-4BCD-4634-9924-93BF35AEBBE7}" name="Column14775"/>
    <tableColumn id="14776" xr3:uid="{6BF0416D-05CB-494D-8239-0B7C23847014}" name="Column14776"/>
    <tableColumn id="14777" xr3:uid="{E260D52D-1442-42D1-837D-166D485AEADF}" name="Column14777"/>
    <tableColumn id="14778" xr3:uid="{B6A2FB81-A3FC-4CA5-A531-8A62C3213333}" name="Column14778"/>
    <tableColumn id="14779" xr3:uid="{2C813E64-AA7C-4173-A507-37573D498887}" name="Column14779"/>
    <tableColumn id="14780" xr3:uid="{D8F495CB-0F1C-49B4-8D23-98A6413F4AF4}" name="Column14780"/>
    <tableColumn id="14781" xr3:uid="{4C0F8390-63B1-4E5F-8766-A3871205471C}" name="Column14781"/>
    <tableColumn id="14782" xr3:uid="{2CC976A6-27D0-4882-876E-61ECB4BE7CA1}" name="Column14782"/>
    <tableColumn id="14783" xr3:uid="{5D56C00B-FBB5-49E4-AE03-F9EF6FF83020}" name="Column14783"/>
    <tableColumn id="14784" xr3:uid="{FC2013BF-01B2-4471-A9C9-509B3E4F9C33}" name="Column14784"/>
    <tableColumn id="14785" xr3:uid="{C82AC630-65A8-4E02-A2FF-62DF74F8FEED}" name="Column14785"/>
    <tableColumn id="14786" xr3:uid="{906C42FA-FB0E-4820-984A-9677E9C28147}" name="Column14786"/>
    <tableColumn id="14787" xr3:uid="{ADF1D01C-C4BF-4E40-A708-BA6D3FDE90E4}" name="Column14787"/>
    <tableColumn id="14788" xr3:uid="{2FE64406-1FD8-4F83-B748-2C8C07BECAE4}" name="Column14788"/>
    <tableColumn id="14789" xr3:uid="{8B211E7C-00F8-4650-9818-C62AE8555B1B}" name="Column14789"/>
    <tableColumn id="14790" xr3:uid="{7DD1ED58-D18D-4016-82BF-45BE19E24CF7}" name="Column14790"/>
    <tableColumn id="14791" xr3:uid="{3380EF88-9518-4FF0-A91D-5FA175D47B02}" name="Column14791"/>
    <tableColumn id="14792" xr3:uid="{AC946508-8BF1-4EEE-B92D-3BEFF63472A4}" name="Column14792"/>
    <tableColumn id="14793" xr3:uid="{74F94511-E70D-4ED1-8F7F-A4B25BBC2FE5}" name="Column14793"/>
    <tableColumn id="14794" xr3:uid="{7E5182AB-8AEE-4748-8C0F-DFDEF0899311}" name="Column14794"/>
    <tableColumn id="14795" xr3:uid="{F2DB7945-6D33-47FA-BF09-C992871B3965}" name="Column14795"/>
    <tableColumn id="14796" xr3:uid="{B16CA539-B19E-415F-8D21-917A667B561A}" name="Column14796"/>
    <tableColumn id="14797" xr3:uid="{72543A12-08EA-41FB-ABBB-F8809F6936EF}" name="Column14797"/>
    <tableColumn id="14798" xr3:uid="{2F2585AA-51C7-4627-BF77-8CB56FB290A5}" name="Column14798"/>
    <tableColumn id="14799" xr3:uid="{EC507167-AC0C-4D2A-B9F2-7B314E0C78F8}" name="Column14799"/>
    <tableColumn id="14800" xr3:uid="{B914B3B4-770A-44E2-B54F-0611139AE0BB}" name="Column14800"/>
    <tableColumn id="14801" xr3:uid="{2BF2E8EE-D49E-4B7B-87DD-09FFCABBA9DB}" name="Column14801"/>
    <tableColumn id="14802" xr3:uid="{F8EC102D-12B9-46ED-B5DE-44CCC54BAACA}" name="Column14802"/>
    <tableColumn id="14803" xr3:uid="{B76A33A2-5A65-4A91-80B1-A61B3DF0B808}" name="Column14803"/>
    <tableColumn id="14804" xr3:uid="{7EC368EE-74B0-4CEA-98C0-66F8F0F33A53}" name="Column14804"/>
    <tableColumn id="14805" xr3:uid="{E0C1B399-C55B-49DF-B957-250C00EDCA2F}" name="Column14805"/>
    <tableColumn id="14806" xr3:uid="{CA409BDD-6CBA-435F-AD46-4990BD02814E}" name="Column14806"/>
    <tableColumn id="14807" xr3:uid="{4CAF777F-395C-464F-8821-CDC639BC7465}" name="Column14807"/>
    <tableColumn id="14808" xr3:uid="{0B7B9483-83CD-4F1B-A7D6-0942B0F558EC}" name="Column14808"/>
    <tableColumn id="14809" xr3:uid="{F8DBD4C5-6B06-4937-A035-8BDE8FEB40D9}" name="Column14809"/>
    <tableColumn id="14810" xr3:uid="{4C03C6CF-31DF-4A38-BC12-5451582744B3}" name="Column14810"/>
    <tableColumn id="14811" xr3:uid="{A9F71054-B875-467D-99D6-1B8615D1B5F7}" name="Column14811"/>
    <tableColumn id="14812" xr3:uid="{18212101-79E1-4F47-97C4-1BDA291D953C}" name="Column14812"/>
    <tableColumn id="14813" xr3:uid="{025807F8-0C60-488C-B945-40F51E80A7B8}" name="Column14813"/>
    <tableColumn id="14814" xr3:uid="{6E939FD7-B454-4CAA-831E-F4A0BE8CB08E}" name="Column14814"/>
    <tableColumn id="14815" xr3:uid="{FA808360-3E56-48C0-B3CC-F46728D52288}" name="Column14815"/>
    <tableColumn id="14816" xr3:uid="{AB33ACE8-BC5F-4D56-9B70-FA7ADE202EC2}" name="Column14816"/>
    <tableColumn id="14817" xr3:uid="{AAE61E64-960A-4F97-AE62-E31FE4D57DFE}" name="Column14817"/>
    <tableColumn id="14818" xr3:uid="{6D9DFABD-0A80-4766-8867-D6D5E457D436}" name="Column14818"/>
    <tableColumn id="14819" xr3:uid="{DBB481F6-A772-4D21-8FEC-CA925A12B92F}" name="Column14819"/>
    <tableColumn id="14820" xr3:uid="{649FBF6D-B437-4D17-B927-E0EC2711360A}" name="Column14820"/>
    <tableColumn id="14821" xr3:uid="{BDB0C7A8-07DC-48B5-BE81-72505C45B96D}" name="Column14821"/>
    <tableColumn id="14822" xr3:uid="{A596FAF9-FBD8-40E2-AB79-746203BED52D}" name="Column14822"/>
    <tableColumn id="14823" xr3:uid="{CF82147B-75A4-4C06-B89B-D58225B5E80B}" name="Column14823"/>
    <tableColumn id="14824" xr3:uid="{CB35D313-3241-4D27-957D-022A831E6EB8}" name="Column14824"/>
    <tableColumn id="14825" xr3:uid="{E9FF1572-EE43-4F6B-A355-730F0C597EC9}" name="Column14825"/>
    <tableColumn id="14826" xr3:uid="{EEB929E6-E9E7-4948-A95E-4F0C38CFB747}" name="Column14826"/>
    <tableColumn id="14827" xr3:uid="{2C06DF84-817D-457A-AD5B-3774A3052162}" name="Column14827"/>
    <tableColumn id="14828" xr3:uid="{13111685-BCC2-4210-A7C9-70486BA802E7}" name="Column14828"/>
    <tableColumn id="14829" xr3:uid="{C550AF92-0408-4430-B355-E8DBC5ADE4E1}" name="Column14829"/>
    <tableColumn id="14830" xr3:uid="{8F178274-7ACB-4C18-A402-269B552C327F}" name="Column14830"/>
    <tableColumn id="14831" xr3:uid="{2B388E21-686B-460A-B9AA-062F35A3F21B}" name="Column14831"/>
    <tableColumn id="14832" xr3:uid="{AC44A3D6-D838-4A0B-99BE-DFB691831E43}" name="Column14832"/>
    <tableColumn id="14833" xr3:uid="{57FB0530-BC32-4B15-A1B8-E14E013DD9C8}" name="Column14833"/>
    <tableColumn id="14834" xr3:uid="{7FE6F82D-F97C-4686-9D4F-BEA926BDC1D9}" name="Column14834"/>
    <tableColumn id="14835" xr3:uid="{690D575A-72BA-4C01-A779-0A5919863E24}" name="Column14835"/>
    <tableColumn id="14836" xr3:uid="{6A030CCB-9532-4D35-B123-978FA38DF55D}" name="Column14836"/>
    <tableColumn id="14837" xr3:uid="{2612B3BD-F24D-4EF2-8DE9-AABD80A46BB3}" name="Column14837"/>
    <tableColumn id="14838" xr3:uid="{D3E1C502-0590-4020-B08F-B30DB6D12E54}" name="Column14838"/>
    <tableColumn id="14839" xr3:uid="{A588EB66-9219-4CCB-AE82-2968542444BC}" name="Column14839"/>
    <tableColumn id="14840" xr3:uid="{0F18EC54-CF2A-4951-A656-3F186A7AF0B4}" name="Column14840"/>
    <tableColumn id="14841" xr3:uid="{9CB32CA7-8A77-4ABF-BDBD-D95F616914C3}" name="Column14841"/>
    <tableColumn id="14842" xr3:uid="{197F03C8-1AAA-4F07-AFF4-96B9F168AEDD}" name="Column14842"/>
    <tableColumn id="14843" xr3:uid="{2B1C0449-FF84-4E60-891C-D1AE8016E614}" name="Column14843"/>
    <tableColumn id="14844" xr3:uid="{1F460EAC-CE18-49DF-9C33-5B9A3EA5F6B1}" name="Column14844"/>
    <tableColumn id="14845" xr3:uid="{8882E3DA-D2FE-4479-929A-EDD94994CA5A}" name="Column14845"/>
    <tableColumn id="14846" xr3:uid="{89239E04-17D9-4DA2-9B1A-0249E2542321}" name="Column14846"/>
    <tableColumn id="14847" xr3:uid="{6FE7286F-1B48-4940-9922-C31A38857DD7}" name="Column14847"/>
    <tableColumn id="14848" xr3:uid="{7FAE69E4-B587-49BD-98CA-AA22821C8947}" name="Column14848"/>
    <tableColumn id="14849" xr3:uid="{D13D9102-7DA5-46C0-B16F-7236144B2586}" name="Column14849"/>
    <tableColumn id="14850" xr3:uid="{2E039BB8-68B7-4660-A0B8-165832380992}" name="Column14850"/>
    <tableColumn id="14851" xr3:uid="{DD514E1C-F75E-40F8-BE8C-61B5A2F53A67}" name="Column14851"/>
    <tableColumn id="14852" xr3:uid="{214B18FB-06BD-482C-9B0B-60FE6987AC61}" name="Column14852"/>
    <tableColumn id="14853" xr3:uid="{3573F75E-83B7-4984-9D8A-06ACAC2E9080}" name="Column14853"/>
    <tableColumn id="14854" xr3:uid="{682A5926-67B3-458C-BD7A-3155D9479D09}" name="Column14854"/>
    <tableColumn id="14855" xr3:uid="{8A37D055-4B6A-4A6C-B892-C9702335A1F7}" name="Column14855"/>
    <tableColumn id="14856" xr3:uid="{F8B06B62-9F22-4F18-9506-5CAB70202BE2}" name="Column14856"/>
    <tableColumn id="14857" xr3:uid="{CD740186-815F-4885-92BB-348B156C9BCA}" name="Column14857"/>
    <tableColumn id="14858" xr3:uid="{6FEE8D55-E68D-47A7-9984-28E942BF2607}" name="Column14858"/>
    <tableColumn id="14859" xr3:uid="{6941B98A-D81F-48A8-BE34-5FF87B57EADB}" name="Column14859"/>
    <tableColumn id="14860" xr3:uid="{95FC2E2A-8804-43AC-9D19-B490CE4545E1}" name="Column14860"/>
    <tableColumn id="14861" xr3:uid="{D575FA6F-190F-41BF-824D-9976F0818E6F}" name="Column14861"/>
    <tableColumn id="14862" xr3:uid="{F0E1B39A-ECEE-40F8-ADBF-CED29C72F6A7}" name="Column14862"/>
    <tableColumn id="14863" xr3:uid="{E5E68ECF-9FA2-4A2D-A08A-347A93F30CE5}" name="Column14863"/>
    <tableColumn id="14864" xr3:uid="{7FA893C5-98FD-4DAD-8711-80C6A3C0894D}" name="Column14864"/>
    <tableColumn id="14865" xr3:uid="{F1F393AC-A86C-4843-9678-3F666D1ADA01}" name="Column14865"/>
    <tableColumn id="14866" xr3:uid="{5C7FC837-40AC-4076-8D98-91ACE7ED4DB9}" name="Column14866"/>
    <tableColumn id="14867" xr3:uid="{E5FBC695-F58D-46F7-8374-FD05349D690F}" name="Column14867"/>
    <tableColumn id="14868" xr3:uid="{1BF23AE3-F1D4-475D-9082-11BBD93B206A}" name="Column14868"/>
    <tableColumn id="14869" xr3:uid="{E9B9E31E-13F2-4159-A484-8C7388C3335B}" name="Column14869"/>
    <tableColumn id="14870" xr3:uid="{1AAE03DA-C08E-4A14-BA2B-1979A7E3E407}" name="Column14870"/>
    <tableColumn id="14871" xr3:uid="{C606D9C3-77F0-4FEA-8B59-95399A4C22AD}" name="Column14871"/>
    <tableColumn id="14872" xr3:uid="{B6ACBBE9-6859-493A-B58E-60A881258A22}" name="Column14872"/>
    <tableColumn id="14873" xr3:uid="{097E83F6-2E6E-4916-9B96-3CD1D1D008B0}" name="Column14873"/>
    <tableColumn id="14874" xr3:uid="{4EDC2621-06E9-42F5-B328-3912F2213CCE}" name="Column14874"/>
    <tableColumn id="14875" xr3:uid="{2033DE10-60D2-41CF-AC73-FE2F7EF66F60}" name="Column14875"/>
    <tableColumn id="14876" xr3:uid="{29283D26-0FFC-412B-923B-FFFD181FF47B}" name="Column14876"/>
    <tableColumn id="14877" xr3:uid="{7FC5F36B-F0B0-4493-AB48-D258D5BA10E4}" name="Column14877"/>
    <tableColumn id="14878" xr3:uid="{B9C2D646-A51D-425B-99B4-1EBD860C279C}" name="Column14878"/>
    <tableColumn id="14879" xr3:uid="{9F8E1915-90AC-41AC-9068-6EEAE3C768FA}" name="Column14879"/>
    <tableColumn id="14880" xr3:uid="{1AAD1F56-999E-4E60-A2D1-22948269CB84}" name="Column14880"/>
    <tableColumn id="14881" xr3:uid="{E1DB56E5-BF49-4404-8727-9B6DA6551036}" name="Column14881"/>
    <tableColumn id="14882" xr3:uid="{F8CA0BF8-EC78-44F5-8351-1054F4DCC410}" name="Column14882"/>
    <tableColumn id="14883" xr3:uid="{3330EE61-6CAB-4B4A-B4FC-CC2B775828C8}" name="Column14883"/>
    <tableColumn id="14884" xr3:uid="{7B04CF48-2DDD-4C5F-B1A2-74742943D5E5}" name="Column14884"/>
    <tableColumn id="14885" xr3:uid="{43D8201E-0598-45F1-91F1-949781484881}" name="Column14885"/>
    <tableColumn id="14886" xr3:uid="{144E778C-5441-49C8-89A0-4BBB92CCBF29}" name="Column14886"/>
    <tableColumn id="14887" xr3:uid="{B6E11BE8-3C03-4F68-853D-7CB618E63E38}" name="Column14887"/>
    <tableColumn id="14888" xr3:uid="{4A0F17A6-4AE9-49DF-AD20-2524E3F816F7}" name="Column14888"/>
    <tableColumn id="14889" xr3:uid="{282FC381-0E64-40FA-BB57-7F61F9D2AE8C}" name="Column14889"/>
    <tableColumn id="14890" xr3:uid="{BA76A316-1B50-4251-9E95-584668A3A1BB}" name="Column14890"/>
    <tableColumn id="14891" xr3:uid="{A1914E55-E529-432C-97AF-6D1FC796F23F}" name="Column14891"/>
    <tableColumn id="14892" xr3:uid="{FEA594C1-EF61-4903-B78B-B71F84327728}" name="Column14892"/>
    <tableColumn id="14893" xr3:uid="{F0B0897A-B061-4CF2-94C6-6FD12427516A}" name="Column14893"/>
    <tableColumn id="14894" xr3:uid="{3D90611D-2423-4364-A80E-DD93D6F986F3}" name="Column14894"/>
    <tableColumn id="14895" xr3:uid="{DFAA999D-3476-4612-9E0C-EA60E91E7ED9}" name="Column14895"/>
    <tableColumn id="14896" xr3:uid="{F4D4A400-7E1D-4343-9AC1-CC4FD897E491}" name="Column14896"/>
    <tableColumn id="14897" xr3:uid="{4AFBA8D3-4BD4-4DB8-A45B-F74164A9F137}" name="Column14897"/>
    <tableColumn id="14898" xr3:uid="{A7E0AC32-3E13-4BDF-8DEF-E205D88158A3}" name="Column14898"/>
    <tableColumn id="14899" xr3:uid="{2531B1B6-7FFA-4AD7-AEDB-5C01523C7E28}" name="Column14899"/>
    <tableColumn id="14900" xr3:uid="{F6242F26-E9B3-40AE-ADDF-FB2A38BC56D6}" name="Column14900"/>
    <tableColumn id="14901" xr3:uid="{0828B46D-6181-4889-9868-CFB6FC7CC575}" name="Column14901"/>
    <tableColumn id="14902" xr3:uid="{0464B6E8-B842-4397-8154-5C9E853FCEC6}" name="Column14902"/>
    <tableColumn id="14903" xr3:uid="{B856FEC9-48C8-4C78-A1BD-E6E14B58EB3F}" name="Column14903"/>
    <tableColumn id="14904" xr3:uid="{57322897-3778-4926-9F3B-B2F9691E5F43}" name="Column14904"/>
    <tableColumn id="14905" xr3:uid="{8D96D690-3163-416F-9FDA-CC1ABC2A843F}" name="Column14905"/>
    <tableColumn id="14906" xr3:uid="{690B5DE3-4412-4A84-BDF6-3B43EC6D3DB4}" name="Column14906"/>
    <tableColumn id="14907" xr3:uid="{0AADF6BB-21B6-41BD-B44D-027EF60E997E}" name="Column14907"/>
    <tableColumn id="14908" xr3:uid="{AB9088BD-CB9D-44E1-8A9E-BB3F118C481A}" name="Column14908"/>
    <tableColumn id="14909" xr3:uid="{EFD1A273-61CC-4787-8A65-42073A830834}" name="Column14909"/>
    <tableColumn id="14910" xr3:uid="{B848F0F9-2BA7-4A1C-9A84-66CE58D02652}" name="Column14910"/>
    <tableColumn id="14911" xr3:uid="{45F78FD7-BAD0-463D-9901-3B7A4F8D698C}" name="Column14911"/>
    <tableColumn id="14912" xr3:uid="{607083B0-4628-4018-9F9D-866E403FE3CA}" name="Column14912"/>
    <tableColumn id="14913" xr3:uid="{3EEFEF01-F413-4DC2-BF24-13D5AEAEA94C}" name="Column14913"/>
    <tableColumn id="14914" xr3:uid="{C38C8F81-A59C-441A-B7A0-DCC1A3434F6A}" name="Column14914"/>
    <tableColumn id="14915" xr3:uid="{E65D73A6-7A17-4189-8EA0-FDEBEF426BE8}" name="Column14915"/>
    <tableColumn id="14916" xr3:uid="{70E36E31-8A5C-4D21-AE20-D85B944C7216}" name="Column14916"/>
    <tableColumn id="14917" xr3:uid="{56E9C39E-B88C-408C-A4FD-3153D64F6C4B}" name="Column14917"/>
    <tableColumn id="14918" xr3:uid="{014C2B17-5DFD-4C8A-A80A-9D70D6EE003C}" name="Column14918"/>
    <tableColumn id="14919" xr3:uid="{0B047A6F-F980-4242-82B1-46CD0A2E5915}" name="Column14919"/>
    <tableColumn id="14920" xr3:uid="{7D87D1DF-8FD6-4715-BDA6-98C7F7171EE0}" name="Column14920"/>
    <tableColumn id="14921" xr3:uid="{98EC1751-C843-4E9C-B479-0F26D7A109AE}" name="Column14921"/>
    <tableColumn id="14922" xr3:uid="{C7ADADF1-AC76-454E-AF70-4D961E99D0C1}" name="Column14922"/>
    <tableColumn id="14923" xr3:uid="{9492C6A1-4C15-4035-98DF-66DD717BA3C8}" name="Column14923"/>
    <tableColumn id="14924" xr3:uid="{7DEC6176-6BF1-49A2-93C8-EA697DD0D9A0}" name="Column14924"/>
    <tableColumn id="14925" xr3:uid="{B0797379-7F53-4877-8FD9-92C7A34D5E9F}" name="Column14925"/>
    <tableColumn id="14926" xr3:uid="{F3BEBBF6-83D9-4A64-A8B8-144C16C872CD}" name="Column14926"/>
    <tableColumn id="14927" xr3:uid="{89E88D09-2B8E-4790-951D-9F24C57C3A61}" name="Column14927"/>
    <tableColumn id="14928" xr3:uid="{7461E32F-8447-4887-B39B-0BD3B99D7E41}" name="Column14928"/>
    <tableColumn id="14929" xr3:uid="{A2E37B2C-1BB3-4E25-924C-073FE2C24EFF}" name="Column14929"/>
    <tableColumn id="14930" xr3:uid="{EAA39AAC-9F16-418C-944D-5C6AB75AEE90}" name="Column14930"/>
    <tableColumn id="14931" xr3:uid="{3A414FB4-79E5-40FC-8550-AB998BA4257B}" name="Column14931"/>
    <tableColumn id="14932" xr3:uid="{DE86A8CC-8AB3-4EC5-BB4E-84E970CB779D}" name="Column14932"/>
    <tableColumn id="14933" xr3:uid="{9FDA2089-7EF8-4132-89AA-1C0599A50ADD}" name="Column14933"/>
    <tableColumn id="14934" xr3:uid="{EF288780-9070-46D5-8A97-73EABC63B83B}" name="Column14934"/>
    <tableColumn id="14935" xr3:uid="{3460FFA4-737E-4F5C-9622-9F1D2E0BF738}" name="Column14935"/>
    <tableColumn id="14936" xr3:uid="{16530802-3609-4A3D-AE69-09765418CD39}" name="Column14936"/>
    <tableColumn id="14937" xr3:uid="{5BE1E4BB-C0AF-4161-8EE4-21A0B11EF53E}" name="Column14937"/>
    <tableColumn id="14938" xr3:uid="{E2AAA5F0-3E3A-483D-89C3-F03217319A0D}" name="Column14938"/>
    <tableColumn id="14939" xr3:uid="{B4E8E6FA-ED95-4E62-91C0-E9C6ADD5C93B}" name="Column14939"/>
    <tableColumn id="14940" xr3:uid="{D875EB18-FAA5-44F2-83A4-B40257985737}" name="Column14940"/>
    <tableColumn id="14941" xr3:uid="{05085B91-4163-4F5E-9F5C-A8869B29DA39}" name="Column14941"/>
    <tableColumn id="14942" xr3:uid="{98AEA2E5-8403-4A0F-AA3B-E9C493BD1BB6}" name="Column14942"/>
    <tableColumn id="14943" xr3:uid="{69A17000-9C6A-49C5-92CC-74F69258379B}" name="Column14943"/>
    <tableColumn id="14944" xr3:uid="{3660F3E0-8ED3-4960-8D1B-39E5099E7E57}" name="Column14944"/>
    <tableColumn id="14945" xr3:uid="{76586D60-31E5-488E-A478-AE57DF0903F1}" name="Column14945"/>
    <tableColumn id="14946" xr3:uid="{F0E0B605-62C2-42E9-926F-D0DFB4A02D36}" name="Column14946"/>
    <tableColumn id="14947" xr3:uid="{95A9032C-9407-4583-BDE2-189C5F14E39B}" name="Column14947"/>
    <tableColumn id="14948" xr3:uid="{6C460A6C-8AA6-430B-9F71-113FF2C00200}" name="Column14948"/>
    <tableColumn id="14949" xr3:uid="{30FDC22C-B8A0-45D1-B298-06DBD84673C4}" name="Column14949"/>
    <tableColumn id="14950" xr3:uid="{DC5C1147-172D-4CFA-A823-99EB75BBA6DC}" name="Column14950"/>
    <tableColumn id="14951" xr3:uid="{AD4EA839-2578-425C-81C4-5526D2FB2519}" name="Column14951"/>
    <tableColumn id="14952" xr3:uid="{A2184161-1DAA-4B2D-B8F1-5D4166319314}" name="Column14952"/>
    <tableColumn id="14953" xr3:uid="{51600373-1DEB-48CA-B985-CC7AD908370F}" name="Column14953"/>
    <tableColumn id="14954" xr3:uid="{812E7664-B3A9-4607-A6A0-4671257A38C1}" name="Column14954"/>
    <tableColumn id="14955" xr3:uid="{633BEB48-06E8-4909-A8C3-AF0CA98B6543}" name="Column14955"/>
    <tableColumn id="14956" xr3:uid="{743365F8-322D-40D5-BD07-0B399D9E457B}" name="Column14956"/>
    <tableColumn id="14957" xr3:uid="{6CF46285-B636-4173-952F-57063F5A4BC6}" name="Column14957"/>
    <tableColumn id="14958" xr3:uid="{BAD47680-3EA1-457A-987D-5974DEAD02FD}" name="Column14958"/>
    <tableColumn id="14959" xr3:uid="{928D6080-DCA1-4153-AC51-33978426192D}" name="Column14959"/>
    <tableColumn id="14960" xr3:uid="{B2BA055D-DCD0-4FD0-83D3-AED1E9E766D8}" name="Column14960"/>
    <tableColumn id="14961" xr3:uid="{FEDA7A00-7EC2-4BC3-8B1D-ABBFB1FE9B0A}" name="Column14961"/>
    <tableColumn id="14962" xr3:uid="{ADB61946-EF87-4438-AA7B-BEECE4419401}" name="Column14962"/>
    <tableColumn id="14963" xr3:uid="{18164864-63FB-4FF5-904C-3EBC2EDFD6EB}" name="Column14963"/>
    <tableColumn id="14964" xr3:uid="{9096C397-B94E-4F23-9BC6-E5FBF5CA3053}" name="Column14964"/>
    <tableColumn id="14965" xr3:uid="{163A1D85-90B6-4662-8AD0-B6D3CDD32025}" name="Column14965"/>
    <tableColumn id="14966" xr3:uid="{3CF73811-33F0-45EC-8B89-9BC9DE3F6000}" name="Column14966"/>
    <tableColumn id="14967" xr3:uid="{E5E71519-DA90-4A73-AA0A-BB1F930E16DF}" name="Column14967"/>
    <tableColumn id="14968" xr3:uid="{692CCD70-FFC5-4DB1-BAA6-56F8EB772B47}" name="Column14968"/>
    <tableColumn id="14969" xr3:uid="{8AB238D3-5838-40B2-B8E8-9D50EE29D1AE}" name="Column14969"/>
    <tableColumn id="14970" xr3:uid="{BE5D0A53-F2EE-4F5A-A216-205D60B05DC9}" name="Column14970"/>
    <tableColumn id="14971" xr3:uid="{46030A2B-EF2B-4E2D-A98E-8753799F347D}" name="Column14971"/>
    <tableColumn id="14972" xr3:uid="{827B4B2E-F1F1-44D7-874C-D59B047B6C89}" name="Column14972"/>
    <tableColumn id="14973" xr3:uid="{08CF5919-0DB3-482A-BB5C-0B673A53E6AF}" name="Column14973"/>
    <tableColumn id="14974" xr3:uid="{12978EAC-F406-476A-9160-6C5096C39D27}" name="Column14974"/>
    <tableColumn id="14975" xr3:uid="{90CFFD54-782D-44C6-AF98-223F4337B2BC}" name="Column14975"/>
    <tableColumn id="14976" xr3:uid="{0BA0F295-087E-4BF0-94B3-EF20216C96C7}" name="Column14976"/>
    <tableColumn id="14977" xr3:uid="{E6B5674B-BF97-488A-B1F7-BC9C77FF410B}" name="Column14977"/>
    <tableColumn id="14978" xr3:uid="{3E2FCC88-CEFE-4C9A-8FA3-1D7A9FC07031}" name="Column14978"/>
    <tableColumn id="14979" xr3:uid="{3241D0FF-204C-4CC8-8985-46C618531583}" name="Column14979"/>
    <tableColumn id="14980" xr3:uid="{C6D67502-AC5E-4022-89B7-E0B097C0F6EF}" name="Column14980"/>
    <tableColumn id="14981" xr3:uid="{3BEE998F-EB68-4DF3-8123-3E2E5EFEAB75}" name="Column14981"/>
    <tableColumn id="14982" xr3:uid="{9C1FD9A0-6C08-41E5-82ED-AFE762C2CA3C}" name="Column14982"/>
    <tableColumn id="14983" xr3:uid="{2B9BD9D9-BEE9-4F5D-972F-6E9D58194F4F}" name="Column14983"/>
    <tableColumn id="14984" xr3:uid="{EFB752F5-B1B3-47AA-90B8-BB702E2ADB1B}" name="Column14984"/>
    <tableColumn id="14985" xr3:uid="{54509212-5FB8-4259-A640-3450B833E730}" name="Column14985"/>
    <tableColumn id="14986" xr3:uid="{DE1E1370-249A-4544-A3A4-8D2FA4960696}" name="Column14986"/>
    <tableColumn id="14987" xr3:uid="{A9182E1F-326D-47AA-99C7-C40540B118CE}" name="Column14987"/>
    <tableColumn id="14988" xr3:uid="{24D4A6A0-46ED-4780-A7AE-0465B2B3F668}" name="Column14988"/>
    <tableColumn id="14989" xr3:uid="{55827D35-F3EA-4B22-B6E4-3858BB8DD788}" name="Column14989"/>
    <tableColumn id="14990" xr3:uid="{877B88F0-AD9A-4B9F-8241-041ACE86075C}" name="Column14990"/>
    <tableColumn id="14991" xr3:uid="{39206E45-312A-44B5-84CA-FB0CBB80D185}" name="Column14991"/>
    <tableColumn id="14992" xr3:uid="{6FF0D709-D52E-42FC-B5DA-52BE9A7E7EBF}" name="Column14992"/>
    <tableColumn id="14993" xr3:uid="{603F1E81-BD1D-458C-BB53-9F2C23E7F27A}" name="Column14993"/>
    <tableColumn id="14994" xr3:uid="{BBC29D5B-7447-4B12-B7B0-7DFE9907EBAC}" name="Column14994"/>
    <tableColumn id="14995" xr3:uid="{8CA429B7-1B77-4D46-9D40-EBFB2162B638}" name="Column14995"/>
    <tableColumn id="14996" xr3:uid="{F532F2D5-1981-4E62-AE59-4E16DD4149D7}" name="Column14996"/>
    <tableColumn id="14997" xr3:uid="{FA49A7DB-FE28-4797-9BE8-B95FE140F8F9}" name="Column14997"/>
    <tableColumn id="14998" xr3:uid="{0E47720F-4F19-4CDE-B5C6-57E60EF737D3}" name="Column14998"/>
    <tableColumn id="14999" xr3:uid="{2EBC8BA9-4FAF-4285-8618-6C9C50D54BCA}" name="Column14999"/>
    <tableColumn id="15000" xr3:uid="{FF973188-AD91-4DC0-8E48-03747DB5D146}" name="Column15000"/>
    <tableColumn id="15001" xr3:uid="{170F0F9C-A652-4D47-AA91-FEF223CD6073}" name="Column15001"/>
    <tableColumn id="15002" xr3:uid="{D79B3997-79AB-4DF9-ACC0-1A6540365B1F}" name="Column15002"/>
    <tableColumn id="15003" xr3:uid="{69127AB8-6477-42C9-A81B-027E318A3AA1}" name="Column15003"/>
    <tableColumn id="15004" xr3:uid="{CAAB40E6-0CC8-4B82-912B-2F94C778FB84}" name="Column15004"/>
    <tableColumn id="15005" xr3:uid="{2D784ECE-7D5D-4C65-9D21-8E7F8F580766}" name="Column15005"/>
    <tableColumn id="15006" xr3:uid="{90A95542-3E46-4D05-A2CF-1F681186D84F}" name="Column15006"/>
    <tableColumn id="15007" xr3:uid="{8522AE92-DC88-4661-BC99-64E1B62720B8}" name="Column15007"/>
    <tableColumn id="15008" xr3:uid="{94864BF9-F9FD-464C-936F-A2A1B54A31EF}" name="Column15008"/>
    <tableColumn id="15009" xr3:uid="{1838B673-1A2D-45A4-ACDB-85B46DA9D2D7}" name="Column15009"/>
    <tableColumn id="15010" xr3:uid="{4BD26161-C570-465F-A558-E3DB993A0713}" name="Column15010"/>
    <tableColumn id="15011" xr3:uid="{2C4E510E-31A7-421F-A9BA-6B64FB20A25B}" name="Column15011"/>
    <tableColumn id="15012" xr3:uid="{02E08975-D99D-4F7E-BEFA-BEE581BE49AE}" name="Column15012"/>
    <tableColumn id="15013" xr3:uid="{13044542-C90F-46FF-A9F5-EBBEFE4C4F0E}" name="Column15013"/>
    <tableColumn id="15014" xr3:uid="{6A6E05D0-949F-4F13-9409-77A8762456C4}" name="Column15014"/>
    <tableColumn id="15015" xr3:uid="{FDFFEC71-E6E4-4A63-ACFB-37556D60C782}" name="Column15015"/>
    <tableColumn id="15016" xr3:uid="{67C7B79D-FBA3-4A9E-BA7D-B58AE1788EA5}" name="Column15016"/>
    <tableColumn id="15017" xr3:uid="{BA8DD017-F4BD-4A4C-AFC8-07464E9E9286}" name="Column15017"/>
    <tableColumn id="15018" xr3:uid="{73CD560F-8565-4D57-904B-36BE53E4DC0D}" name="Column15018"/>
    <tableColumn id="15019" xr3:uid="{60B675BD-E811-4504-A0A6-577FC9B277C9}" name="Column15019"/>
    <tableColumn id="15020" xr3:uid="{88E1F697-311F-44F7-809C-37E537423714}" name="Column15020"/>
    <tableColumn id="15021" xr3:uid="{6B61DF88-E61D-4DB3-BE11-933786768101}" name="Column15021"/>
    <tableColumn id="15022" xr3:uid="{8A2D1C15-79F9-4D97-9AD8-8694689CAD09}" name="Column15022"/>
    <tableColumn id="15023" xr3:uid="{5F71D679-6E31-43E7-ACE0-08D73305176D}" name="Column15023"/>
    <tableColumn id="15024" xr3:uid="{0D585074-14BC-4DF5-AED8-AF2986277CC5}" name="Column15024"/>
    <tableColumn id="15025" xr3:uid="{400E3046-C3E7-4AE6-9C82-99502DE9175E}" name="Column15025"/>
    <tableColumn id="15026" xr3:uid="{E03879C3-D13F-4855-A57C-28E9E3D29ED8}" name="Column15026"/>
    <tableColumn id="15027" xr3:uid="{C31CD3E2-5FF5-4801-BC23-F95C01569C8B}" name="Column15027"/>
    <tableColumn id="15028" xr3:uid="{757A81D0-5289-41A5-BE36-D94E4A590D5C}" name="Column15028"/>
    <tableColumn id="15029" xr3:uid="{965B7B58-B4C2-4F44-8DCC-AA8FC89F9DB8}" name="Column15029"/>
    <tableColumn id="15030" xr3:uid="{A1F20B11-CA3F-42D4-9791-300741B9193F}" name="Column15030"/>
    <tableColumn id="15031" xr3:uid="{BBC39739-368F-4667-90D7-D3444E09247E}" name="Column15031"/>
    <tableColumn id="15032" xr3:uid="{12641C1E-9DE4-4BBC-B267-1203785FC0CD}" name="Column15032"/>
    <tableColumn id="15033" xr3:uid="{D172648F-BEF4-4889-A3DC-42FC3D052A61}" name="Column15033"/>
    <tableColumn id="15034" xr3:uid="{1DCA48F9-F0F3-4D53-A578-445173C3E093}" name="Column15034"/>
    <tableColumn id="15035" xr3:uid="{3E23DF37-5132-4F32-9FB0-C24C30BC26D9}" name="Column15035"/>
    <tableColumn id="15036" xr3:uid="{4497BD8C-2101-436D-8279-23523AE2DC0D}" name="Column15036"/>
    <tableColumn id="15037" xr3:uid="{4CA9D6ED-7635-4750-9F17-49539907487E}" name="Column15037"/>
    <tableColumn id="15038" xr3:uid="{A767F275-CA5C-4636-912D-13BD07212F78}" name="Column15038"/>
    <tableColumn id="15039" xr3:uid="{01537A4D-59D3-46E2-91C4-F10E90537C66}" name="Column15039"/>
    <tableColumn id="15040" xr3:uid="{9146F5B7-F883-48E9-9290-40A54D1F0CF9}" name="Column15040"/>
    <tableColumn id="15041" xr3:uid="{0C2713A5-213A-4B2B-9D19-9FF2B928B64D}" name="Column15041"/>
    <tableColumn id="15042" xr3:uid="{00964EF5-2D46-4A05-B3AE-6A2908BCAFD8}" name="Column15042"/>
    <tableColumn id="15043" xr3:uid="{AC64A8FA-5E76-498F-BCEF-25F413C5A3F2}" name="Column15043"/>
    <tableColumn id="15044" xr3:uid="{38ED4109-A05F-4DD7-BF84-5F61B17CDE1B}" name="Column15044"/>
    <tableColumn id="15045" xr3:uid="{FE6922E9-30B9-4439-ADB4-D9409BA14220}" name="Column15045"/>
    <tableColumn id="15046" xr3:uid="{DA9A6C92-75D7-429D-B3A2-1A7036EED475}" name="Column15046"/>
    <tableColumn id="15047" xr3:uid="{91E12F1A-3031-4979-A2A4-A32D20C69946}" name="Column15047"/>
    <tableColumn id="15048" xr3:uid="{21921492-6A60-44C9-BDC5-D6FF2B499B46}" name="Column15048"/>
    <tableColumn id="15049" xr3:uid="{3F342A79-E881-4D80-B402-A8EC22A708CA}" name="Column15049"/>
    <tableColumn id="15050" xr3:uid="{26783F28-0F56-4002-B155-55A99B6D7848}" name="Column15050"/>
    <tableColumn id="15051" xr3:uid="{6469340B-3643-456E-AE76-1F833BC7CBDD}" name="Column15051"/>
    <tableColumn id="15052" xr3:uid="{21D98E51-DB82-497B-877D-1FCAF0C82B83}" name="Column15052"/>
    <tableColumn id="15053" xr3:uid="{EFA88281-47B2-4CC1-95F0-147CE7D7E49D}" name="Column15053"/>
    <tableColumn id="15054" xr3:uid="{70915C6A-104C-4EF2-8539-05DBBBF5D664}" name="Column15054"/>
    <tableColumn id="15055" xr3:uid="{FA1FF288-AC25-457C-BED7-0B53831F10FA}" name="Column15055"/>
    <tableColumn id="15056" xr3:uid="{E9648BA1-520B-4103-A3F1-659394A5D8E1}" name="Column15056"/>
    <tableColumn id="15057" xr3:uid="{72314470-3864-4858-8DBB-F0F36B693B41}" name="Column15057"/>
    <tableColumn id="15058" xr3:uid="{370FB5BB-574B-4F07-82FB-21F881DB8F0D}" name="Column15058"/>
    <tableColumn id="15059" xr3:uid="{3173C596-9B17-4309-A0A3-6DA74275929B}" name="Column15059"/>
    <tableColumn id="15060" xr3:uid="{734640A6-992B-4061-821C-55B349CC129F}" name="Column15060"/>
    <tableColumn id="15061" xr3:uid="{95D661A9-DD55-43F8-AEF2-A0CE38987FDB}" name="Column15061"/>
    <tableColumn id="15062" xr3:uid="{511929CB-AAF9-44C9-BBB9-F1A43EED8D1E}" name="Column15062"/>
    <tableColumn id="15063" xr3:uid="{36B803C5-638D-443A-9DA1-A1659633B06F}" name="Column15063"/>
    <tableColumn id="15064" xr3:uid="{90C19F06-114C-4109-A447-A8832CDE4CE8}" name="Column15064"/>
    <tableColumn id="15065" xr3:uid="{9C76D448-5E41-44F1-8CB2-D6BE3915BEBA}" name="Column15065"/>
    <tableColumn id="15066" xr3:uid="{38CC4CA0-BAE5-4050-8E40-06B95B8FF469}" name="Column15066"/>
    <tableColumn id="15067" xr3:uid="{AAE355B9-F3C0-44F5-BE29-56D30FD7C60A}" name="Column15067"/>
    <tableColumn id="15068" xr3:uid="{65654955-658C-4684-AC18-711DD7A42669}" name="Column15068"/>
    <tableColumn id="15069" xr3:uid="{EB302CCB-BE1C-4056-BF36-813EA509D51E}" name="Column15069"/>
    <tableColumn id="15070" xr3:uid="{2D07FFA0-5C55-4ECA-9078-1EEC3F6CB000}" name="Column15070"/>
    <tableColumn id="15071" xr3:uid="{B5293723-56DD-4A74-A6B3-602A4EBE3373}" name="Column15071"/>
    <tableColumn id="15072" xr3:uid="{147AC512-C717-4269-85C8-08B6ADD933B6}" name="Column15072"/>
    <tableColumn id="15073" xr3:uid="{51790B0C-B958-4E7C-851C-6B501935148E}" name="Column15073"/>
    <tableColumn id="15074" xr3:uid="{6FF347AB-AB66-4324-A8D5-07B5EA194425}" name="Column15074"/>
    <tableColumn id="15075" xr3:uid="{CE070676-C65E-489B-BF69-8B4B910DBCA1}" name="Column15075"/>
    <tableColumn id="15076" xr3:uid="{98EBAEDD-9C59-49E2-BB50-3AED0340A3AE}" name="Column15076"/>
    <tableColumn id="15077" xr3:uid="{E6DE6273-E4B2-454C-9119-BCF9572104FA}" name="Column15077"/>
    <tableColumn id="15078" xr3:uid="{0174C9C2-7C76-4561-8BE4-1B47B4A3A5CF}" name="Column15078"/>
    <tableColumn id="15079" xr3:uid="{762C10BC-6DB5-4D53-AF81-271A58CF2B1A}" name="Column15079"/>
    <tableColumn id="15080" xr3:uid="{795E9E33-01EB-473E-8944-2065124F6F9C}" name="Column15080"/>
    <tableColumn id="15081" xr3:uid="{B0C86F94-EECE-4869-AA27-7C56D36B5E1E}" name="Column15081"/>
    <tableColumn id="15082" xr3:uid="{B0C61F81-838F-4E18-8B4B-B9F675E003A2}" name="Column15082"/>
    <tableColumn id="15083" xr3:uid="{EB2DF4DD-252D-43E1-BF2E-9CAB2A1A419A}" name="Column15083"/>
    <tableColumn id="15084" xr3:uid="{284F6A84-AB16-4135-B0D9-A31F2D2581D6}" name="Column15084"/>
    <tableColumn id="15085" xr3:uid="{5E416326-050B-4550-8BC9-C3B3BC8F4014}" name="Column15085"/>
    <tableColumn id="15086" xr3:uid="{A82F3C49-74BD-4FDE-93F4-6B415C89B8FE}" name="Column15086"/>
    <tableColumn id="15087" xr3:uid="{E9981D5F-2347-44D2-9F95-4BFA583E09EF}" name="Column15087"/>
    <tableColumn id="15088" xr3:uid="{5C6258E0-762B-4CE4-BA5A-7FF6C4A40DA8}" name="Column15088"/>
    <tableColumn id="15089" xr3:uid="{2C29DD57-9B11-4FED-BFE6-1463FF2EC1B4}" name="Column15089"/>
    <tableColumn id="15090" xr3:uid="{D1761830-7A25-4DD8-90D4-ECC32ABB33C9}" name="Column15090"/>
    <tableColumn id="15091" xr3:uid="{DF43305F-6235-4A08-84B3-1A9AF2F88486}" name="Column15091"/>
    <tableColumn id="15092" xr3:uid="{7FDFEA07-DD56-4446-ADDD-F2F5EC0BB3C0}" name="Column15092"/>
    <tableColumn id="15093" xr3:uid="{0E6B9FA2-B1F4-4703-A314-4F53EFFB4D4C}" name="Column15093"/>
    <tableColumn id="15094" xr3:uid="{2DFB2E1B-3221-4A4A-88FA-79232E4DBEAA}" name="Column15094"/>
    <tableColumn id="15095" xr3:uid="{AEFD6C22-F697-4816-89CB-2F847C92FC13}" name="Column15095"/>
    <tableColumn id="15096" xr3:uid="{790763A8-1232-4AF6-80FF-59775B7C5B3C}" name="Column15096"/>
    <tableColumn id="15097" xr3:uid="{F527B38B-260B-4ECE-9E5F-3EF61897B3B3}" name="Column15097"/>
    <tableColumn id="15098" xr3:uid="{0AD1B3A7-272C-4E83-9E89-C0BA9F40A848}" name="Column15098"/>
    <tableColumn id="15099" xr3:uid="{D4C0A025-9236-4407-8ECD-733EBE6D6F95}" name="Column15099"/>
    <tableColumn id="15100" xr3:uid="{2CAA0095-8D52-4F46-B5BC-1C598B3D7F31}" name="Column15100"/>
    <tableColumn id="15101" xr3:uid="{F084DBCC-0BDA-451E-9213-906438C0EA32}" name="Column15101"/>
    <tableColumn id="15102" xr3:uid="{0A6C7F4B-2EC1-47CC-BD49-DDBC0FAABC62}" name="Column15102"/>
    <tableColumn id="15103" xr3:uid="{3B1C6946-5D41-4E8E-A1D8-935F777D2293}" name="Column15103"/>
    <tableColumn id="15104" xr3:uid="{9061764B-C7D7-4027-93B3-86123300A72F}" name="Column15104"/>
    <tableColumn id="15105" xr3:uid="{B9602718-C012-4210-B693-7A95074E466C}" name="Column15105"/>
    <tableColumn id="15106" xr3:uid="{10F4C363-0612-4C13-8157-848E4AF81F3F}" name="Column15106"/>
    <tableColumn id="15107" xr3:uid="{57D441CA-8294-4C41-A287-21A3A0A0DF12}" name="Column15107"/>
    <tableColumn id="15108" xr3:uid="{D7F71D75-FB09-4C60-9FFD-4155A7453D53}" name="Column15108"/>
    <tableColumn id="15109" xr3:uid="{6E21E08B-EE7A-431A-9DD4-4B0E7136C627}" name="Column15109"/>
    <tableColumn id="15110" xr3:uid="{4E99F166-BD57-46AE-BCD0-BF11F0E3747E}" name="Column15110"/>
    <tableColumn id="15111" xr3:uid="{02D2BEBC-BE52-41B4-80A3-BA57E53FC9E8}" name="Column15111"/>
    <tableColumn id="15112" xr3:uid="{C5593367-37E0-40B5-B9B0-EC2F3D7A35D4}" name="Column15112"/>
    <tableColumn id="15113" xr3:uid="{BDFFAD8A-BB60-419B-BF11-BF34F3C70C3A}" name="Column15113"/>
    <tableColumn id="15114" xr3:uid="{497BC7C0-84E6-459D-B600-650808AB4CA7}" name="Column15114"/>
    <tableColumn id="15115" xr3:uid="{EA31FFA2-6D61-459E-AEDC-5D8E82904EAB}" name="Column15115"/>
    <tableColumn id="15116" xr3:uid="{619E9D44-6158-42E4-B0C8-16C5CE269226}" name="Column15116"/>
    <tableColumn id="15117" xr3:uid="{EDE8EB3B-B750-485C-8171-D43EF03FC728}" name="Column15117"/>
    <tableColumn id="15118" xr3:uid="{2C63E87D-1AD9-48B9-B40B-7D106D09FCFF}" name="Column15118"/>
    <tableColumn id="15119" xr3:uid="{0DD8CCAD-965C-4F31-8906-4CDE31D44B9B}" name="Column15119"/>
    <tableColumn id="15120" xr3:uid="{C5E03413-D1AB-43C5-8DA1-455E131ECD21}" name="Column15120"/>
    <tableColumn id="15121" xr3:uid="{BAE8089A-1F70-486F-92F8-80B79C03B419}" name="Column15121"/>
    <tableColumn id="15122" xr3:uid="{5F11DD49-E57F-4997-9FDB-9A6CB8B1D212}" name="Column15122"/>
    <tableColumn id="15123" xr3:uid="{F1F0FA84-A90B-4516-B745-52016DF544A2}" name="Column15123"/>
    <tableColumn id="15124" xr3:uid="{E459489A-A323-4369-8FE4-2AF319221575}" name="Column15124"/>
    <tableColumn id="15125" xr3:uid="{9C30F38E-1EC8-4DB3-8A14-7333E4A8B9BD}" name="Column15125"/>
    <tableColumn id="15126" xr3:uid="{42CC5A53-80FD-44AF-9163-D5EF88A15F36}" name="Column15126"/>
    <tableColumn id="15127" xr3:uid="{AE2DD0C6-0BA1-4A99-99CD-8CCDA99886AA}" name="Column15127"/>
    <tableColumn id="15128" xr3:uid="{22904579-BD74-44D7-912B-FE59C09E42FB}" name="Column15128"/>
    <tableColumn id="15129" xr3:uid="{3EC2FD62-B536-4271-A3A9-6A75703CC15A}" name="Column15129"/>
    <tableColumn id="15130" xr3:uid="{5DBAF847-882E-4281-A8A5-EEB0E76C8861}" name="Column15130"/>
    <tableColumn id="15131" xr3:uid="{F6CE9AC9-064D-4A4E-8B7D-0A61E029E814}" name="Column15131"/>
    <tableColumn id="15132" xr3:uid="{6C227452-82D1-4576-86EB-570E4CCE2520}" name="Column15132"/>
    <tableColumn id="15133" xr3:uid="{604752C8-F631-48B4-9D13-FC6E4CFB037A}" name="Column15133"/>
    <tableColumn id="15134" xr3:uid="{5BF197C1-F67E-4FCD-BC85-64436EC03A81}" name="Column15134"/>
    <tableColumn id="15135" xr3:uid="{5E2EAD2A-26CD-4784-8A55-B20212C01872}" name="Column15135"/>
    <tableColumn id="15136" xr3:uid="{C999BC51-91E3-479A-A36B-1F10A153CE8C}" name="Column15136"/>
    <tableColumn id="15137" xr3:uid="{100E5E4B-E23A-4494-B6A6-CC61AAA83AB6}" name="Column15137"/>
    <tableColumn id="15138" xr3:uid="{D4CB28A2-8DE4-4C98-8846-C63767E9C8F0}" name="Column15138"/>
    <tableColumn id="15139" xr3:uid="{32C98DD5-5282-4C8A-A120-C4AD5CD6F8B3}" name="Column15139"/>
    <tableColumn id="15140" xr3:uid="{33DEC380-D944-4DEB-A917-191DEF519760}" name="Column15140"/>
    <tableColumn id="15141" xr3:uid="{72DA2183-BBE9-4794-8779-AF4EA0C9D48B}" name="Column15141"/>
    <tableColumn id="15142" xr3:uid="{8F860771-EC84-4DF6-8E60-C7711DF0EB35}" name="Column15142"/>
    <tableColumn id="15143" xr3:uid="{1EBC161C-5CD0-4B7A-BFD8-A01F291208EE}" name="Column15143"/>
    <tableColumn id="15144" xr3:uid="{00F1F06F-584E-4D4E-A82D-0B415D8DFB6B}" name="Column15144"/>
    <tableColumn id="15145" xr3:uid="{A8D62AD5-24A1-4E3C-A737-92F78B5E1B41}" name="Column15145"/>
    <tableColumn id="15146" xr3:uid="{A614CEB0-3F84-4C8F-A729-73EA24829AFF}" name="Column15146"/>
    <tableColumn id="15147" xr3:uid="{F1A82971-8034-49FD-877B-711FC8E0723E}" name="Column15147"/>
    <tableColumn id="15148" xr3:uid="{8234AAA3-2A34-40DC-AEBC-AFB3CBA26ECD}" name="Column15148"/>
    <tableColumn id="15149" xr3:uid="{AAD3DF3C-6618-48FC-A627-A172293E6293}" name="Column15149"/>
    <tableColumn id="15150" xr3:uid="{C7F98309-EA58-4CFC-9DF2-A044B50BF856}" name="Column15150"/>
    <tableColumn id="15151" xr3:uid="{19CFAC62-B396-43CD-AA0A-8A7885BC57FD}" name="Column15151"/>
    <tableColumn id="15152" xr3:uid="{174DAECC-FB07-43EC-B2C9-A325FBC2A90B}" name="Column15152"/>
    <tableColumn id="15153" xr3:uid="{F0B1A293-4FA0-42E2-8338-DE8B41E5B1A6}" name="Column15153"/>
    <tableColumn id="15154" xr3:uid="{41375032-B6B3-4705-AA46-33E2E1847751}" name="Column15154"/>
    <tableColumn id="15155" xr3:uid="{EE228B63-8CC4-40F3-8396-6B1455619313}" name="Column15155"/>
    <tableColumn id="15156" xr3:uid="{ACFA2592-15C8-4D05-BF03-2C8A6789318F}" name="Column15156"/>
    <tableColumn id="15157" xr3:uid="{88B88DD7-1BF8-4312-8D5A-7EBBA10707BF}" name="Column15157"/>
    <tableColumn id="15158" xr3:uid="{98F9633A-362D-40B4-AD1F-AA9C989C32B4}" name="Column15158"/>
    <tableColumn id="15159" xr3:uid="{7C0A059C-5A19-4C89-AA99-F12BF5D43892}" name="Column15159"/>
    <tableColumn id="15160" xr3:uid="{A5F5FB15-EF4B-43C8-A90B-92B83727CC26}" name="Column15160"/>
    <tableColumn id="15161" xr3:uid="{6C4C63E0-02EB-4F55-8F72-6A4302C1CCD2}" name="Column15161"/>
    <tableColumn id="15162" xr3:uid="{45912546-678A-4A0A-A70E-697DF3D4E3EA}" name="Column15162"/>
    <tableColumn id="15163" xr3:uid="{217885F0-1BC9-4E1E-969C-237D5D80313B}" name="Column15163"/>
    <tableColumn id="15164" xr3:uid="{91F33D04-B927-49CD-B92E-E6F84292D319}" name="Column15164"/>
    <tableColumn id="15165" xr3:uid="{C79707A6-88C8-4624-BC06-9C3213665C54}" name="Column15165"/>
    <tableColumn id="15166" xr3:uid="{622FAF83-93C6-403B-940B-3A6F3A8F6AF9}" name="Column15166"/>
    <tableColumn id="15167" xr3:uid="{C4753706-EFAE-43DB-A845-1213F8129CC6}" name="Column15167"/>
    <tableColumn id="15168" xr3:uid="{FBB20C98-111E-4E7A-8ECD-36F3E8897A44}" name="Column15168"/>
    <tableColumn id="15169" xr3:uid="{107CEB36-6BD7-462F-82B8-88CB44DBF6C4}" name="Column15169"/>
    <tableColumn id="15170" xr3:uid="{AB33D1A2-6B09-4522-A715-DFB037856185}" name="Column15170"/>
    <tableColumn id="15171" xr3:uid="{E6298A7A-0CEF-4EF0-8AAF-FE2740BB3FAD}" name="Column15171"/>
    <tableColumn id="15172" xr3:uid="{535D4BDD-9559-455D-965B-E92CDE6B5DBC}" name="Column15172"/>
    <tableColumn id="15173" xr3:uid="{3DFBEB5F-7861-4B07-9C24-1EAAE9242CD8}" name="Column15173"/>
    <tableColumn id="15174" xr3:uid="{F7E4B6A0-F9D1-4251-8E80-0733885869D6}" name="Column15174"/>
    <tableColumn id="15175" xr3:uid="{658AC1DA-1A6C-46CC-8290-8C674660AEEA}" name="Column15175"/>
    <tableColumn id="15176" xr3:uid="{0300B5E5-B331-40F1-B8AA-0D7C8D6F0CD6}" name="Column15176"/>
    <tableColumn id="15177" xr3:uid="{FE868EF4-E5B5-449D-8DA7-D15BCF42107B}" name="Column15177"/>
    <tableColumn id="15178" xr3:uid="{C33AA16A-D819-4DE2-BB7D-D3958E086517}" name="Column15178"/>
    <tableColumn id="15179" xr3:uid="{F682B466-08BF-4942-84FF-29B5F3F2D8E0}" name="Column15179"/>
    <tableColumn id="15180" xr3:uid="{E38FB46D-D12F-4928-8C22-DB6B97CAAFF4}" name="Column15180"/>
    <tableColumn id="15181" xr3:uid="{3983860C-4A58-4D8F-863B-169EFC6A7C3E}" name="Column15181"/>
    <tableColumn id="15182" xr3:uid="{06A2D146-7BC9-4EB7-9420-E356311D3285}" name="Column15182"/>
    <tableColumn id="15183" xr3:uid="{ED50D599-8D59-4AE3-99CD-6206C58B7833}" name="Column15183"/>
    <tableColumn id="15184" xr3:uid="{7EB49FC9-AA29-4F38-B633-7D2C25E513B0}" name="Column15184"/>
    <tableColumn id="15185" xr3:uid="{C8AAE134-113D-4268-A303-627D4BA7B2ED}" name="Column15185"/>
    <tableColumn id="15186" xr3:uid="{71E7140B-7E3F-4059-B67A-EB86E7C79688}" name="Column15186"/>
    <tableColumn id="15187" xr3:uid="{AC9787F9-D18F-4A97-940C-745A49C7054F}" name="Column15187"/>
    <tableColumn id="15188" xr3:uid="{5F60037E-9626-4D84-974E-FCFC1E299140}" name="Column15188"/>
    <tableColumn id="15189" xr3:uid="{A85A49ED-84C0-4E17-8FA4-B63A06FE2660}" name="Column15189"/>
    <tableColumn id="15190" xr3:uid="{256AC97B-5278-46F5-8CE6-C79488E2AB4F}" name="Column15190"/>
    <tableColumn id="15191" xr3:uid="{5508DFC5-1F4A-4376-8AE5-E1CAB981438D}" name="Column15191"/>
    <tableColumn id="15192" xr3:uid="{58E2D2BC-1218-4DA1-B60B-5BA3149DCF6C}" name="Column15192"/>
    <tableColumn id="15193" xr3:uid="{2B6E6874-343C-49DF-923C-C31A987B54A7}" name="Column15193"/>
    <tableColumn id="15194" xr3:uid="{638720C9-BCD8-4246-85D4-5D26B34EE9E1}" name="Column15194"/>
    <tableColumn id="15195" xr3:uid="{8C4DB01F-2765-425A-8A7C-096ACB03C7ED}" name="Column15195"/>
    <tableColumn id="15196" xr3:uid="{F2319ADD-7398-41C3-970E-3F1A7F71DBBA}" name="Column15196"/>
    <tableColumn id="15197" xr3:uid="{2534B07C-40D9-4F16-9490-81B82CE89316}" name="Column15197"/>
    <tableColumn id="15198" xr3:uid="{F5F8AD61-E3E0-4A4A-BB66-EA0DA9B3AB0E}" name="Column15198"/>
    <tableColumn id="15199" xr3:uid="{919A78A9-8BA9-4C14-BD86-CF33DBBB78EF}" name="Column15199"/>
    <tableColumn id="15200" xr3:uid="{E8FAD092-23D4-4D94-AA75-13DD532557AC}" name="Column15200"/>
    <tableColumn id="15201" xr3:uid="{FCE2C809-FDEB-457D-9688-FF709C77A208}" name="Column15201"/>
    <tableColumn id="15202" xr3:uid="{C6707499-BBB7-474A-B2B6-9063A568FD0A}" name="Column15202"/>
    <tableColumn id="15203" xr3:uid="{9C72E076-06C0-4C17-9358-60AA3A9E8A6F}" name="Column15203"/>
    <tableColumn id="15204" xr3:uid="{3B840B01-21DD-4EF7-A347-D33757549996}" name="Column15204"/>
    <tableColumn id="15205" xr3:uid="{43337B61-5E7E-48A1-A13E-07366FE802F4}" name="Column15205"/>
    <tableColumn id="15206" xr3:uid="{C7839CD4-894D-46EF-A8AF-43B6EF468395}" name="Column15206"/>
    <tableColumn id="15207" xr3:uid="{0E833077-CD47-4CFB-B736-23767E0A4065}" name="Column15207"/>
    <tableColumn id="15208" xr3:uid="{1C529BF8-39E2-4A7E-89F6-ED9151CA328C}" name="Column15208"/>
    <tableColumn id="15209" xr3:uid="{F97A9E04-1BE5-49F7-8653-0604D6759823}" name="Column15209"/>
    <tableColumn id="15210" xr3:uid="{FCD0A89C-CC95-4236-9020-43DAE2226163}" name="Column15210"/>
    <tableColumn id="15211" xr3:uid="{D03D626A-4DA5-4A91-AACC-DA84D9C85A8B}" name="Column15211"/>
    <tableColumn id="15212" xr3:uid="{E2D1B7C6-5F6A-45E7-9336-7141CB76E7C2}" name="Column15212"/>
    <tableColumn id="15213" xr3:uid="{3A4EE519-6C12-4288-85E3-9E61243DB360}" name="Column15213"/>
    <tableColumn id="15214" xr3:uid="{25993720-DE8B-4379-B3F0-3105167E522A}" name="Column15214"/>
    <tableColumn id="15215" xr3:uid="{B9109001-4D6D-46BB-8F9C-B67BB7CF1C04}" name="Column15215"/>
    <tableColumn id="15216" xr3:uid="{4DCF8425-EE9C-46FB-AC15-F07E02090A7B}" name="Column15216"/>
    <tableColumn id="15217" xr3:uid="{AEAECEA1-2A84-480B-8A01-10F4B9FC8004}" name="Column15217"/>
    <tableColumn id="15218" xr3:uid="{68C534DF-4B48-4F00-8E89-4E58C80E134C}" name="Column15218"/>
    <tableColumn id="15219" xr3:uid="{C79F7324-EF1A-4365-B97A-584352E84595}" name="Column15219"/>
    <tableColumn id="15220" xr3:uid="{8E7319D8-4DE2-4D08-BA43-B9F28452DA22}" name="Column15220"/>
    <tableColumn id="15221" xr3:uid="{A8C0602F-71BD-4236-9365-B6018258A2F5}" name="Column15221"/>
    <tableColumn id="15222" xr3:uid="{376E25CD-EA3A-4973-8DCD-D8C4D845E440}" name="Column15222"/>
    <tableColumn id="15223" xr3:uid="{3D68DEF4-0B68-4577-8D65-9F264C068F9F}" name="Column15223"/>
    <tableColumn id="15224" xr3:uid="{153AE726-21AC-4727-AC3C-B974A2588F9E}" name="Column15224"/>
    <tableColumn id="15225" xr3:uid="{89751298-D83E-4E7C-B6D7-4409409141E4}" name="Column15225"/>
    <tableColumn id="15226" xr3:uid="{9B7C78E8-C921-4CA4-AB26-40AA75907E85}" name="Column15226"/>
    <tableColumn id="15227" xr3:uid="{AEFD772D-EF95-4671-B3D2-09395418020C}" name="Column15227"/>
    <tableColumn id="15228" xr3:uid="{5B74937C-2FDE-46DE-843F-752A4F6BA856}" name="Column15228"/>
    <tableColumn id="15229" xr3:uid="{BC88BDEC-1C96-4A8E-8B6F-F8C7C8BDBAAA}" name="Column15229"/>
    <tableColumn id="15230" xr3:uid="{C3528345-7F8F-4C42-847D-7E0DEBE688F3}" name="Column15230"/>
    <tableColumn id="15231" xr3:uid="{C1019C70-D0D3-4E1D-A4E2-872A736771D8}" name="Column15231"/>
    <tableColumn id="15232" xr3:uid="{EE1FD6C2-F24C-42F1-B266-0917027A38DC}" name="Column15232"/>
    <tableColumn id="15233" xr3:uid="{4DF6C343-205B-48E8-BB49-6A0956A3795F}" name="Column15233"/>
    <tableColumn id="15234" xr3:uid="{172CA58F-03AC-4269-89A4-CE1DFD314B02}" name="Column15234"/>
    <tableColumn id="15235" xr3:uid="{CA90D106-A570-4807-AD40-686D401AC085}" name="Column15235"/>
    <tableColumn id="15236" xr3:uid="{4C355FA4-73D2-4011-B639-039A8BDD5B92}" name="Column15236"/>
    <tableColumn id="15237" xr3:uid="{4CF9240A-90CD-43D1-ADF4-F12A70E5BBB8}" name="Column15237"/>
    <tableColumn id="15238" xr3:uid="{9020F24B-3552-4A74-8161-5D4394F298D9}" name="Column15238"/>
    <tableColumn id="15239" xr3:uid="{CF4A4019-1DB8-46C1-82C6-FEAEC561EF49}" name="Column15239"/>
    <tableColumn id="15240" xr3:uid="{43CDBA82-7487-4C21-90AE-1529C2F36AFA}" name="Column15240"/>
    <tableColumn id="15241" xr3:uid="{4905C5D0-02B9-480F-8F36-95E378AB7470}" name="Column15241"/>
    <tableColumn id="15242" xr3:uid="{5533F045-52C6-4B82-93EA-7ECE993A3F5E}" name="Column15242"/>
    <tableColumn id="15243" xr3:uid="{563D335E-7DE5-4A46-9AF4-D7F41AAA23A9}" name="Column15243"/>
    <tableColumn id="15244" xr3:uid="{EEA77CFD-78C9-472A-A8EC-9CD3E79951DC}" name="Column15244"/>
    <tableColumn id="15245" xr3:uid="{22278F27-90CB-4899-92B8-BCAF880365BB}" name="Column15245"/>
    <tableColumn id="15246" xr3:uid="{C79DCBFD-D9C1-45F5-AF16-3720CE056B19}" name="Column15246"/>
    <tableColumn id="15247" xr3:uid="{223D5F5C-C6F8-488D-A043-09868A0A183D}" name="Column15247"/>
    <tableColumn id="15248" xr3:uid="{7CFE4B82-78C4-4182-9209-6E36CABBC8E6}" name="Column15248"/>
    <tableColumn id="15249" xr3:uid="{949A77BC-0A76-4EEC-BA36-273142D2A8E5}" name="Column15249"/>
    <tableColumn id="15250" xr3:uid="{655A7C8A-7999-4045-BC0B-90326F736694}" name="Column15250"/>
    <tableColumn id="15251" xr3:uid="{4DFA53AB-E5C4-4F30-9ADA-6136D0C65126}" name="Column15251"/>
    <tableColumn id="15252" xr3:uid="{ED49A7E2-F03B-436B-8D3A-DB68A2316EE2}" name="Column15252"/>
    <tableColumn id="15253" xr3:uid="{BA34880B-EC15-4031-82C8-5378C1A6AEE1}" name="Column15253"/>
    <tableColumn id="15254" xr3:uid="{68ED2087-E8BC-481D-B599-F951D08C1FE1}" name="Column15254"/>
    <tableColumn id="15255" xr3:uid="{0C8AEAA4-A284-4E59-B00D-6D906694C710}" name="Column15255"/>
    <tableColumn id="15256" xr3:uid="{221664E5-54C0-4665-94D8-36BCDD95B8B1}" name="Column15256"/>
    <tableColumn id="15257" xr3:uid="{F1C0856F-B3D2-41A0-8A86-EEC64DAE2710}" name="Column15257"/>
    <tableColumn id="15258" xr3:uid="{465EE9BF-8C0C-40A0-B36E-5B9AF514EAC2}" name="Column15258"/>
    <tableColumn id="15259" xr3:uid="{8602012B-AB14-4713-9C71-24F059F2A523}" name="Column15259"/>
    <tableColumn id="15260" xr3:uid="{5C1A6AF5-AFE4-4B46-9BDE-73166C14669D}" name="Column15260"/>
    <tableColumn id="15261" xr3:uid="{C118D186-739C-4617-8D34-91F03857EF1C}" name="Column15261"/>
    <tableColumn id="15262" xr3:uid="{3DDAB2C1-1ABC-4ADC-8919-316B7D3AE4EA}" name="Column15262"/>
    <tableColumn id="15263" xr3:uid="{D3B09143-C551-49A1-B939-026E0EA7D148}" name="Column15263"/>
    <tableColumn id="15264" xr3:uid="{2621FE73-8A18-4F6F-883E-67C81E624AEA}" name="Column15264"/>
    <tableColumn id="15265" xr3:uid="{5F46B782-3BE0-4493-A190-8E78FA139EC6}" name="Column15265"/>
    <tableColumn id="15266" xr3:uid="{7C24FC6B-2768-4D89-B61E-1C77379794CE}" name="Column15266"/>
    <tableColumn id="15267" xr3:uid="{8C9A26CC-57FA-4CB6-80A1-4223A4B4D506}" name="Column15267"/>
    <tableColumn id="15268" xr3:uid="{199C34D3-2BE6-4B14-BB96-D6E6A83DF2E0}" name="Column15268"/>
    <tableColumn id="15269" xr3:uid="{636C355F-B3E3-4275-84F6-66E598EAE710}" name="Column15269"/>
    <tableColumn id="15270" xr3:uid="{5EA40029-E1BE-439A-9D78-3199E447725F}" name="Column15270"/>
    <tableColumn id="15271" xr3:uid="{17828DB9-3A75-4F58-9297-FFF6959E01B7}" name="Column15271"/>
    <tableColumn id="15272" xr3:uid="{FCF3DC19-A46F-47EE-ADA7-06910E351B83}" name="Column15272"/>
    <tableColumn id="15273" xr3:uid="{59A7634E-9ED5-4F23-A7A2-F63FDFB559D2}" name="Column15273"/>
    <tableColumn id="15274" xr3:uid="{920577B8-D087-44DD-BAED-9AF517E571AE}" name="Column15274"/>
    <tableColumn id="15275" xr3:uid="{7B5F5836-8C21-4990-84B1-6FEADB2D1131}" name="Column15275"/>
    <tableColumn id="15276" xr3:uid="{0C3FEBE6-A644-4F38-B750-A0FA599B5AD9}" name="Column15276"/>
    <tableColumn id="15277" xr3:uid="{13ED2280-F7D3-4817-9BEA-05D917148142}" name="Column15277"/>
    <tableColumn id="15278" xr3:uid="{68740C90-9E7B-499B-9A68-5BA2E0A39AF5}" name="Column15278"/>
    <tableColumn id="15279" xr3:uid="{41810CBE-265A-44E0-B76D-71BB89507EF7}" name="Column15279"/>
    <tableColumn id="15280" xr3:uid="{49F0E191-4799-4EBD-9F77-DA9EFF2ED7C2}" name="Column15280"/>
    <tableColumn id="15281" xr3:uid="{7B83704C-AEE7-45BD-88A7-B675135674FA}" name="Column15281"/>
    <tableColumn id="15282" xr3:uid="{6BAC01C8-3F73-46D9-BDDA-38AE3EDA6456}" name="Column15282"/>
    <tableColumn id="15283" xr3:uid="{2641FA4C-07D8-4832-8B4F-2E2E270BC9EE}" name="Column15283"/>
    <tableColumn id="15284" xr3:uid="{9F20845D-4E73-44FD-B2B1-0DB2CA17DB56}" name="Column15284"/>
    <tableColumn id="15285" xr3:uid="{17632291-71F4-496A-A85B-DB264E667B63}" name="Column15285"/>
    <tableColumn id="15286" xr3:uid="{182CD32E-79BE-48E0-B380-160C8120BC3C}" name="Column15286"/>
    <tableColumn id="15287" xr3:uid="{1EEB4952-1EC0-43D4-8EBD-64AA5FA15007}" name="Column15287"/>
    <tableColumn id="15288" xr3:uid="{2EA5ED09-95B9-4E87-AA35-B0F79B8095F9}" name="Column15288"/>
    <tableColumn id="15289" xr3:uid="{29F84B27-B759-4F28-98AF-8DC390657CA1}" name="Column15289"/>
    <tableColumn id="15290" xr3:uid="{FDDD1FEC-2D83-46B6-BCA7-C31A6E2A5045}" name="Column15290"/>
    <tableColumn id="15291" xr3:uid="{E6940089-2810-4956-980A-5E1319BF98F1}" name="Column15291"/>
    <tableColumn id="15292" xr3:uid="{3DBC9C6A-6884-4B17-BBED-9EF5155E9B92}" name="Column15292"/>
    <tableColumn id="15293" xr3:uid="{52C9DBF0-7E0F-4620-9645-6ACE4E7CB50F}" name="Column15293"/>
    <tableColumn id="15294" xr3:uid="{4DFE1BF4-7354-4F1E-AEBE-339E40746280}" name="Column15294"/>
    <tableColumn id="15295" xr3:uid="{E0CE5320-21F1-437B-839D-1681BC05191E}" name="Column15295"/>
    <tableColumn id="15296" xr3:uid="{0A006B43-0998-49CD-8D5B-6A0B7A3209ED}" name="Column15296"/>
    <tableColumn id="15297" xr3:uid="{43F9BFCE-D4B4-4082-A025-F61AF934FDBB}" name="Column15297"/>
    <tableColumn id="15298" xr3:uid="{BF534A58-18E7-4B2A-A8BD-74DE32A41D39}" name="Column15298"/>
    <tableColumn id="15299" xr3:uid="{CDC36FD0-F903-4F8F-AD87-6F5C9EEDBA40}" name="Column15299"/>
    <tableColumn id="15300" xr3:uid="{23B5ED7D-BD79-45E6-84F0-30163383A0A9}" name="Column15300"/>
    <tableColumn id="15301" xr3:uid="{4993DA3C-5954-4DC7-9082-A2BEBA16EBED}" name="Column15301"/>
    <tableColumn id="15302" xr3:uid="{91D4E159-169D-40E3-B9F2-86BEC614CBF4}" name="Column15302"/>
    <tableColumn id="15303" xr3:uid="{076F359B-2329-4E59-844E-401EA91D492D}" name="Column15303"/>
    <tableColumn id="15304" xr3:uid="{DE30924F-6C10-49FC-B07C-6567817AAC6E}" name="Column15304"/>
    <tableColumn id="15305" xr3:uid="{80F40A39-C135-4159-A832-C1ABD5D4F0A1}" name="Column15305"/>
    <tableColumn id="15306" xr3:uid="{40BD6ABD-587B-46EE-B933-BB02DB28DA0A}" name="Column15306"/>
    <tableColumn id="15307" xr3:uid="{B573F6A4-D293-450B-A932-590678226195}" name="Column15307"/>
    <tableColumn id="15308" xr3:uid="{83E414EC-EA73-4656-B471-A3B6D125FF90}" name="Column15308"/>
    <tableColumn id="15309" xr3:uid="{1A45791E-0AE5-441F-B2A6-095EB7A5CF49}" name="Column15309"/>
    <tableColumn id="15310" xr3:uid="{308E76F5-6DDD-4AED-A1FE-B58EFC5F5AEB}" name="Column15310"/>
    <tableColumn id="15311" xr3:uid="{F65B0A82-79F1-4A3E-BB2D-75517D13265F}" name="Column15311"/>
    <tableColumn id="15312" xr3:uid="{A72B44EA-BD49-438E-8A91-E577EE91BEFB}" name="Column15312"/>
    <tableColumn id="15313" xr3:uid="{8E340FB9-7A02-41F2-9AF3-2D9F57FC79F8}" name="Column15313"/>
    <tableColumn id="15314" xr3:uid="{DE66B418-00FD-4D51-B529-0D97DC0FCEAE}" name="Column15314"/>
    <tableColumn id="15315" xr3:uid="{AD287A1D-D87E-4939-966B-48F2D7909455}" name="Column15315"/>
    <tableColumn id="15316" xr3:uid="{E5418A18-9F18-48AA-9527-46C9B0F50DD5}" name="Column15316"/>
    <tableColumn id="15317" xr3:uid="{99D30BCD-EBF7-44E9-8670-62F11D57A318}" name="Column15317"/>
    <tableColumn id="15318" xr3:uid="{B0B12C8C-BF50-417F-9213-00E43B15FE98}" name="Column15318"/>
    <tableColumn id="15319" xr3:uid="{50EA8EEC-867F-46D3-95E6-C752938215B4}" name="Column15319"/>
    <tableColumn id="15320" xr3:uid="{305A8CAE-9DD4-422B-85DE-70C7B0EB6C5E}" name="Column15320"/>
    <tableColumn id="15321" xr3:uid="{1DE7066A-F151-4B78-9813-C80A1CF5F89F}" name="Column15321"/>
    <tableColumn id="15322" xr3:uid="{6B039AF8-C687-4D50-AA35-5755A9FC4235}" name="Column15322"/>
    <tableColumn id="15323" xr3:uid="{8F1A65D6-64AC-4E43-A8D6-51D4A87334C3}" name="Column15323"/>
    <tableColumn id="15324" xr3:uid="{7A53C8BD-15FA-4347-8498-255569350EA9}" name="Column15324"/>
    <tableColumn id="15325" xr3:uid="{01BEBBD6-0C7F-4B4C-9345-D71FB54A1EB3}" name="Column15325"/>
    <tableColumn id="15326" xr3:uid="{C93A944E-2636-4061-988D-BFA4F078C5F6}" name="Column15326"/>
    <tableColumn id="15327" xr3:uid="{C070CD8C-96A2-445B-AF2A-ABDAEE707E95}" name="Column15327"/>
    <tableColumn id="15328" xr3:uid="{5F0C5E8E-0D7D-4E96-A900-DDEBC8F3BF13}" name="Column15328"/>
    <tableColumn id="15329" xr3:uid="{E8C11CFF-A9D9-4D4D-B78A-E72F8B19635A}" name="Column15329"/>
    <tableColumn id="15330" xr3:uid="{4DAF3EE9-9730-4E27-B84F-B0DF2BFAB7E1}" name="Column15330"/>
    <tableColumn id="15331" xr3:uid="{5A62DBEC-6C36-4140-B9B0-A6101EE38AEA}" name="Column15331"/>
    <tableColumn id="15332" xr3:uid="{B001115D-300E-419F-BBCE-C8996B3DCBCA}" name="Column15332"/>
    <tableColumn id="15333" xr3:uid="{A8F11D22-F156-419F-AB35-6FABADB22686}" name="Column15333"/>
    <tableColumn id="15334" xr3:uid="{D2D12B13-63F0-49E3-8249-19B84D96B5A2}" name="Column15334"/>
    <tableColumn id="15335" xr3:uid="{A2B5C68C-EB22-4ADB-A5D2-9085A315FA5E}" name="Column15335"/>
    <tableColumn id="15336" xr3:uid="{639AA598-B776-4D67-81E7-2273348250F2}" name="Column15336"/>
    <tableColumn id="15337" xr3:uid="{9AF76ECC-5687-4E44-A52B-F11B85AA3D09}" name="Column15337"/>
    <tableColumn id="15338" xr3:uid="{519DB87E-12D7-40A4-8FB1-5835CA8F7E29}" name="Column15338"/>
    <tableColumn id="15339" xr3:uid="{877D2277-F74E-42B3-AB2A-1CD33F84C62E}" name="Column15339"/>
    <tableColumn id="15340" xr3:uid="{6D7A385F-1C1C-49C5-8C51-BE8E6939C98F}" name="Column15340"/>
    <tableColumn id="15341" xr3:uid="{D364306E-CF0F-4CC6-AAF5-8347000D7C12}" name="Column15341"/>
    <tableColumn id="15342" xr3:uid="{ED4B6156-B2B6-466E-9D15-A7A4561ECAA0}" name="Column15342"/>
    <tableColumn id="15343" xr3:uid="{1E0F71E5-BCEC-4E32-8A61-AE807CED081A}" name="Column15343"/>
    <tableColumn id="15344" xr3:uid="{22D5B002-E767-44E1-99B2-3FE7672A649F}" name="Column15344"/>
    <tableColumn id="15345" xr3:uid="{04BBD0C8-6935-4320-B084-73A24996FCAE}" name="Column15345"/>
    <tableColumn id="15346" xr3:uid="{80760722-5781-439D-825D-2AA069078CA4}" name="Column15346"/>
    <tableColumn id="15347" xr3:uid="{5A8F9B04-2C5F-4F4D-80B6-5A4C0AD20330}" name="Column15347"/>
    <tableColumn id="15348" xr3:uid="{4C6B6466-73FC-435C-BF02-DA6A0EF58E22}" name="Column15348"/>
    <tableColumn id="15349" xr3:uid="{72AF6D2C-F526-4123-A10A-ED7FF0FBDE8F}" name="Column15349"/>
    <tableColumn id="15350" xr3:uid="{5C14D01B-0011-447B-8C41-C3D97E093D56}" name="Column15350"/>
    <tableColumn id="15351" xr3:uid="{46B13456-65F9-400B-A559-12A85495CEBA}" name="Column15351"/>
    <tableColumn id="15352" xr3:uid="{91695C9F-515E-40FA-BDFA-3F300E82F592}" name="Column15352"/>
    <tableColumn id="15353" xr3:uid="{D8E62972-6542-4DB1-B547-22F28B565292}" name="Column15353"/>
    <tableColumn id="15354" xr3:uid="{E044FA88-CB08-4C71-BC81-068AB2668A67}" name="Column15354"/>
    <tableColumn id="15355" xr3:uid="{6034D4CF-57DA-480D-BC9C-A2D62208E9FC}" name="Column15355"/>
    <tableColumn id="15356" xr3:uid="{7FF8F45A-A90C-43EA-9293-474D26467F86}" name="Column15356"/>
    <tableColumn id="15357" xr3:uid="{C1EA701F-999C-4452-A56A-4A221FB4479D}" name="Column15357"/>
    <tableColumn id="15358" xr3:uid="{5711508B-EA64-4680-99D8-337D95A83818}" name="Column15358"/>
    <tableColumn id="15359" xr3:uid="{250A8DAE-D0B4-44BF-B6F8-3C230CAE88EC}" name="Column15359"/>
    <tableColumn id="15360" xr3:uid="{976EE346-80D0-42CB-915C-BAE155FBAF36}" name="Column15360"/>
    <tableColumn id="15361" xr3:uid="{0DEDEE42-F83D-4FA6-B60F-44268680DD33}" name="Column15361"/>
    <tableColumn id="15362" xr3:uid="{BB4B8A06-EA2F-49B7-8F67-2CA77B53A01F}" name="Column15362"/>
    <tableColumn id="15363" xr3:uid="{6D97BB50-B3B3-4213-97A8-5C17E29C5425}" name="Column15363"/>
    <tableColumn id="15364" xr3:uid="{8FDEBBDB-EBFE-4B02-8CAC-04284EDA78C0}" name="Column15364"/>
    <tableColumn id="15365" xr3:uid="{8FE1C210-82B4-4AF1-910D-954E37E663A1}" name="Column15365"/>
    <tableColumn id="15366" xr3:uid="{B65211FD-0347-4C84-A3EE-2FE7D291835B}" name="Column15366"/>
    <tableColumn id="15367" xr3:uid="{186753CF-82AC-40F1-909C-D8E823381BD7}" name="Column15367"/>
    <tableColumn id="15368" xr3:uid="{45D972F9-17C1-4EDD-BED0-B0467E396731}" name="Column15368"/>
    <tableColumn id="15369" xr3:uid="{D7929EC7-B69C-48FF-89C6-3DAD861068B6}" name="Column15369"/>
    <tableColumn id="15370" xr3:uid="{B9470140-556A-4EA1-A383-728335D9B050}" name="Column15370"/>
    <tableColumn id="15371" xr3:uid="{7A921E4D-1B34-4C77-A63E-2AE07C800E66}" name="Column15371"/>
    <tableColumn id="15372" xr3:uid="{8EFA0D3B-2824-4855-B755-C8100F7964A4}" name="Column15372"/>
    <tableColumn id="15373" xr3:uid="{C8BF5109-CBCC-4AAB-9693-3172B2047391}" name="Column15373"/>
    <tableColumn id="15374" xr3:uid="{67018DC7-7617-4541-BEF9-0AEC5FB6D2AC}" name="Column15374"/>
    <tableColumn id="15375" xr3:uid="{0C91BB88-2C76-43E8-AC72-BC137819CEEE}" name="Column15375"/>
    <tableColumn id="15376" xr3:uid="{169BF040-DAF9-449F-9CF0-867A23E48FF4}" name="Column15376"/>
    <tableColumn id="15377" xr3:uid="{EC666971-0175-4E5F-A29F-0DDA2258BA03}" name="Column15377"/>
    <tableColumn id="15378" xr3:uid="{1280F948-0008-4385-A900-92BCD298BDEF}" name="Column15378"/>
    <tableColumn id="15379" xr3:uid="{3553B346-82CB-451B-A82A-2BF2C3CE1211}" name="Column15379"/>
    <tableColumn id="15380" xr3:uid="{5E317A97-55F0-482F-9EFA-DC4AC45D0388}" name="Column15380"/>
    <tableColumn id="15381" xr3:uid="{8336DA9A-5C05-4A39-A143-F183C6D59C84}" name="Column15381"/>
    <tableColumn id="15382" xr3:uid="{F5E38971-BFEA-4C8F-9CB1-A28255921A74}" name="Column15382"/>
    <tableColumn id="15383" xr3:uid="{0B7276C6-842E-49AE-9CB9-0D8F23E2C2B9}" name="Column15383"/>
    <tableColumn id="15384" xr3:uid="{BE0A520E-6A6C-4ED1-A286-CE9361B8C673}" name="Column15384"/>
    <tableColumn id="15385" xr3:uid="{484C2C6D-8560-45A4-A618-A8470BA05D41}" name="Column15385"/>
    <tableColumn id="15386" xr3:uid="{7B0B5CF8-F868-4FAD-85F6-8A35BDCD9BC1}" name="Column15386"/>
    <tableColumn id="15387" xr3:uid="{5F1C527D-C230-41EB-94AA-636C6B924234}" name="Column15387"/>
    <tableColumn id="15388" xr3:uid="{9B19901D-504C-48C4-AB5C-CB445854954D}" name="Column15388"/>
    <tableColumn id="15389" xr3:uid="{4BAE15CB-68FE-46D9-BD8D-9D7EA180FD86}" name="Column15389"/>
    <tableColumn id="15390" xr3:uid="{96CFFF63-1D2A-46D2-B522-E24A1A6911F6}" name="Column15390"/>
    <tableColumn id="15391" xr3:uid="{692158D6-6D6D-4221-9872-D906EF450121}" name="Column15391"/>
    <tableColumn id="15392" xr3:uid="{26EBCEE4-575D-4B7B-B524-2AE5EC404008}" name="Column15392"/>
    <tableColumn id="15393" xr3:uid="{AFBD9A41-55C3-4F28-A16B-4CBBF009EA6F}" name="Column15393"/>
    <tableColumn id="15394" xr3:uid="{FDC160D1-00D6-48E3-B997-8E5F546070DF}" name="Column15394"/>
    <tableColumn id="15395" xr3:uid="{0CDCAB50-07DE-4787-A61A-32EE9C581D7D}" name="Column15395"/>
    <tableColumn id="15396" xr3:uid="{65CC5051-5A33-4EE5-8B9A-EC94174BECEE}" name="Column15396"/>
    <tableColumn id="15397" xr3:uid="{F38CC88A-BA7C-4DDE-B0CB-1EE3C4CECFFE}" name="Column15397"/>
    <tableColumn id="15398" xr3:uid="{573B4649-DA10-46A1-A01C-0DBE79C2390D}" name="Column15398"/>
    <tableColumn id="15399" xr3:uid="{733F4A70-40AE-42E8-9B37-9F0CCADD18ED}" name="Column15399"/>
    <tableColumn id="15400" xr3:uid="{AB4FD687-88DD-46CB-82EC-74CAA77DBC75}" name="Column15400"/>
    <tableColumn id="15401" xr3:uid="{AF4FB8C5-45A6-4F72-B98C-DEDCF45EF92E}" name="Column15401"/>
    <tableColumn id="15402" xr3:uid="{02DBFF9A-0270-42C7-AC58-3BC738EC4A9D}" name="Column15402"/>
    <tableColumn id="15403" xr3:uid="{4394BD51-629B-4B6F-A483-0A0468946A49}" name="Column15403"/>
    <tableColumn id="15404" xr3:uid="{A9DDE668-6D18-49A7-BB8C-A66C67281A68}" name="Column15404"/>
    <tableColumn id="15405" xr3:uid="{F934733B-750C-4AA8-AEBD-23B307DDCCD3}" name="Column15405"/>
    <tableColumn id="15406" xr3:uid="{C3CFA14A-B29A-4613-A501-0004DB59B08D}" name="Column15406"/>
    <tableColumn id="15407" xr3:uid="{C1E9896E-E56F-4D9C-9C1C-D7AAAB5ACABF}" name="Column15407"/>
    <tableColumn id="15408" xr3:uid="{233AB30B-368E-44BD-8BD7-D5AAC9240E18}" name="Column15408"/>
    <tableColumn id="15409" xr3:uid="{76DE1FC4-7067-40C5-91A9-F8F7312BB016}" name="Column15409"/>
    <tableColumn id="15410" xr3:uid="{801F5E87-2E4B-4904-BA2C-4246BDC7CC7E}" name="Column15410"/>
    <tableColumn id="15411" xr3:uid="{148FA06B-C2F0-4336-86A0-BAD4DBD778E5}" name="Column15411"/>
    <tableColumn id="15412" xr3:uid="{A3328ED7-A459-45D4-A9F9-41689908595A}" name="Column15412"/>
    <tableColumn id="15413" xr3:uid="{587BC01C-5B14-4D74-A029-5CF4A69306C7}" name="Column15413"/>
    <tableColumn id="15414" xr3:uid="{A0236A5C-D821-43D1-AB84-69E57144C2CF}" name="Column15414"/>
    <tableColumn id="15415" xr3:uid="{ABEB4AFC-A525-41BD-A628-2B730E4FADA7}" name="Column15415"/>
    <tableColumn id="15416" xr3:uid="{73470F5C-DAAC-4B79-9D67-DF25C644F18B}" name="Column15416"/>
    <tableColumn id="15417" xr3:uid="{231B9B98-B2C8-4E32-BF79-B3092ED1D5A5}" name="Column15417"/>
    <tableColumn id="15418" xr3:uid="{20551472-52D7-4A07-9D3A-0C8E22689338}" name="Column15418"/>
    <tableColumn id="15419" xr3:uid="{AB9CC43A-99CA-4749-8821-B156F2B092B8}" name="Column15419"/>
    <tableColumn id="15420" xr3:uid="{CFED1A9C-3C5E-417A-BE57-63A69714E1E8}" name="Column15420"/>
    <tableColumn id="15421" xr3:uid="{B836ACAD-3A8D-4975-9857-8FE00A64FD4D}" name="Column15421"/>
    <tableColumn id="15422" xr3:uid="{D12D21A5-AB9B-47A8-AA2B-0E2C14CCA1EB}" name="Column15422"/>
    <tableColumn id="15423" xr3:uid="{DCBD14E6-319B-4B17-9F03-473946A76C2B}" name="Column15423"/>
    <tableColumn id="15424" xr3:uid="{BCABA2B3-C934-4382-9047-EAEDD759A957}" name="Column15424"/>
    <tableColumn id="15425" xr3:uid="{560331E9-6F5F-42D2-86EA-C65BBE2AD0AB}" name="Column15425"/>
    <tableColumn id="15426" xr3:uid="{BB3A7977-8CFB-4831-A442-1DD3B50C927B}" name="Column15426"/>
    <tableColumn id="15427" xr3:uid="{B6BC71CB-3535-4BD5-86EA-0EC7BF63DE17}" name="Column15427"/>
    <tableColumn id="15428" xr3:uid="{F420ECCC-CC7D-4693-979F-3653E862AB1A}" name="Column15428"/>
    <tableColumn id="15429" xr3:uid="{21418D0E-DD91-47E7-A106-39B2A6506CEC}" name="Column15429"/>
    <tableColumn id="15430" xr3:uid="{B224BC5A-FA52-4958-81B7-8AD2BF133713}" name="Column15430"/>
    <tableColumn id="15431" xr3:uid="{54BED3DF-2930-42D9-ABBD-351B0977A813}" name="Column15431"/>
    <tableColumn id="15432" xr3:uid="{14EC1BE1-C776-41E5-898C-AB1A7C613867}" name="Column15432"/>
    <tableColumn id="15433" xr3:uid="{71FBA96C-0026-44FE-A76E-14B37265C963}" name="Column15433"/>
    <tableColumn id="15434" xr3:uid="{5EB47D5D-3995-4980-8532-6E8FFF0F223F}" name="Column15434"/>
    <tableColumn id="15435" xr3:uid="{7533C9B4-125C-4407-B8AC-7ABAA1066550}" name="Column15435"/>
    <tableColumn id="15436" xr3:uid="{5BF165AD-F927-48EB-A191-CF3D46C2B894}" name="Column15436"/>
    <tableColumn id="15437" xr3:uid="{94ADEA46-6770-41EC-9105-FFBBC4DE1EA1}" name="Column15437"/>
    <tableColumn id="15438" xr3:uid="{143D1C30-A5FC-46C3-9E0C-4D569F019571}" name="Column15438"/>
    <tableColumn id="15439" xr3:uid="{2BDBD740-64C5-4BE1-B56C-56F6DA9524A7}" name="Column15439"/>
    <tableColumn id="15440" xr3:uid="{FEE653E2-E3D8-489B-8F28-A3CFF9D9980E}" name="Column15440"/>
    <tableColumn id="15441" xr3:uid="{A2A5D6C0-FDA9-46B7-BFF0-02DA00BF31A8}" name="Column15441"/>
    <tableColumn id="15442" xr3:uid="{13F332E8-A753-4ECB-AC21-F6F96FAD78F6}" name="Column15442"/>
    <tableColumn id="15443" xr3:uid="{0752D44A-EB6E-431D-9853-11773AF5393F}" name="Column15443"/>
    <tableColumn id="15444" xr3:uid="{02A4D7BA-04DC-4D07-9B8B-3F6CBC0500BF}" name="Column15444"/>
    <tableColumn id="15445" xr3:uid="{5B883FDF-B496-47CA-87C2-1835F4E56950}" name="Column15445"/>
    <tableColumn id="15446" xr3:uid="{E51C7ED6-F311-4332-9007-B2246A76C82A}" name="Column15446"/>
    <tableColumn id="15447" xr3:uid="{C3CCA7ED-6979-4D42-A56D-D9D1FFF3A8A7}" name="Column15447"/>
    <tableColumn id="15448" xr3:uid="{05C3C1B8-3B6B-41F9-96F7-61606B1B365E}" name="Column15448"/>
    <tableColumn id="15449" xr3:uid="{7015A754-C036-4C77-B195-D7D7C03E44A7}" name="Column15449"/>
    <tableColumn id="15450" xr3:uid="{7E9225AA-14C9-4EBE-8C21-F57ECB9FE4D3}" name="Column15450"/>
    <tableColumn id="15451" xr3:uid="{0C83B026-2C16-40F6-BB20-DFD62EDFB614}" name="Column15451"/>
    <tableColumn id="15452" xr3:uid="{F0AB778C-32DF-4C96-805B-D75F4F5157E4}" name="Column15452"/>
    <tableColumn id="15453" xr3:uid="{0E58A806-FF39-4073-B38A-2D6BBFB14452}" name="Column15453"/>
    <tableColumn id="15454" xr3:uid="{C97AB223-72F2-4F0A-B3F0-2CEFD6CD4BB6}" name="Column15454"/>
    <tableColumn id="15455" xr3:uid="{1D45A6D8-6568-4D38-882F-3B19656023CC}" name="Column15455"/>
    <tableColumn id="15456" xr3:uid="{3FAD6998-DBD2-454D-9C14-9E902656D3CA}" name="Column15456"/>
    <tableColumn id="15457" xr3:uid="{7FAFC48B-906C-4127-A94F-87801ABE3B37}" name="Column15457"/>
    <tableColumn id="15458" xr3:uid="{C6C67972-1526-42E8-859D-9FAA37B26163}" name="Column15458"/>
    <tableColumn id="15459" xr3:uid="{0A316D5C-BA84-4A0B-BF0C-F6B0BBC2A93B}" name="Column15459"/>
    <tableColumn id="15460" xr3:uid="{455DE963-8ED2-4017-8B60-18313C1D8B2F}" name="Column15460"/>
    <tableColumn id="15461" xr3:uid="{C444D64E-0F20-42CD-8302-16BCCD4A1825}" name="Column15461"/>
    <tableColumn id="15462" xr3:uid="{8D2DA827-588D-4D76-9CD3-A2ED86E73255}" name="Column15462"/>
    <tableColumn id="15463" xr3:uid="{A8578D1A-0428-4AD7-93E7-B26132DC63F6}" name="Column15463"/>
    <tableColumn id="15464" xr3:uid="{76AF3D39-94CF-4FBD-AD68-8783012997B8}" name="Column15464"/>
    <tableColumn id="15465" xr3:uid="{EEBC6F12-5D30-40F9-B706-CD9AF4E0DA9A}" name="Column15465"/>
    <tableColumn id="15466" xr3:uid="{CAE1D9C6-08EA-414F-9AA0-5ECBC8A5A84D}" name="Column15466"/>
    <tableColumn id="15467" xr3:uid="{B98EBC5F-43B9-4D9C-B21C-966165730612}" name="Column15467"/>
    <tableColumn id="15468" xr3:uid="{A72B2A5D-A052-4EE9-B07F-D26395450B86}" name="Column15468"/>
    <tableColumn id="15469" xr3:uid="{6C78793A-78E5-4941-8B7A-3AE2EEAAFA25}" name="Column15469"/>
    <tableColumn id="15470" xr3:uid="{3D4969A9-FCDF-4867-A001-C19D54D60170}" name="Column15470"/>
    <tableColumn id="15471" xr3:uid="{567C84C1-FC70-4970-998E-8C138A89A893}" name="Column15471"/>
    <tableColumn id="15472" xr3:uid="{A47FECAE-26C2-4577-8512-610CDA044581}" name="Column15472"/>
    <tableColumn id="15473" xr3:uid="{EF275C97-3DD4-4E9B-B044-4CF231ADF23E}" name="Column15473"/>
    <tableColumn id="15474" xr3:uid="{48125026-6EFF-4594-95B0-9F051C0C0C84}" name="Column15474"/>
    <tableColumn id="15475" xr3:uid="{BE3C7C9C-3D06-4B9D-93FE-08EAA54A0B00}" name="Column15475"/>
    <tableColumn id="15476" xr3:uid="{F0108301-5696-4527-9ED9-7F1B711E9AE0}" name="Column15476"/>
    <tableColumn id="15477" xr3:uid="{BD399D3E-F70C-4D09-89C9-CA7957E41A21}" name="Column15477"/>
    <tableColumn id="15478" xr3:uid="{510DE3B3-6544-46A6-8637-BA4AAD3C91F8}" name="Column15478"/>
    <tableColumn id="15479" xr3:uid="{2D85D6DA-5B64-4DEE-8520-89CB2298B4AC}" name="Column15479"/>
    <tableColumn id="15480" xr3:uid="{F7BC1665-AE90-4364-958B-6D37B4A4CBF7}" name="Column15480"/>
    <tableColumn id="15481" xr3:uid="{474D2266-2F26-4E2B-BA08-59A4F96BCBF3}" name="Column15481"/>
    <tableColumn id="15482" xr3:uid="{513A0080-14B5-44EA-82FC-68B51E3415CE}" name="Column15482"/>
    <tableColumn id="15483" xr3:uid="{2AA32B3A-72F6-44E9-A269-699ECC0FC844}" name="Column15483"/>
    <tableColumn id="15484" xr3:uid="{E08E9C7B-4B76-4F54-98AF-875B5BCEBC17}" name="Column15484"/>
    <tableColumn id="15485" xr3:uid="{9242B7D3-B99C-4DC6-8C45-41204DFBE1B4}" name="Column15485"/>
    <tableColumn id="15486" xr3:uid="{8BC179DB-2943-495D-9983-3DA51C41B81E}" name="Column15486"/>
    <tableColumn id="15487" xr3:uid="{D163E18B-BD39-487F-8C8F-CCA902770D1A}" name="Column15487"/>
    <tableColumn id="15488" xr3:uid="{050A4743-B63F-4880-A971-0B01BF7D6391}" name="Column15488"/>
    <tableColumn id="15489" xr3:uid="{D592975E-4389-486B-9F15-8177470DAFE0}" name="Column15489"/>
    <tableColumn id="15490" xr3:uid="{E194600A-F361-4660-A9B2-FE1126511309}" name="Column15490"/>
    <tableColumn id="15491" xr3:uid="{C0333F31-58A4-4CB5-881C-DE1EED089A52}" name="Column15491"/>
    <tableColumn id="15492" xr3:uid="{215E4DCB-8B8E-4CC3-85E7-747C856206EB}" name="Column15492"/>
    <tableColumn id="15493" xr3:uid="{760A424E-963C-41D2-80AF-B334D578A350}" name="Column15493"/>
    <tableColumn id="15494" xr3:uid="{969B3BEE-F0C6-46AE-8369-556626D30447}" name="Column15494"/>
    <tableColumn id="15495" xr3:uid="{ADA6889F-18D8-4DB8-BD23-56EB2A9C5A29}" name="Column15495"/>
    <tableColumn id="15496" xr3:uid="{480D8382-97EB-49D7-B188-4BC25FA81E9E}" name="Column15496"/>
    <tableColumn id="15497" xr3:uid="{C8376FF7-CE6B-4002-A1E1-119C649AF079}" name="Column15497"/>
    <tableColumn id="15498" xr3:uid="{B90DDB62-D995-4CC7-A0F1-AE5ED4E52124}" name="Column15498"/>
    <tableColumn id="15499" xr3:uid="{D534D882-821D-439F-8FBE-95E9C74A67F5}" name="Column15499"/>
    <tableColumn id="15500" xr3:uid="{21318C73-B6CD-49FB-8EE8-A0B887AAFFBD}" name="Column15500"/>
    <tableColumn id="15501" xr3:uid="{ABCBDCC3-6922-420D-B500-50390799B07F}" name="Column15501"/>
    <tableColumn id="15502" xr3:uid="{5E6B8DE6-906B-4FEA-A859-0D79216CB0A7}" name="Column15502"/>
    <tableColumn id="15503" xr3:uid="{0E115A2A-F6BA-459C-A7C0-631A4289BA9A}" name="Column15503"/>
    <tableColumn id="15504" xr3:uid="{5E66C37F-A8F1-4371-A8CF-E87718FB8818}" name="Column15504"/>
    <tableColumn id="15505" xr3:uid="{9C16A370-A10E-47F1-8AB8-CCD381F75ECE}" name="Column15505"/>
    <tableColumn id="15506" xr3:uid="{64AEC931-AE0B-43F5-B907-AE86EC42B9B7}" name="Column15506"/>
    <tableColumn id="15507" xr3:uid="{62F29313-5A2D-46D1-B3E5-D6BE49D28D92}" name="Column15507"/>
    <tableColumn id="15508" xr3:uid="{EDD6DB30-EBBF-4143-954F-46705A9CF39D}" name="Column15508"/>
    <tableColumn id="15509" xr3:uid="{ACC70421-DB4D-42DA-94CC-34259B0A911D}" name="Column15509"/>
    <tableColumn id="15510" xr3:uid="{ACBE3774-CFEF-4A7B-815C-9C2F2A64A948}" name="Column15510"/>
    <tableColumn id="15511" xr3:uid="{91718D5C-6237-418D-AD0F-3FB3118EAD16}" name="Column15511"/>
    <tableColumn id="15512" xr3:uid="{5F34FCB2-CE26-4E10-BB75-5ACEDC3DC2DF}" name="Column15512"/>
    <tableColumn id="15513" xr3:uid="{58BB42FC-B9A5-4B2D-9D80-17BE8375DA45}" name="Column15513"/>
    <tableColumn id="15514" xr3:uid="{DA1A4805-963C-4766-9CF2-C6A2423C0BC6}" name="Column15514"/>
    <tableColumn id="15515" xr3:uid="{8F62859C-8B8D-46BA-978A-A1687599DAE8}" name="Column15515"/>
    <tableColumn id="15516" xr3:uid="{48B36961-749B-4133-B6F4-265F0ABB0A1E}" name="Column15516"/>
    <tableColumn id="15517" xr3:uid="{7A58A42E-DB04-4443-BBDE-954CD324D2FA}" name="Column15517"/>
    <tableColumn id="15518" xr3:uid="{845617E2-51C6-46DD-B3A3-7A85CCD8F872}" name="Column15518"/>
    <tableColumn id="15519" xr3:uid="{D6CE0EAA-42F3-4A67-A398-40DAE5839122}" name="Column15519"/>
    <tableColumn id="15520" xr3:uid="{AA871904-C6AB-4767-99BD-6D2462874645}" name="Column15520"/>
    <tableColumn id="15521" xr3:uid="{32708B81-D580-44AD-B1F5-F3CC44B1A5F8}" name="Column15521"/>
    <tableColumn id="15522" xr3:uid="{52BCD0A0-ABE9-4758-8C84-E85903163022}" name="Column15522"/>
    <tableColumn id="15523" xr3:uid="{9141D557-256E-49C5-8D57-FA467F52E3D7}" name="Column15523"/>
    <tableColumn id="15524" xr3:uid="{67914D2A-F173-4FA6-8F87-B6826F82A010}" name="Column15524"/>
    <tableColumn id="15525" xr3:uid="{58AF4686-0AB9-4C6F-91F9-D4DB6B4E4772}" name="Column15525"/>
    <tableColumn id="15526" xr3:uid="{15C5A720-89CB-47C5-ADAE-D59269988AB1}" name="Column15526"/>
    <tableColumn id="15527" xr3:uid="{4F1C08E1-75A7-40EA-A60D-3D0190D72E1A}" name="Column15527"/>
    <tableColumn id="15528" xr3:uid="{0985151B-2840-4A6F-8F7F-4F9711FF9B1C}" name="Column15528"/>
    <tableColumn id="15529" xr3:uid="{8666AFEC-9F99-43EE-A2AF-3392BB50C420}" name="Column15529"/>
    <tableColumn id="15530" xr3:uid="{9BBA866A-D11F-4A7F-BA15-CCB631E5D934}" name="Column15530"/>
    <tableColumn id="15531" xr3:uid="{FD2C78BE-9F2B-4EAF-A57C-A12605FF3881}" name="Column15531"/>
    <tableColumn id="15532" xr3:uid="{FF0AD6FB-219A-4AC1-89AB-6592AA3A64DE}" name="Column15532"/>
    <tableColumn id="15533" xr3:uid="{ADD6F16F-3178-420D-B8F0-F6CBD16F087B}" name="Column15533"/>
    <tableColumn id="15534" xr3:uid="{BCE9B02E-613B-4A9B-8FB7-66278C0007F1}" name="Column15534"/>
    <tableColumn id="15535" xr3:uid="{72A5505C-7533-4F4A-86AE-82294C4D6479}" name="Column15535"/>
    <tableColumn id="15536" xr3:uid="{10F6A541-96B7-445D-81D1-4D9A1317AE23}" name="Column15536"/>
    <tableColumn id="15537" xr3:uid="{2D8E0678-FB04-4FA2-ABCE-E8E0ABE55D0B}" name="Column15537"/>
    <tableColumn id="15538" xr3:uid="{CDF07206-6EE8-4466-B7A2-F1229AB1FDFB}" name="Column15538"/>
    <tableColumn id="15539" xr3:uid="{3DCCED06-9317-41C2-84B7-6A7EDBFF094B}" name="Column15539"/>
    <tableColumn id="15540" xr3:uid="{B840BD35-FF79-4C6E-9761-4E45A489BE2B}" name="Column15540"/>
    <tableColumn id="15541" xr3:uid="{DE815399-E4A3-4E93-810A-811A934ED49A}" name="Column15541"/>
    <tableColumn id="15542" xr3:uid="{2DCB9E10-587D-4493-B1BC-03916E822D3D}" name="Column15542"/>
    <tableColumn id="15543" xr3:uid="{4E22226D-DC66-43E7-BB84-9DD85989BE3E}" name="Column15543"/>
    <tableColumn id="15544" xr3:uid="{3E6B2FBF-F884-4BFB-A279-2BC079CDD05A}" name="Column15544"/>
    <tableColumn id="15545" xr3:uid="{1BAC6CBB-B16A-4BE7-BEBA-D2B6CFE8AB5E}" name="Column15545"/>
    <tableColumn id="15546" xr3:uid="{C3784E72-F57E-4FF0-B7F8-0BBB1DB7E877}" name="Column15546"/>
    <tableColumn id="15547" xr3:uid="{B9580113-07B3-4BCE-8617-34175BBB87E7}" name="Column15547"/>
    <tableColumn id="15548" xr3:uid="{C05DFE26-4052-4BDB-A3C0-69F409FEE8E3}" name="Column15548"/>
    <tableColumn id="15549" xr3:uid="{A348312E-07CF-4303-A1C9-C88473AB1CBA}" name="Column15549"/>
    <tableColumn id="15550" xr3:uid="{102063F5-C363-4B0D-908B-741846CA421A}" name="Column15550"/>
    <tableColumn id="15551" xr3:uid="{51983896-4018-4AFA-894A-D2A6813EDBCE}" name="Column15551"/>
    <tableColumn id="15552" xr3:uid="{687E38F1-A3ED-488E-A93C-9CC61F564D39}" name="Column15552"/>
    <tableColumn id="15553" xr3:uid="{35DFE1FB-3597-4573-87A7-E73DE746C8EB}" name="Column15553"/>
    <tableColumn id="15554" xr3:uid="{F197E058-0A17-4953-A7D3-486CD8EC15AC}" name="Column15554"/>
    <tableColumn id="15555" xr3:uid="{67486973-9404-4920-AF14-1B0C4EACE1E4}" name="Column15555"/>
    <tableColumn id="15556" xr3:uid="{E380DCD2-2E33-45E3-A34E-D2E56B09C204}" name="Column15556"/>
    <tableColumn id="15557" xr3:uid="{843175EB-B4B0-4421-BEAE-72B156AC8BA2}" name="Column15557"/>
    <tableColumn id="15558" xr3:uid="{55CAE49B-C0FD-4FF2-A8C6-031BABB71857}" name="Column15558"/>
    <tableColumn id="15559" xr3:uid="{AE1CD44B-1865-4056-9F7A-B65C818FB3C0}" name="Column15559"/>
    <tableColumn id="15560" xr3:uid="{A1995DCD-683D-411C-A5FF-D44954A8D7DF}" name="Column15560"/>
    <tableColumn id="15561" xr3:uid="{BC2696D6-6E88-439B-8C6F-956D97046A90}" name="Column15561"/>
    <tableColumn id="15562" xr3:uid="{63B026A3-66B8-4974-8D1D-4FEDB5737F64}" name="Column15562"/>
    <tableColumn id="15563" xr3:uid="{E53C691E-9062-48D5-83FA-B71BB81888C9}" name="Column15563"/>
    <tableColumn id="15564" xr3:uid="{CEFEB8E9-B2E3-49C1-99F4-88C763C0DCD9}" name="Column15564"/>
    <tableColumn id="15565" xr3:uid="{767AF356-DB7E-41BE-88C2-CE1D3EA4EE53}" name="Column15565"/>
    <tableColumn id="15566" xr3:uid="{F3225DCB-92EA-4CA3-A4D8-C819005A0761}" name="Column15566"/>
    <tableColumn id="15567" xr3:uid="{77525241-06B8-415F-893D-02DDE5AB4096}" name="Column15567"/>
    <tableColumn id="15568" xr3:uid="{5B8E114A-544D-409D-A7D6-EA4A6F40FC84}" name="Column15568"/>
    <tableColumn id="15569" xr3:uid="{150D35B1-7F13-4AC4-A478-46499F8F56DD}" name="Column15569"/>
    <tableColumn id="15570" xr3:uid="{222E3276-5896-4141-A2BC-CCFB16A040C1}" name="Column15570"/>
    <tableColumn id="15571" xr3:uid="{008E69AA-2983-4B27-9338-9A765CA126D7}" name="Column15571"/>
    <tableColumn id="15572" xr3:uid="{E69A8888-412C-421A-83D2-64683D5F6FCC}" name="Column15572"/>
    <tableColumn id="15573" xr3:uid="{86735485-7AD9-4BD3-954D-62FC04AE4B8B}" name="Column15573"/>
    <tableColumn id="15574" xr3:uid="{2FAD5068-FBBE-47B1-B751-9BF66CCFF1B3}" name="Column15574"/>
    <tableColumn id="15575" xr3:uid="{170CF3BB-EF0A-46C4-AB42-21E615EDBC10}" name="Column15575"/>
    <tableColumn id="15576" xr3:uid="{119F7EFE-52D4-41D4-8738-AB5371728A78}" name="Column15576"/>
    <tableColumn id="15577" xr3:uid="{2E82EDB2-B441-4FEB-920D-1675DBBD5ABF}" name="Column15577"/>
    <tableColumn id="15578" xr3:uid="{4D11D785-4117-44F5-B536-5E5EDFA6529C}" name="Column15578"/>
    <tableColumn id="15579" xr3:uid="{652A698C-A709-4B81-BBAB-126A2A910E5A}" name="Column15579"/>
    <tableColumn id="15580" xr3:uid="{B7D4DB0F-85E4-4BAA-A804-EE400290F292}" name="Column15580"/>
    <tableColumn id="15581" xr3:uid="{04B8C4BF-1E9D-448A-9E4F-678ABBB4B8D4}" name="Column15581"/>
    <tableColumn id="15582" xr3:uid="{982AAD05-0254-4E85-8FDA-08B323488390}" name="Column15582"/>
    <tableColumn id="15583" xr3:uid="{21E3FDE6-6E10-4E8A-993D-6DBEA217139F}" name="Column15583"/>
    <tableColumn id="15584" xr3:uid="{B9CDFBD1-013F-4780-BC06-D6D213DC69FC}" name="Column15584"/>
    <tableColumn id="15585" xr3:uid="{E9B0DA48-56B0-4F6D-B5C8-6280122960E5}" name="Column15585"/>
    <tableColumn id="15586" xr3:uid="{F46C078F-D1C0-45BD-9080-D54531FE0A4D}" name="Column15586"/>
    <tableColumn id="15587" xr3:uid="{1B0760B9-4507-4765-8954-DFB845551DCE}" name="Column15587"/>
    <tableColumn id="15588" xr3:uid="{EE53A883-0C11-47F1-9C92-D9B510156617}" name="Column15588"/>
    <tableColumn id="15589" xr3:uid="{2172F12B-0F22-4CF3-A950-905B2A0659BB}" name="Column15589"/>
    <tableColumn id="15590" xr3:uid="{21CF6100-3BCA-4AA5-8B98-6CFFBAD527B5}" name="Column15590"/>
    <tableColumn id="15591" xr3:uid="{A906720E-BEED-4CA4-90DC-7C65613D69CD}" name="Column15591"/>
    <tableColumn id="15592" xr3:uid="{95EB6C4F-B2E6-48C5-B997-7F90252C393F}" name="Column15592"/>
    <tableColumn id="15593" xr3:uid="{747CAA4D-0046-44BF-B56E-60A898B5DF52}" name="Column15593"/>
    <tableColumn id="15594" xr3:uid="{83B60862-82DF-48D1-8D8F-EE44202D30B9}" name="Column15594"/>
    <tableColumn id="15595" xr3:uid="{2B3B4673-1CEE-4857-9BAA-470B93ECE1D4}" name="Column15595"/>
    <tableColumn id="15596" xr3:uid="{3DC49218-9D7F-4DA8-B757-CB60C306129B}" name="Column15596"/>
    <tableColumn id="15597" xr3:uid="{594EF725-44F5-4514-81F0-8955133C2FF1}" name="Column15597"/>
    <tableColumn id="15598" xr3:uid="{52F5E4E7-3CF3-41F8-A156-26A26E61F5EB}" name="Column15598"/>
    <tableColumn id="15599" xr3:uid="{A44575FF-2360-43E0-A523-E22A2C376952}" name="Column15599"/>
    <tableColumn id="15600" xr3:uid="{388C5665-5B20-41D2-867D-68E536A4587F}" name="Column15600"/>
    <tableColumn id="15601" xr3:uid="{DDD61A09-3DF8-4BE3-9FAF-C7EF6A8F17BE}" name="Column15601"/>
    <tableColumn id="15602" xr3:uid="{327BAC48-6EC5-4F84-8A17-E6E53918BCC7}" name="Column15602"/>
    <tableColumn id="15603" xr3:uid="{B7A90EEF-AA32-4BC7-996A-A03F3B28EE3E}" name="Column15603"/>
    <tableColumn id="15604" xr3:uid="{08CAB106-24BA-421F-BF64-1D3036E4BDC5}" name="Column15604"/>
    <tableColumn id="15605" xr3:uid="{F44A7BCB-3C3D-4AAA-BBA4-43B2D42F772C}" name="Column15605"/>
    <tableColumn id="15606" xr3:uid="{FDF70ACC-6BB5-4A48-BC20-B63209B60633}" name="Column15606"/>
    <tableColumn id="15607" xr3:uid="{09D4608B-87AA-4397-9F52-D215B64C00BD}" name="Column15607"/>
    <tableColumn id="15608" xr3:uid="{4662D141-61D4-48DE-90D9-A5A13DC107B6}" name="Column15608"/>
    <tableColumn id="15609" xr3:uid="{EBD3ECED-ECD1-4CA8-8E72-DB72C299B32D}" name="Column15609"/>
    <tableColumn id="15610" xr3:uid="{006D1E34-73E6-4F64-BAB1-EB439F8FDECD}" name="Column15610"/>
    <tableColumn id="15611" xr3:uid="{2B0F133A-11E1-43F1-B1BB-7B10B88712F5}" name="Column15611"/>
    <tableColumn id="15612" xr3:uid="{E58007CB-299B-4A52-A43D-F3F740974EEC}" name="Column15612"/>
    <tableColumn id="15613" xr3:uid="{44A2A964-4517-48FA-B1CB-38FE3F534295}" name="Column15613"/>
    <tableColumn id="15614" xr3:uid="{934DA6A8-4032-41F7-B955-3D00AD61D346}" name="Column15614"/>
    <tableColumn id="15615" xr3:uid="{A52EE6E4-7532-47EC-82B0-ED501D7690F5}" name="Column15615"/>
    <tableColumn id="15616" xr3:uid="{76023EB8-1D5D-4492-9ABE-F9D9959083BE}" name="Column15616"/>
    <tableColumn id="15617" xr3:uid="{3F7DF8B3-D55C-43B9-8315-316BCA1974F8}" name="Column15617"/>
    <tableColumn id="15618" xr3:uid="{4A14EEFD-C599-408C-8B53-68141DBBBA9D}" name="Column15618"/>
    <tableColumn id="15619" xr3:uid="{40A12219-8B92-4F79-A292-C1B52623969F}" name="Column15619"/>
    <tableColumn id="15620" xr3:uid="{29279BC0-1DA2-4609-9865-A51F5AFF9985}" name="Column15620"/>
    <tableColumn id="15621" xr3:uid="{E03EFD00-EA3D-4F5C-B58D-68E8F0B8AB7A}" name="Column15621"/>
    <tableColumn id="15622" xr3:uid="{FC5F035F-1C93-44AC-985A-5E7FBC30E645}" name="Column15622"/>
    <tableColumn id="15623" xr3:uid="{238E3564-86D8-4B9E-A9F2-8C1F48347013}" name="Column15623"/>
    <tableColumn id="15624" xr3:uid="{1B3024A0-261C-4939-97DF-2F10BCB9E787}" name="Column15624"/>
    <tableColumn id="15625" xr3:uid="{B366815D-125C-47DE-8E05-B96744FE7602}" name="Column15625"/>
    <tableColumn id="15626" xr3:uid="{A229CE40-0ACC-408E-968C-9CF0F876E171}" name="Column15626"/>
    <tableColumn id="15627" xr3:uid="{4C132041-09BA-455D-9C0D-F0D6C1496BBF}" name="Column15627"/>
    <tableColumn id="15628" xr3:uid="{92255C9B-7F15-449A-8E3C-1A024696E0F1}" name="Column15628"/>
    <tableColumn id="15629" xr3:uid="{D8BCEFAC-F81F-496A-BE3F-7F47000083BA}" name="Column15629"/>
    <tableColumn id="15630" xr3:uid="{77D808D6-3133-4C37-974C-E55DFEB38F62}" name="Column15630"/>
    <tableColumn id="15631" xr3:uid="{7039C1C6-98EF-407C-9ECA-9504FB1D94FC}" name="Column15631"/>
    <tableColumn id="15632" xr3:uid="{90F97D67-C3A0-4B23-8463-CE2BB7A55CEE}" name="Column15632"/>
    <tableColumn id="15633" xr3:uid="{E175DEDD-93B1-45EE-9479-E2D4ABA45CF2}" name="Column15633"/>
    <tableColumn id="15634" xr3:uid="{2474AB54-B049-4903-A719-0FFC07425850}" name="Column15634"/>
    <tableColumn id="15635" xr3:uid="{68A1D8AB-F886-45AC-9953-EF39D3331B96}" name="Column15635"/>
    <tableColumn id="15636" xr3:uid="{59310266-AEE0-4258-8132-9665DDA987B9}" name="Column15636"/>
    <tableColumn id="15637" xr3:uid="{2A6D6E9B-98CF-4095-AB9B-8BC9E6E7D0E3}" name="Column15637"/>
    <tableColumn id="15638" xr3:uid="{DDBA6C77-7C2D-4060-98FB-B9EA90841328}" name="Column15638"/>
    <tableColumn id="15639" xr3:uid="{BFDCDBEE-6E87-4727-A992-B4FF3589C227}" name="Column15639"/>
    <tableColumn id="15640" xr3:uid="{1F475710-FF87-4C93-B710-B2806DACD352}" name="Column15640"/>
    <tableColumn id="15641" xr3:uid="{27605B41-57CB-4760-B0B7-52372AC05CB0}" name="Column15641"/>
    <tableColumn id="15642" xr3:uid="{4C520DCA-93D9-4B46-87BD-3035DD97AEF4}" name="Column15642"/>
    <tableColumn id="15643" xr3:uid="{A168AD0D-C9D1-4768-AF06-CFB0C238AAF8}" name="Column15643"/>
    <tableColumn id="15644" xr3:uid="{ACD38990-CE0E-4766-9785-73227F3E47D6}" name="Column15644"/>
    <tableColumn id="15645" xr3:uid="{1F1769E1-88E2-4BA1-8F3F-4AF981EDDFE3}" name="Column15645"/>
    <tableColumn id="15646" xr3:uid="{80C6C3A5-3A1B-41E5-8DF7-EE73C1A3BFB2}" name="Column15646"/>
    <tableColumn id="15647" xr3:uid="{E563C9BA-3BEE-41FD-BD4E-B9C6B131F349}" name="Column15647"/>
    <tableColumn id="15648" xr3:uid="{A2B3B4BF-DADF-4DD3-AE71-580ADC8E93AB}" name="Column15648"/>
    <tableColumn id="15649" xr3:uid="{0ED557BE-C960-4706-A6FB-9ED08CAEE1F1}" name="Column15649"/>
    <tableColumn id="15650" xr3:uid="{53D504EA-6C1C-4CF0-872A-76986EC5BB22}" name="Column15650"/>
    <tableColumn id="15651" xr3:uid="{B70CBBF4-82A0-4BFE-B5F5-9BAFCC06EFE0}" name="Column15651"/>
    <tableColumn id="15652" xr3:uid="{D4798B04-8182-48EA-BAFC-3FE4D5897D23}" name="Column15652"/>
    <tableColumn id="15653" xr3:uid="{6CC2C279-6C49-4527-A8F3-43AB371567D9}" name="Column15653"/>
    <tableColumn id="15654" xr3:uid="{4D6C0325-55C5-4648-A116-C93AFE384219}" name="Column15654"/>
    <tableColumn id="15655" xr3:uid="{32E5496E-281E-4C96-9B83-CAA4635B795E}" name="Column15655"/>
    <tableColumn id="15656" xr3:uid="{9D272988-E188-4590-AD82-FD5905B18127}" name="Column15656"/>
    <tableColumn id="15657" xr3:uid="{B4BBF198-418E-40E0-BE33-A661AC3B4345}" name="Column15657"/>
    <tableColumn id="15658" xr3:uid="{C1EC2CAF-5CDC-43CB-9436-C968D577D6D0}" name="Column15658"/>
    <tableColumn id="15659" xr3:uid="{F7FE89F1-6E91-47FE-A538-581A71D0543B}" name="Column15659"/>
    <tableColumn id="15660" xr3:uid="{413DCB7B-A20D-4B78-AF69-9B495520B2A5}" name="Column15660"/>
    <tableColumn id="15661" xr3:uid="{3B67DB04-1F49-4DFA-9108-320B1E125292}" name="Column15661"/>
    <tableColumn id="15662" xr3:uid="{E0E15D3A-1F32-4987-9A61-70CB30B10FCF}" name="Column15662"/>
    <tableColumn id="15663" xr3:uid="{4662A7B1-66CE-4F2E-8691-1FBECA5B4FF8}" name="Column15663"/>
    <tableColumn id="15664" xr3:uid="{7D884452-80D2-40FB-A49E-18235B4E1CF1}" name="Column15664"/>
    <tableColumn id="15665" xr3:uid="{96024F8B-3952-4C45-81AF-24F9199244FB}" name="Column15665"/>
    <tableColumn id="15666" xr3:uid="{AFF29409-AF65-447E-AEF8-E0A412B7A947}" name="Column15666"/>
    <tableColumn id="15667" xr3:uid="{1C3C7777-C7BE-4167-9F88-4D6A9661F2AC}" name="Column15667"/>
    <tableColumn id="15668" xr3:uid="{AAF2F20D-17F3-43AD-9BC4-7B4262BE86F1}" name="Column15668"/>
    <tableColumn id="15669" xr3:uid="{D0F6BCB8-59DB-49BE-825C-15ED26A88581}" name="Column15669"/>
    <tableColumn id="15670" xr3:uid="{41A4EDF5-620D-4226-9775-564076214886}" name="Column15670"/>
    <tableColumn id="15671" xr3:uid="{F4466C80-45E3-4B45-9574-8152F44B923C}" name="Column15671"/>
    <tableColumn id="15672" xr3:uid="{0C7263C2-163B-44D1-A9AC-8AD4F7DB8519}" name="Column15672"/>
    <tableColumn id="15673" xr3:uid="{A5E6EF31-836A-4319-9D50-376A2D5FC598}" name="Column15673"/>
    <tableColumn id="15674" xr3:uid="{E57A7E3E-002F-47EB-A6DC-4B72B03788AA}" name="Column15674"/>
    <tableColumn id="15675" xr3:uid="{435AFF28-38AC-4F1B-81AA-D706CBAAA707}" name="Column15675"/>
    <tableColumn id="15676" xr3:uid="{F0A98D69-B45C-4A55-8ECA-7409898ACDB0}" name="Column15676"/>
    <tableColumn id="15677" xr3:uid="{DEFCD054-E7B1-4916-9E6A-674D4A536EAC}" name="Column15677"/>
    <tableColumn id="15678" xr3:uid="{DD691FCB-BF28-403B-AC8B-33CCABD00772}" name="Column15678"/>
    <tableColumn id="15679" xr3:uid="{A2A86D2F-A015-44BF-B1C3-FB8A63426408}" name="Column15679"/>
    <tableColumn id="15680" xr3:uid="{79221526-0DBE-462C-AF11-DC7D04D8E89B}" name="Column15680"/>
    <tableColumn id="15681" xr3:uid="{58BE1733-DC53-4C5C-AEFA-6B8EA8CC7D24}" name="Column15681"/>
    <tableColumn id="15682" xr3:uid="{CDD0B45D-2064-42B1-AE4C-D86C70336353}" name="Column15682"/>
    <tableColumn id="15683" xr3:uid="{2A47502E-8BFE-48A0-8992-FC6C611729FE}" name="Column15683"/>
    <tableColumn id="15684" xr3:uid="{BDE52AA9-D533-4276-A5D0-B19CD4F258D0}" name="Column15684"/>
    <tableColumn id="15685" xr3:uid="{D1139D8A-8757-48ED-BC84-EEBA8307E489}" name="Column15685"/>
    <tableColumn id="15686" xr3:uid="{2761509D-22C1-4705-B64E-5C6CC295B3A0}" name="Column15686"/>
    <tableColumn id="15687" xr3:uid="{A65AACCD-A468-4D1F-B13B-5C696F0B853D}" name="Column15687"/>
    <tableColumn id="15688" xr3:uid="{0256CA00-E226-4725-A344-30A8F8FF9BC5}" name="Column15688"/>
    <tableColumn id="15689" xr3:uid="{D0E52E14-679A-419F-A783-B20CD36AF5BE}" name="Column15689"/>
    <tableColumn id="15690" xr3:uid="{186B438F-E8D8-4C15-B9E2-807840A6E46C}" name="Column15690"/>
    <tableColumn id="15691" xr3:uid="{7DB43899-85C8-4B86-8F78-517A7DCCF8AA}" name="Column15691"/>
    <tableColumn id="15692" xr3:uid="{BF24BE92-41EF-43F5-AA05-EFBD25F16607}" name="Column15692"/>
    <tableColumn id="15693" xr3:uid="{B21858E9-DF12-406D-9B8E-8A212B203A6F}" name="Column15693"/>
    <tableColumn id="15694" xr3:uid="{9B10E6FD-DD99-491C-BDDE-DFFC82213DB6}" name="Column15694"/>
    <tableColumn id="15695" xr3:uid="{EE98B3BF-D0BF-4B20-A1C1-7B3EBB2AD7C9}" name="Column15695"/>
    <tableColumn id="15696" xr3:uid="{C2BB934D-1021-482C-9D39-D30B91416022}" name="Column15696"/>
    <tableColumn id="15697" xr3:uid="{44F330CF-A695-416C-B5EF-FB8A41D47219}" name="Column15697"/>
    <tableColumn id="15698" xr3:uid="{E4654C93-F5C2-47A0-AD90-678F651A75D0}" name="Column15698"/>
    <tableColumn id="15699" xr3:uid="{3249F0DD-914E-43B0-A171-16EE9CAA839B}" name="Column15699"/>
    <tableColumn id="15700" xr3:uid="{D528DEB4-BCE4-4603-8632-1B1ED5724F9F}" name="Column15700"/>
    <tableColumn id="15701" xr3:uid="{BCF28E98-EAFE-4504-8F5F-33AE6E751E13}" name="Column15701"/>
    <tableColumn id="15702" xr3:uid="{7C1E8E5F-ECCB-43C1-8937-587B53BE99D9}" name="Column15702"/>
    <tableColumn id="15703" xr3:uid="{AF5038F4-3CC8-414A-8D35-89A675AC917C}" name="Column15703"/>
    <tableColumn id="15704" xr3:uid="{1D7BC270-A3DD-499D-B703-E6001EE557F6}" name="Column15704"/>
    <tableColumn id="15705" xr3:uid="{2893C9C5-CA40-449B-8E78-9CDF45793074}" name="Column15705"/>
    <tableColumn id="15706" xr3:uid="{4E831D03-5070-47BA-A666-0B0CDFA76DED}" name="Column15706"/>
    <tableColumn id="15707" xr3:uid="{ACA7832D-442E-4AA4-82D5-C41CCED841FA}" name="Column15707"/>
    <tableColumn id="15708" xr3:uid="{C029F330-206D-48CC-9FFF-BCF4D3237D9B}" name="Column15708"/>
    <tableColumn id="15709" xr3:uid="{2948A2D2-D9D5-47B6-90CF-FA8A526CA23C}" name="Column15709"/>
    <tableColumn id="15710" xr3:uid="{8204756D-52DE-41AC-9239-F1D4C4664095}" name="Column15710"/>
    <tableColumn id="15711" xr3:uid="{B5216D09-5CCC-4062-AAF7-0643D1E1ACC1}" name="Column15711"/>
    <tableColumn id="15712" xr3:uid="{FA2A0606-D1D5-48B0-9951-F8EBFA6E650E}" name="Column15712"/>
    <tableColumn id="15713" xr3:uid="{9ACAA0F7-9217-42C5-B5D4-CE37F2C68DA4}" name="Column15713"/>
    <tableColumn id="15714" xr3:uid="{0816960A-521E-4000-9905-4365CDB4C35D}" name="Column15714"/>
    <tableColumn id="15715" xr3:uid="{79DF2489-18FE-4CEC-B2E6-E96C9E6A2F62}" name="Column15715"/>
    <tableColumn id="15716" xr3:uid="{38300C68-C77B-4B08-A21E-8A37C5B31A2A}" name="Column15716"/>
    <tableColumn id="15717" xr3:uid="{B29BA3A6-EA5F-42B7-8643-2B2E9F3360DA}" name="Column15717"/>
    <tableColumn id="15718" xr3:uid="{62BEEE43-1BFD-4ECB-844E-848172E29104}" name="Column15718"/>
    <tableColumn id="15719" xr3:uid="{2290A5AC-3DD7-4D1C-B7FA-58729EB71F54}" name="Column15719"/>
    <tableColumn id="15720" xr3:uid="{BDD7A34C-0A11-4567-A364-162E610E690E}" name="Column15720"/>
    <tableColumn id="15721" xr3:uid="{1BAF8A6E-2981-4886-9C91-FC3E2113AC5C}" name="Column15721"/>
    <tableColumn id="15722" xr3:uid="{0BF5C5BF-598E-440B-8594-1294F3450578}" name="Column15722"/>
    <tableColumn id="15723" xr3:uid="{9D14A986-3CD6-4974-A232-8E1D18E05699}" name="Column15723"/>
    <tableColumn id="15724" xr3:uid="{0E0AC369-8831-426D-A5F5-A4DDFCA49F63}" name="Column15724"/>
    <tableColumn id="15725" xr3:uid="{EAF9A454-4376-4BC0-9771-BBBFFD5D7C22}" name="Column15725"/>
    <tableColumn id="15726" xr3:uid="{5A9D9AE3-3A03-4413-9CCC-F8DC048F2CAC}" name="Column15726"/>
    <tableColumn id="15727" xr3:uid="{8D945E83-B056-4447-87A0-3FAACC86E953}" name="Column15727"/>
    <tableColumn id="15728" xr3:uid="{A769F7FF-A6BE-4D91-B671-C48C6EA0D48A}" name="Column15728"/>
    <tableColumn id="15729" xr3:uid="{E2D09455-69EB-4594-9BF9-BC705D97B2E0}" name="Column15729"/>
    <tableColumn id="15730" xr3:uid="{5987154F-F2B8-437A-952D-280BAD10C2BE}" name="Column15730"/>
    <tableColumn id="15731" xr3:uid="{CC65CB21-A7BE-4097-80BE-CD3E6123DC67}" name="Column15731"/>
    <tableColumn id="15732" xr3:uid="{C6101497-97DB-4DFB-A9AE-02D448110DD8}" name="Column15732"/>
    <tableColumn id="15733" xr3:uid="{8283AA52-FA4B-47DA-A34D-1E0AB4FACA37}" name="Column15733"/>
    <tableColumn id="15734" xr3:uid="{90949AAC-BBDB-4A5C-A40C-40F70137B190}" name="Column15734"/>
    <tableColumn id="15735" xr3:uid="{7D6D132C-5706-42A8-8F71-407FE10E8363}" name="Column15735"/>
    <tableColumn id="15736" xr3:uid="{80A85E70-CEDB-4B65-9D6D-8F4E3624E956}" name="Column15736"/>
    <tableColumn id="15737" xr3:uid="{2F7CBABA-1835-49EB-A30C-F338537E6BD4}" name="Column15737"/>
    <tableColumn id="15738" xr3:uid="{7A095060-8832-4C00-A5A6-5263BC441268}" name="Column15738"/>
    <tableColumn id="15739" xr3:uid="{AE8C9CED-8629-4F99-810F-BD4E3F7377D9}" name="Column15739"/>
    <tableColumn id="15740" xr3:uid="{965F744B-4F23-44CF-B454-C05E9D8FB4F5}" name="Column15740"/>
    <tableColumn id="15741" xr3:uid="{F3B23902-45C5-42A4-AF9F-EC1CB8F870ED}" name="Column15741"/>
    <tableColumn id="15742" xr3:uid="{3BD83FF6-4E0F-4C2F-8F87-F8962CAA84CD}" name="Column15742"/>
    <tableColumn id="15743" xr3:uid="{06E9CF2C-1CCD-4188-9021-C60BBAC176C4}" name="Column15743"/>
    <tableColumn id="15744" xr3:uid="{7073944C-8AA1-4750-AE09-EBFC6BC418F2}" name="Column15744"/>
    <tableColumn id="15745" xr3:uid="{140981D6-9B4E-4259-BDEB-AB23637FE90B}" name="Column15745"/>
    <tableColumn id="15746" xr3:uid="{D60C3FBB-9B5E-4470-B5F4-42442EAA3D34}" name="Column15746"/>
    <tableColumn id="15747" xr3:uid="{32F23563-0C68-4680-A967-791623449902}" name="Column15747"/>
    <tableColumn id="15748" xr3:uid="{DDD0EF6E-6809-4442-AB85-A0F6A86D6C3D}" name="Column15748"/>
    <tableColumn id="15749" xr3:uid="{2B834AAA-3DF0-4AB9-A98D-B88D5F07C3C7}" name="Column15749"/>
    <tableColumn id="15750" xr3:uid="{974CCA7F-5585-42E2-B99C-A60EC787D73F}" name="Column15750"/>
    <tableColumn id="15751" xr3:uid="{01F69083-2220-4735-B9C7-1E55F99E9F3A}" name="Column15751"/>
    <tableColumn id="15752" xr3:uid="{1EBF0411-A014-4BB5-9811-28DBF14D8716}" name="Column15752"/>
    <tableColumn id="15753" xr3:uid="{50EE49B6-1415-4DD3-BF1A-1C1AE3CBD70A}" name="Column15753"/>
    <tableColumn id="15754" xr3:uid="{EA39F9C0-D57C-4BED-90A4-C046A6EE5BDE}" name="Column15754"/>
    <tableColumn id="15755" xr3:uid="{C0F92102-56FB-4663-9BAE-C85A2DF30994}" name="Column15755"/>
    <tableColumn id="15756" xr3:uid="{062E3CEF-1352-47FA-9923-E43F7A8B5004}" name="Column15756"/>
    <tableColumn id="15757" xr3:uid="{F133D9CF-E642-478B-B840-F6D607F8CD39}" name="Column15757"/>
    <tableColumn id="15758" xr3:uid="{AB8408E7-2AC7-4871-9993-EAA30CFE9B49}" name="Column15758"/>
    <tableColumn id="15759" xr3:uid="{AF081E2C-F50E-451A-AFFB-D2968BCC7AB2}" name="Column15759"/>
    <tableColumn id="15760" xr3:uid="{B69AE9BD-D895-43B8-A700-DE7202C4689D}" name="Column15760"/>
    <tableColumn id="15761" xr3:uid="{48D2A001-027A-4DD3-86BA-0991435A545C}" name="Column15761"/>
    <tableColumn id="15762" xr3:uid="{7B281907-F45D-45BA-A5BA-5AEF2ACDEC30}" name="Column15762"/>
    <tableColumn id="15763" xr3:uid="{65E005AC-7C4C-42E8-95C9-D6D54ACD2F01}" name="Column15763"/>
    <tableColumn id="15764" xr3:uid="{D2D351B2-5653-42FB-A40C-5F6460DFAA09}" name="Column15764"/>
    <tableColumn id="15765" xr3:uid="{0B9086ED-D08D-47DB-AB2A-D0A2300F558E}" name="Column15765"/>
    <tableColumn id="15766" xr3:uid="{6EFD0E75-C80E-4711-A467-DFE04B4E5CF1}" name="Column15766"/>
    <tableColumn id="15767" xr3:uid="{B211410E-347B-4090-9DA0-2317AF8E5DB7}" name="Column15767"/>
    <tableColumn id="15768" xr3:uid="{54090F24-DF91-4CAD-9CFA-6954DDE9C46E}" name="Column15768"/>
    <tableColumn id="15769" xr3:uid="{BA8EE841-172C-4C4E-BD99-982E07AF2E57}" name="Column15769"/>
    <tableColumn id="15770" xr3:uid="{C3443128-AF1C-47E7-A44E-ED7DAB31BFDD}" name="Column15770"/>
    <tableColumn id="15771" xr3:uid="{A362BDEB-CAC4-4421-9E43-D11808DAA236}" name="Column15771"/>
    <tableColumn id="15772" xr3:uid="{216CB1C1-8A07-4BD4-A09E-C217C90195D9}" name="Column15772"/>
    <tableColumn id="15773" xr3:uid="{5F1EE2A5-DBA8-4D1A-8310-15737A995CB9}" name="Column15773"/>
    <tableColumn id="15774" xr3:uid="{0AAD1683-F410-41D4-89DB-090FEFF9A8E0}" name="Column15774"/>
    <tableColumn id="15775" xr3:uid="{5BA3F9E8-6AC1-4C7C-827E-0B755E9DBB68}" name="Column15775"/>
    <tableColumn id="15776" xr3:uid="{34EB8E25-5DC1-458A-BCB6-BF60EE0163CD}" name="Column15776"/>
    <tableColumn id="15777" xr3:uid="{DB5E6136-38BA-4A65-8904-78BBECA9565F}" name="Column15777"/>
    <tableColumn id="15778" xr3:uid="{9DA67E2A-CB18-43A4-A935-6B30C267DC07}" name="Column15778"/>
    <tableColumn id="15779" xr3:uid="{AC519742-D216-4DC9-8216-8ADB29FBD223}" name="Column15779"/>
    <tableColumn id="15780" xr3:uid="{21BC8D6C-FEA7-4F26-A839-11E83E38B53D}" name="Column15780"/>
    <tableColumn id="15781" xr3:uid="{B52E0F6B-A38E-4853-B485-DCF8FAD31605}" name="Column15781"/>
    <tableColumn id="15782" xr3:uid="{E498D331-8CB9-4C79-973F-D0EC7BA195CA}" name="Column15782"/>
    <tableColumn id="15783" xr3:uid="{07F98D65-A4D7-4BB4-971E-7F322DB8E069}" name="Column15783"/>
    <tableColumn id="15784" xr3:uid="{80E42318-588B-44C5-BE7D-BBCA6840252C}" name="Column15784"/>
    <tableColumn id="15785" xr3:uid="{03849E21-CE50-443B-A0EE-23F0895E4E74}" name="Column15785"/>
    <tableColumn id="15786" xr3:uid="{7E528E30-AA2C-4D6F-A92C-8E981835F999}" name="Column15786"/>
    <tableColumn id="15787" xr3:uid="{D123F6E4-E579-46E1-B597-E7E5526153A2}" name="Column15787"/>
    <tableColumn id="15788" xr3:uid="{8CC4AA01-A8D0-4B6E-8ECC-5D9E85610C34}" name="Column15788"/>
    <tableColumn id="15789" xr3:uid="{B464F0B9-3030-428B-8311-011C1CD30C8A}" name="Column15789"/>
    <tableColumn id="15790" xr3:uid="{610370E6-E6F8-4495-871D-8E3C420784BC}" name="Column15790"/>
    <tableColumn id="15791" xr3:uid="{4F0D9E91-4013-4BE2-B848-FEF89C6DBBC2}" name="Column15791"/>
    <tableColumn id="15792" xr3:uid="{87E18819-0676-485A-9B79-B84D7507F023}" name="Column15792"/>
    <tableColumn id="15793" xr3:uid="{58AAAA36-E35A-4C31-BAA7-77B37F1A685D}" name="Column15793"/>
    <tableColumn id="15794" xr3:uid="{664C5B41-8D54-4831-8B3D-CD6F61D31762}" name="Column15794"/>
    <tableColumn id="15795" xr3:uid="{DBF69BAF-17E1-4F11-AFFF-3056FBC04BDC}" name="Column15795"/>
    <tableColumn id="15796" xr3:uid="{6488FA75-9DB3-4D21-B944-4CB7269F96F8}" name="Column15796"/>
    <tableColumn id="15797" xr3:uid="{15FD5C60-BEB8-4D94-B506-A5672E3D6EAF}" name="Column15797"/>
    <tableColumn id="15798" xr3:uid="{000EB9E9-6711-46EA-A666-B33F5A1CF27C}" name="Column15798"/>
    <tableColumn id="15799" xr3:uid="{A5442501-62A3-4D7C-B849-6D0D350A9556}" name="Column15799"/>
    <tableColumn id="15800" xr3:uid="{92ABB6A0-992D-4AEB-B53C-411EDF065E3B}" name="Column15800"/>
    <tableColumn id="15801" xr3:uid="{5BC7B6B6-E824-432D-957C-61977D182B87}" name="Column15801"/>
    <tableColumn id="15802" xr3:uid="{860360AF-9647-4CD5-93C0-BE3565EFC506}" name="Column15802"/>
    <tableColumn id="15803" xr3:uid="{F6AE2DD4-3843-4C41-BF54-975D6A3D1F9E}" name="Column15803"/>
    <tableColumn id="15804" xr3:uid="{03DA882D-98B4-42F5-9525-C4F672808485}" name="Column15804"/>
    <tableColumn id="15805" xr3:uid="{5FF8C7BD-F41D-4E5B-B75D-C616136FB750}" name="Column15805"/>
    <tableColumn id="15806" xr3:uid="{F53BB4E5-8FED-45DF-B408-39A404C642DC}" name="Column15806"/>
    <tableColumn id="15807" xr3:uid="{4194CF67-8093-46E3-A7D2-64BC7C054022}" name="Column15807"/>
    <tableColumn id="15808" xr3:uid="{5AA8E438-F98E-4FE3-9DC6-63A9402F7762}" name="Column15808"/>
    <tableColumn id="15809" xr3:uid="{CF414D22-FD84-4DEF-9A42-4C533A27CBFF}" name="Column15809"/>
    <tableColumn id="15810" xr3:uid="{9C3618FE-765B-4CEA-8442-3E8F1B01B3BC}" name="Column15810"/>
    <tableColumn id="15811" xr3:uid="{70E61577-A423-47F7-8229-C1C876FF0CEB}" name="Column15811"/>
    <tableColumn id="15812" xr3:uid="{817D57DA-F5D5-494B-8CCA-E2E2E326B3BF}" name="Column15812"/>
    <tableColumn id="15813" xr3:uid="{E77FF981-60F0-4644-82F5-DD651B4B5B84}" name="Column15813"/>
    <tableColumn id="15814" xr3:uid="{1C0A2D9F-234C-4474-A651-29536FD485DF}" name="Column15814"/>
    <tableColumn id="15815" xr3:uid="{E267CAC0-E387-4807-B32E-78BB5F2044FA}" name="Column15815"/>
    <tableColumn id="15816" xr3:uid="{1921566E-17A8-4602-899A-769DDFB9B59E}" name="Column15816"/>
    <tableColumn id="15817" xr3:uid="{2C318C8B-49DC-48B3-B138-D61372195B3B}" name="Column15817"/>
    <tableColumn id="15818" xr3:uid="{5CD0B533-4E63-47C9-87FE-1D44C90B00CD}" name="Column15818"/>
    <tableColumn id="15819" xr3:uid="{B286A0D5-4758-4C98-92C1-E8310CF557BC}" name="Column15819"/>
    <tableColumn id="15820" xr3:uid="{996C0B04-E14F-46AA-B0F4-B7CC2D958958}" name="Column15820"/>
    <tableColumn id="15821" xr3:uid="{AC41C8C8-4262-4D10-896C-873FD63FB298}" name="Column15821"/>
    <tableColumn id="15822" xr3:uid="{03F0B89D-9F39-4EA4-800E-97697D04F691}" name="Column15822"/>
    <tableColumn id="15823" xr3:uid="{2EBAA4FB-0018-4818-A25B-9EEC7023730A}" name="Column15823"/>
    <tableColumn id="15824" xr3:uid="{A6FEAD59-FF3A-41EB-913C-7F5E66863CD1}" name="Column15824"/>
    <tableColumn id="15825" xr3:uid="{E1BDD3E7-6318-4FA6-AE37-27CD6322A459}" name="Column15825"/>
    <tableColumn id="15826" xr3:uid="{76B1FCB4-E723-4E5A-8CAD-5495E2DF2589}" name="Column15826"/>
    <tableColumn id="15827" xr3:uid="{1EEE3570-B397-44AF-B206-BC15236ADBD8}" name="Column15827"/>
    <tableColumn id="15828" xr3:uid="{499B43D3-7F6E-4E42-9ACB-E8D539983483}" name="Column15828"/>
    <tableColumn id="15829" xr3:uid="{F256542F-A9AA-4741-8ADB-AC38871568FE}" name="Column15829"/>
    <tableColumn id="15830" xr3:uid="{05F26DFC-A05C-436D-A1FE-48C96A92FD87}" name="Column15830"/>
    <tableColumn id="15831" xr3:uid="{618D56B3-C852-4DEC-97E5-CD328F29D05D}" name="Column15831"/>
    <tableColumn id="15832" xr3:uid="{7D3A3669-34E8-4E38-9BD9-2E4E2C65A9D0}" name="Column15832"/>
    <tableColumn id="15833" xr3:uid="{EE4D46A2-A4DF-45FB-BE49-293CBEDA7A6F}" name="Column15833"/>
    <tableColumn id="15834" xr3:uid="{4B9D04D7-71E1-4CC3-B5C9-8E9BF0C56E03}" name="Column15834"/>
    <tableColumn id="15835" xr3:uid="{0084828D-134C-471E-94DC-B66F3C06EEB5}" name="Column15835"/>
    <tableColumn id="15836" xr3:uid="{A45A7E01-D44D-4CB4-8F32-451D68C59FAC}" name="Column15836"/>
    <tableColumn id="15837" xr3:uid="{DB0C0DA6-42E9-4F51-903F-5932B325B046}" name="Column15837"/>
    <tableColumn id="15838" xr3:uid="{1A1D1E8E-D7AC-4385-AABA-E098B1A3734F}" name="Column15838"/>
    <tableColumn id="15839" xr3:uid="{EBFD684C-1BD2-4F14-8BB9-6F0BCC88B00D}" name="Column15839"/>
    <tableColumn id="15840" xr3:uid="{471051C2-C68C-4403-9ACB-89E826C900B1}" name="Column15840"/>
    <tableColumn id="15841" xr3:uid="{37524C8B-4DA1-4BD8-9F5B-A59E24E26568}" name="Column15841"/>
    <tableColumn id="15842" xr3:uid="{17F7D5C6-D783-4B06-9F61-D49B84BAE5F2}" name="Column15842"/>
    <tableColumn id="15843" xr3:uid="{802794A2-85C0-4B85-8676-581805C09107}" name="Column15843"/>
    <tableColumn id="15844" xr3:uid="{69CC4624-E3B9-45D7-8752-75A7545B4057}" name="Column15844"/>
    <tableColumn id="15845" xr3:uid="{91A4C279-FCD1-49C3-B4C9-3FF77EE438BC}" name="Column15845"/>
    <tableColumn id="15846" xr3:uid="{CB67C87D-1D0A-4443-9542-0D3D6904345B}" name="Column15846"/>
    <tableColumn id="15847" xr3:uid="{143916F0-03F6-4DEE-A3E6-1DAFAEAE5820}" name="Column15847"/>
    <tableColumn id="15848" xr3:uid="{1C8A5AE8-5C2E-4DA7-8903-52217C89F257}" name="Column15848"/>
    <tableColumn id="15849" xr3:uid="{1C462984-CC85-47AA-A26C-8D108084F2AC}" name="Column15849"/>
    <tableColumn id="15850" xr3:uid="{69211EFB-64F5-4425-B442-A12F9546DAF8}" name="Column15850"/>
    <tableColumn id="15851" xr3:uid="{F0149285-1672-4BE5-B89B-C482BC7D87BB}" name="Column15851"/>
    <tableColumn id="15852" xr3:uid="{1FA72795-11FB-41E8-BBA2-F894268E5924}" name="Column15852"/>
    <tableColumn id="15853" xr3:uid="{3F2E0A2B-B966-4650-A409-031EC358DC85}" name="Column15853"/>
    <tableColumn id="15854" xr3:uid="{E8805914-36EF-4023-BD8C-405B73246385}" name="Column15854"/>
    <tableColumn id="15855" xr3:uid="{321BFEB3-EABF-469F-B885-476951FEC834}" name="Column15855"/>
    <tableColumn id="15856" xr3:uid="{C8F8CD10-CD60-44CE-B481-8A4371894BD0}" name="Column15856"/>
    <tableColumn id="15857" xr3:uid="{2573B7AE-8F4D-40B1-B713-3D246914D039}" name="Column15857"/>
    <tableColumn id="15858" xr3:uid="{FE3BECB3-B2FB-4362-842D-20F083196C36}" name="Column15858"/>
    <tableColumn id="15859" xr3:uid="{FE32AD8C-F7CC-4072-A741-10EDD9B5A96D}" name="Column15859"/>
    <tableColumn id="15860" xr3:uid="{8529E1F0-2986-46FB-8194-584BC7ECAE23}" name="Column15860"/>
    <tableColumn id="15861" xr3:uid="{1A766B46-B403-410D-84A6-0143B082B220}" name="Column15861"/>
    <tableColumn id="15862" xr3:uid="{05C2C739-EFBF-4EC6-B18B-48F0476A1994}" name="Column15862"/>
    <tableColumn id="15863" xr3:uid="{7215E486-6952-4E4F-B670-8A430490D1CB}" name="Column15863"/>
    <tableColumn id="15864" xr3:uid="{8BE99C21-7981-4BD3-A352-8C73E5599718}" name="Column15864"/>
    <tableColumn id="15865" xr3:uid="{60BBB01C-2C56-4382-ADF0-8A26F0344427}" name="Column15865"/>
    <tableColumn id="15866" xr3:uid="{40ECF72E-C2D9-43F3-9CA5-4A946C529822}" name="Column15866"/>
    <tableColumn id="15867" xr3:uid="{C00C8581-3F40-4EC3-96CD-912CE06D31C1}" name="Column15867"/>
    <tableColumn id="15868" xr3:uid="{45DA3813-2FC2-400B-8B97-2DD4F3327BA4}" name="Column15868"/>
    <tableColumn id="15869" xr3:uid="{CF43AD47-5A8E-4A45-9CEB-7B5B4248A927}" name="Column15869"/>
    <tableColumn id="15870" xr3:uid="{3338CE80-E832-4F83-8434-81B90BB6A5BC}" name="Column15870"/>
    <tableColumn id="15871" xr3:uid="{BEB3E528-A6B7-4CC5-BFAF-0F4A4DCA8D5A}" name="Column15871"/>
    <tableColumn id="15872" xr3:uid="{0642112B-6C3C-4535-8275-4848674521BA}" name="Column15872"/>
    <tableColumn id="15873" xr3:uid="{D2B63CB2-373B-4328-9AAA-B28D7AA65830}" name="Column15873"/>
    <tableColumn id="15874" xr3:uid="{BA83D680-8ABD-41D6-9220-ED219174A801}" name="Column15874"/>
    <tableColumn id="15875" xr3:uid="{E54D8578-AD08-4C70-A2CD-6A1E6875C5D6}" name="Column15875"/>
    <tableColumn id="15876" xr3:uid="{F9E9D079-2A53-41FC-B0B9-16D9647B42D0}" name="Column15876"/>
    <tableColumn id="15877" xr3:uid="{17BCAD27-926C-4989-88DC-CC1083C4858D}" name="Column15877"/>
    <tableColumn id="15878" xr3:uid="{26AE90A3-378D-4D15-8632-C7D8475C1295}" name="Column15878"/>
    <tableColumn id="15879" xr3:uid="{48065F3A-243D-4D94-8147-07DB9FF6977F}" name="Column15879"/>
    <tableColumn id="15880" xr3:uid="{3BDD0804-45C3-48C0-988C-6A1F6AE77883}" name="Column15880"/>
    <tableColumn id="15881" xr3:uid="{3B0CD1DD-E83A-4E3D-855F-6243ED06062B}" name="Column15881"/>
    <tableColumn id="15882" xr3:uid="{AF97F764-04AE-4FA9-BEB6-83EF0017D736}" name="Column15882"/>
    <tableColumn id="15883" xr3:uid="{0215B526-BE3A-4EA8-BC93-22EDF6CFC869}" name="Column15883"/>
    <tableColumn id="15884" xr3:uid="{6A2E4D21-8B40-4E24-A87C-4A035B929DF3}" name="Column15884"/>
    <tableColumn id="15885" xr3:uid="{4CED911F-A1B9-4251-A069-4A6891C3EA41}" name="Column15885"/>
    <tableColumn id="15886" xr3:uid="{9A11C881-B86C-410C-BF9C-EA7D6F5C7097}" name="Column15886"/>
    <tableColumn id="15887" xr3:uid="{D3CEFE6B-01F3-46F5-9D67-AFC1C0D002B6}" name="Column15887"/>
    <tableColumn id="15888" xr3:uid="{15EEBD48-AECB-4F0C-A1A5-2ED1D9F9C257}" name="Column15888"/>
    <tableColumn id="15889" xr3:uid="{F0370FC3-5451-4E36-8E39-ED538C653053}" name="Column15889"/>
    <tableColumn id="15890" xr3:uid="{9AFB582F-F34D-45B1-8D9D-FEB8A0B58EA8}" name="Column15890"/>
    <tableColumn id="15891" xr3:uid="{B9D625C5-D908-4EC7-99DC-4B4BED3827A8}" name="Column15891"/>
    <tableColumn id="15892" xr3:uid="{E8CA29E0-987C-41FD-9FF8-9676B877D050}" name="Column15892"/>
    <tableColumn id="15893" xr3:uid="{4D1B7CD0-E298-4CC7-85AB-4AE37B792CC2}" name="Column15893"/>
    <tableColumn id="15894" xr3:uid="{9CBA95E6-830B-40C0-945F-02A3E38A454A}" name="Column15894"/>
    <tableColumn id="15895" xr3:uid="{37130441-0D1D-4770-B71F-95F2A768608F}" name="Column15895"/>
    <tableColumn id="15896" xr3:uid="{D9724C2B-87C8-4870-B970-C720D9584789}" name="Column15896"/>
    <tableColumn id="15897" xr3:uid="{B3E5F8BE-AC3C-480C-B62E-90E47F20B706}" name="Column15897"/>
    <tableColumn id="15898" xr3:uid="{38CB8F57-8BDD-4316-9232-FB9662AC716C}" name="Column15898"/>
    <tableColumn id="15899" xr3:uid="{A5A4C362-0B97-4A47-AD7D-E5CC01A051BB}" name="Column15899"/>
    <tableColumn id="15900" xr3:uid="{128312B9-2D91-4786-9C20-09F5321727DF}" name="Column15900"/>
    <tableColumn id="15901" xr3:uid="{6D5E493D-3E01-46D1-9AED-404B447BC469}" name="Column15901"/>
    <tableColumn id="15902" xr3:uid="{724FC1A4-FAD8-4F5E-A10A-9932A0BD5B73}" name="Column15902"/>
    <tableColumn id="15903" xr3:uid="{E84F12F8-0C46-4495-83D4-8512D9F13EDE}" name="Column15903"/>
    <tableColumn id="15904" xr3:uid="{F1752645-E3E3-4562-A769-4D4C7D2EC6D3}" name="Column15904"/>
    <tableColumn id="15905" xr3:uid="{16183866-F4D5-4470-91F7-A91314A54396}" name="Column15905"/>
    <tableColumn id="15906" xr3:uid="{BFC7FD93-94E2-4065-B16F-10E5B2E8F828}" name="Column15906"/>
    <tableColumn id="15907" xr3:uid="{5480F9B4-39B1-470F-922C-88109D23C117}" name="Column15907"/>
    <tableColumn id="15908" xr3:uid="{357C6B18-DC90-40CA-8FEF-C587370853F4}" name="Column15908"/>
    <tableColumn id="15909" xr3:uid="{CE06C411-CEE7-4712-97B7-B0274A3DA7E0}" name="Column15909"/>
    <tableColumn id="15910" xr3:uid="{85FBF5CF-399F-4FD5-82DB-FE44681207BB}" name="Column15910"/>
    <tableColumn id="15911" xr3:uid="{C742B0FC-5BB2-4C11-BBF5-A3E0E694805F}" name="Column15911"/>
    <tableColumn id="15912" xr3:uid="{DAFEE865-3C11-4DCC-A4F2-FCB0135B9E42}" name="Column15912"/>
    <tableColumn id="15913" xr3:uid="{74C828B5-498D-4BD6-AF8C-563BCBF6047A}" name="Column15913"/>
    <tableColumn id="15914" xr3:uid="{04615823-020A-487B-A113-6E94F40880DA}" name="Column15914"/>
    <tableColumn id="15915" xr3:uid="{8F59232F-0F21-48F1-A98C-C2077A8F167A}" name="Column15915"/>
    <tableColumn id="15916" xr3:uid="{0EC99D31-0389-4099-929E-216C56526E6D}" name="Column15916"/>
    <tableColumn id="15917" xr3:uid="{49D5AABB-4600-4569-9803-F119B793EF17}" name="Column15917"/>
    <tableColumn id="15918" xr3:uid="{9281890B-A80D-4CFF-A5CD-7C7011C89819}" name="Column15918"/>
    <tableColumn id="15919" xr3:uid="{7690A4D6-E7F5-4E46-9C8C-CA906EF0811C}" name="Column15919"/>
    <tableColumn id="15920" xr3:uid="{280D7BED-D892-4A85-AF4E-E8944877D569}" name="Column15920"/>
    <tableColumn id="15921" xr3:uid="{A88659D9-EC6F-4AF2-BF81-2AF89153CA64}" name="Column15921"/>
    <tableColumn id="15922" xr3:uid="{FEF4B48B-1840-45BE-8608-6932A48111FB}" name="Column15922"/>
    <tableColumn id="15923" xr3:uid="{D85C7E96-8E5F-4B50-BAE0-950D4E20D69F}" name="Column15923"/>
    <tableColumn id="15924" xr3:uid="{747E0F3E-1B73-4CC0-8465-719FD9AA3B8C}" name="Column15924"/>
    <tableColumn id="15925" xr3:uid="{9A403D5F-CF14-4C05-9DEB-E63FD46928A0}" name="Column15925"/>
    <tableColumn id="15926" xr3:uid="{3DAE0DA8-00B7-4A80-869C-99BFFD7D2F1B}" name="Column15926"/>
    <tableColumn id="15927" xr3:uid="{6610AE94-EAA6-4EBE-8044-CEA247DC6422}" name="Column15927"/>
    <tableColumn id="15928" xr3:uid="{59571AEA-5645-4730-986C-78B5626034C8}" name="Column15928"/>
    <tableColumn id="15929" xr3:uid="{2A91D95C-2AE9-423C-B0D6-25B007B4FED8}" name="Column15929"/>
    <tableColumn id="15930" xr3:uid="{4D9AD728-E141-4E60-BE4C-60A175A9ED6C}" name="Column15930"/>
    <tableColumn id="15931" xr3:uid="{8CF079F6-D349-4E86-88AC-AAFADF282630}" name="Column15931"/>
    <tableColumn id="15932" xr3:uid="{5096E787-59D0-434F-92E7-9231227DDC74}" name="Column15932"/>
    <tableColumn id="15933" xr3:uid="{FEEAEAF0-D46A-441B-97DA-A58FB6E0424A}" name="Column15933"/>
    <tableColumn id="15934" xr3:uid="{F3AF3D5E-9791-4DCE-A820-53DE3F493753}" name="Column15934"/>
    <tableColumn id="15935" xr3:uid="{5D2FDE1C-5DCE-48AB-9570-6D11A412B279}" name="Column15935"/>
    <tableColumn id="15936" xr3:uid="{B23DA59E-4525-4CC6-B5A8-2133C33650DE}" name="Column15936"/>
    <tableColumn id="15937" xr3:uid="{D15E6E3E-DA6B-41C2-AC6F-46382A032BAD}" name="Column15937"/>
    <tableColumn id="15938" xr3:uid="{F0133433-C3A8-4A93-B7E7-33950215CF9C}" name="Column15938"/>
    <tableColumn id="15939" xr3:uid="{CA687AF5-4E86-4C1E-8469-F09F33A937EB}" name="Column15939"/>
    <tableColumn id="15940" xr3:uid="{9AD3A556-A926-4102-BDDF-D0B2EA4BE89A}" name="Column15940"/>
    <tableColumn id="15941" xr3:uid="{9C3FF2D6-68B9-4D05-BF95-0185AB80EA9E}" name="Column15941"/>
    <tableColumn id="15942" xr3:uid="{99FD48F5-3882-42FB-8769-DEFF62FF0987}" name="Column15942"/>
    <tableColumn id="15943" xr3:uid="{7C199124-94F3-49A7-BC2C-883C968266BC}" name="Column15943"/>
    <tableColumn id="15944" xr3:uid="{A980C86F-68C2-4E54-9CE6-54B1A03438B2}" name="Column15944"/>
    <tableColumn id="15945" xr3:uid="{3EE182E6-7AA8-4602-AD00-B392D7E495AF}" name="Column15945"/>
    <tableColumn id="15946" xr3:uid="{D7CC177A-D442-477E-94A0-AAFB12F920E9}" name="Column15946"/>
    <tableColumn id="15947" xr3:uid="{30D296C1-89EE-4827-93B8-C8F6B8592F0D}" name="Column15947"/>
    <tableColumn id="15948" xr3:uid="{B9CB2F51-9B30-4100-AFEB-7249D81D959A}" name="Column15948"/>
    <tableColumn id="15949" xr3:uid="{A982ADC7-F266-4AB3-8F9A-549782BA3710}" name="Column15949"/>
    <tableColumn id="15950" xr3:uid="{2B2CFDBD-5A78-4D2E-9795-9346D6AC6E61}" name="Column15950"/>
    <tableColumn id="15951" xr3:uid="{0B4E16A1-D88E-4FAB-A245-00DE977F206C}" name="Column15951"/>
    <tableColumn id="15952" xr3:uid="{2E3A7318-5507-4256-BB7A-7194D2200039}" name="Column15952"/>
    <tableColumn id="15953" xr3:uid="{986F76D1-78C9-489C-AD5B-E27BEF4982EB}" name="Column15953"/>
    <tableColumn id="15954" xr3:uid="{13D8F208-E3D4-4EC2-B98B-96DE0A2A3084}" name="Column15954"/>
    <tableColumn id="15955" xr3:uid="{E142D76C-F8EB-4718-9F1E-1ABCE1E6CBCF}" name="Column15955"/>
    <tableColumn id="15956" xr3:uid="{5895AC11-4987-4448-86DE-389DA6B82AAC}" name="Column15956"/>
    <tableColumn id="15957" xr3:uid="{F0C94D04-D216-4F65-AB02-12DA3850866D}" name="Column15957"/>
    <tableColumn id="15958" xr3:uid="{B78095AF-ACEE-4D79-A695-7144436AFCB7}" name="Column15958"/>
    <tableColumn id="15959" xr3:uid="{25213435-5FD5-417C-9116-D062F41517BC}" name="Column15959"/>
    <tableColumn id="15960" xr3:uid="{EB4B1BF4-C238-48C1-A5F2-CCA7EAECE34F}" name="Column15960"/>
    <tableColumn id="15961" xr3:uid="{A70D4F9D-3EF1-41FF-82F8-E433B0089C2E}" name="Column15961"/>
    <tableColumn id="15962" xr3:uid="{1219557F-6C28-4C5A-A00B-3E87CFB7571F}" name="Column15962"/>
    <tableColumn id="15963" xr3:uid="{C515018D-905B-4B7E-B44E-196FC749013E}" name="Column15963"/>
    <tableColumn id="15964" xr3:uid="{FE2C3E45-C092-476F-B82A-6EC6A5B27CCD}" name="Column15964"/>
    <tableColumn id="15965" xr3:uid="{CB0AEB6B-1764-4F96-BBD7-5BB92FAF6D07}" name="Column15965"/>
    <tableColumn id="15966" xr3:uid="{4DAB789B-2B8D-4664-B31D-C2A620D53A44}" name="Column15966"/>
    <tableColumn id="15967" xr3:uid="{C2C80ABA-9A9C-4895-AD22-0F4E30C7F78D}" name="Column15967"/>
    <tableColumn id="15968" xr3:uid="{8FDFCEBC-D87B-4113-AAB0-4B2DB349D76A}" name="Column15968"/>
    <tableColumn id="15969" xr3:uid="{A6F85E23-4324-46EA-8B88-7BB27A538E7D}" name="Column15969"/>
    <tableColumn id="15970" xr3:uid="{096E3A09-7705-4A6E-BF1E-143A2E4C3A19}" name="Column15970"/>
    <tableColumn id="15971" xr3:uid="{60D0E340-3CB5-4F19-AAB6-8ECCE8303381}" name="Column15971"/>
    <tableColumn id="15972" xr3:uid="{7AC32740-66B9-4448-881F-0F4AA75BCB0C}" name="Column15972"/>
    <tableColumn id="15973" xr3:uid="{B95F95C2-367B-402C-9DE4-CFEB6D3E9BFF}" name="Column15973"/>
    <tableColumn id="15974" xr3:uid="{4D29FC20-2709-4415-9802-58C49929024E}" name="Column15974"/>
    <tableColumn id="15975" xr3:uid="{DCA0950C-45E3-49BD-87B4-263BCA1E35E1}" name="Column15975"/>
    <tableColumn id="15976" xr3:uid="{6E09E248-9A28-4B8A-8835-80A5C2F817B1}" name="Column15976"/>
    <tableColumn id="15977" xr3:uid="{2270A6AF-008E-4845-AF55-A0AFEE0C261B}" name="Column15977"/>
    <tableColumn id="15978" xr3:uid="{DBC89FB2-D341-4B32-AF38-8145510539F6}" name="Column15978"/>
    <tableColumn id="15979" xr3:uid="{1FCBA8CE-A80C-449F-9DE9-B3FA7D635B3F}" name="Column15979"/>
    <tableColumn id="15980" xr3:uid="{CF5A3AC0-905F-40B4-B1EB-A908C74ACCE5}" name="Column15980"/>
    <tableColumn id="15981" xr3:uid="{C5DB9413-1BEA-4BF6-8EC4-440CD846D934}" name="Column15981"/>
    <tableColumn id="15982" xr3:uid="{EBBD8396-472F-490F-B662-4B403BB84197}" name="Column15982"/>
    <tableColumn id="15983" xr3:uid="{789214BF-C0CF-4EAB-A23E-1E84E320498D}" name="Column15983"/>
    <tableColumn id="15984" xr3:uid="{81EEEC37-C395-4B87-813C-11C48759CAF5}" name="Column15984"/>
    <tableColumn id="15985" xr3:uid="{BA38FB8F-4FB1-417C-86A5-CFF1D46F3245}" name="Column15985"/>
    <tableColumn id="15986" xr3:uid="{1BBF3C18-FF7C-4187-9331-6F5C6CB9F562}" name="Column15986"/>
    <tableColumn id="15987" xr3:uid="{0C4DDA5D-FDF0-4ED4-A55C-B7BA19A87D89}" name="Column15987"/>
    <tableColumn id="15988" xr3:uid="{9E8DF39D-7F41-463F-A084-B006D4A5A776}" name="Column15988"/>
    <tableColumn id="15989" xr3:uid="{584EA6BD-EA5D-4AAC-8680-368E4D3DD004}" name="Column15989"/>
    <tableColumn id="15990" xr3:uid="{441C9319-F282-4CA3-8740-2FB275E285D1}" name="Column15990"/>
    <tableColumn id="15991" xr3:uid="{4BBB84D7-663B-4CD7-837B-8CEFBD7FDE83}" name="Column15991"/>
    <tableColumn id="15992" xr3:uid="{BB8C9886-CE99-406D-A68D-3725C659F3AB}" name="Column15992"/>
    <tableColumn id="15993" xr3:uid="{F78AEE64-08A8-4DD6-B4AB-C1431537C8CF}" name="Column15993"/>
    <tableColumn id="15994" xr3:uid="{C5AC8DED-6472-47C6-9ADA-0500A2CE8C80}" name="Column15994"/>
    <tableColumn id="15995" xr3:uid="{2CDC8743-26C8-45AE-BDBE-38AE0FDC9FC1}" name="Column15995"/>
    <tableColumn id="15996" xr3:uid="{7718FB33-70C4-4E82-9FCE-D0E82992257E}" name="Column15996"/>
    <tableColumn id="15997" xr3:uid="{DE6E7FBC-1B32-430A-AC11-5737F75F9386}" name="Column15997"/>
    <tableColumn id="15998" xr3:uid="{F2976FA1-E71B-4134-8492-531F64C39B11}" name="Column15998"/>
    <tableColumn id="15999" xr3:uid="{2E1DE74D-AC9E-4994-9B1C-098018F77244}" name="Column15999"/>
    <tableColumn id="16000" xr3:uid="{8622EF87-B3A4-40ED-A78E-F2E842A39A13}" name="Column16000"/>
    <tableColumn id="16001" xr3:uid="{EDA5AB39-858F-434A-B5CB-5D1276753F66}" name="Column16001"/>
    <tableColumn id="16002" xr3:uid="{68674A31-ED0B-410B-A1EF-98B569686767}" name="Column16002"/>
    <tableColumn id="16003" xr3:uid="{434B3C87-5E73-4A21-A175-45133ADC9F4B}" name="Column16003"/>
    <tableColumn id="16004" xr3:uid="{62885649-85DC-4010-AB89-A9ECD0E9017E}" name="Column16004"/>
    <tableColumn id="16005" xr3:uid="{7CE8B1C4-51AC-44EA-BA09-2B39C55CFFB7}" name="Column16005"/>
    <tableColumn id="16006" xr3:uid="{80C3EC90-4191-426D-83AC-DAEA40BAD820}" name="Column16006"/>
    <tableColumn id="16007" xr3:uid="{075A1BA4-9AC3-4EA1-A15C-1B01E442FC5A}" name="Column16007"/>
    <tableColumn id="16008" xr3:uid="{FBF2D24D-FB0B-45E4-B98F-DE68872F7674}" name="Column16008"/>
    <tableColumn id="16009" xr3:uid="{237FAF11-7760-4502-BD43-08AB585E58DC}" name="Column16009"/>
    <tableColumn id="16010" xr3:uid="{8BC74F70-5D23-43EB-B842-BD45AB48C548}" name="Column16010"/>
    <tableColumn id="16011" xr3:uid="{5E08467D-A337-4B1A-9144-67767E01F1D2}" name="Column16011"/>
    <tableColumn id="16012" xr3:uid="{5F947499-081C-495D-B2C1-A3AD1D894B15}" name="Column16012"/>
    <tableColumn id="16013" xr3:uid="{3BB425A0-E2BE-43C0-AF60-8E40C96EDEF2}" name="Column16013"/>
    <tableColumn id="16014" xr3:uid="{9C9B9E5C-006B-4D06-AD32-EBCD44BD5093}" name="Column16014"/>
    <tableColumn id="16015" xr3:uid="{0BC10C93-5C3A-4847-BCAA-C5493B59FDC9}" name="Column16015"/>
    <tableColumn id="16016" xr3:uid="{1436F81F-9874-47B2-B756-438FF0AD6C03}" name="Column16016"/>
    <tableColumn id="16017" xr3:uid="{4F8D7CD7-EE83-4483-8F62-6BFFF82C99E9}" name="Column16017"/>
    <tableColumn id="16018" xr3:uid="{DAF887E1-C516-4950-B753-405402A79FD3}" name="Column16018"/>
    <tableColumn id="16019" xr3:uid="{1B173AB4-5461-4B0E-BE95-098F62C2EAD0}" name="Column16019"/>
    <tableColumn id="16020" xr3:uid="{70341392-AE11-4DD7-BA0D-42D2F2C6544F}" name="Column16020"/>
    <tableColumn id="16021" xr3:uid="{D6CAFD6C-DB76-4FD7-B33D-5AE47038374E}" name="Column16021"/>
    <tableColumn id="16022" xr3:uid="{B6A0CF65-A186-45C6-B91D-E41D4961DEEC}" name="Column16022"/>
    <tableColumn id="16023" xr3:uid="{496D75B6-45B7-4D48-85D7-449A7D577246}" name="Column16023"/>
    <tableColumn id="16024" xr3:uid="{329D955E-0ACF-4D22-BA2B-310B6EA748FC}" name="Column16024"/>
    <tableColumn id="16025" xr3:uid="{EFF29FE2-AFC1-4CFA-9F48-ACEB16EA2F37}" name="Column16025"/>
    <tableColumn id="16026" xr3:uid="{F564FCC4-7ED2-45E9-950E-E9F7AF281C8A}" name="Column16026"/>
    <tableColumn id="16027" xr3:uid="{ACD773C2-B327-4E40-A5C1-FBFBF34E1979}" name="Column16027"/>
    <tableColumn id="16028" xr3:uid="{0860BADE-A451-4785-B572-B259D0D11565}" name="Column16028"/>
    <tableColumn id="16029" xr3:uid="{61F6C5E1-B430-43A1-9F03-65F53D11CDAC}" name="Column16029"/>
    <tableColumn id="16030" xr3:uid="{B7204097-6AC5-4C93-9295-08216EC838DF}" name="Column16030"/>
    <tableColumn id="16031" xr3:uid="{4E2571FA-48C0-4285-B367-9359E04350D4}" name="Column16031"/>
    <tableColumn id="16032" xr3:uid="{A9588035-D33B-45C4-9D85-EA284224D15D}" name="Column16032"/>
    <tableColumn id="16033" xr3:uid="{08461BFB-8636-475B-9554-5852C7F63574}" name="Column16033"/>
    <tableColumn id="16034" xr3:uid="{C85AC8F0-D756-4FBC-BF1F-A147A20EA8A8}" name="Column16034"/>
    <tableColumn id="16035" xr3:uid="{C35244B3-F079-4E88-9CBF-20C486F0132E}" name="Column16035"/>
    <tableColumn id="16036" xr3:uid="{9AF31349-621C-4E24-A8FC-72FC0626CB0C}" name="Column16036"/>
    <tableColumn id="16037" xr3:uid="{6D900C78-1140-4CC3-BDF9-51E79433307E}" name="Column16037"/>
    <tableColumn id="16038" xr3:uid="{9BCBDA87-16D3-4129-9126-CAF2FD3E17D3}" name="Column16038"/>
    <tableColumn id="16039" xr3:uid="{DBA8AA14-E906-41E5-8DC3-D90FEBC2F57F}" name="Column16039"/>
    <tableColumn id="16040" xr3:uid="{39751A82-469F-4991-BD0D-50BF3ADB967D}" name="Column16040"/>
    <tableColumn id="16041" xr3:uid="{C4B3364A-11D3-4FE3-A8A3-90473E36F73F}" name="Column16041"/>
    <tableColumn id="16042" xr3:uid="{A70C0514-768B-45EE-8FC5-247AE82B5E30}" name="Column16042"/>
    <tableColumn id="16043" xr3:uid="{1F7845AE-7CCC-4B49-8AA6-D61697C08AF5}" name="Column16043"/>
    <tableColumn id="16044" xr3:uid="{A580F07F-95D3-4296-A563-61E2C6065BCD}" name="Column16044"/>
    <tableColumn id="16045" xr3:uid="{A7387123-5F22-4687-BA05-3E0BC1552693}" name="Column16045"/>
    <tableColumn id="16046" xr3:uid="{3CEDEE8D-6148-44F5-BABD-13FCDD37267A}" name="Column16046"/>
    <tableColumn id="16047" xr3:uid="{2AE4116D-21F0-4962-8817-6C4393DF6618}" name="Column16047"/>
    <tableColumn id="16048" xr3:uid="{08B42C1C-E82B-4CD7-9C15-D85B74784D97}" name="Column16048"/>
    <tableColumn id="16049" xr3:uid="{E57499A3-D803-40F4-81EF-9CDF5BB7F984}" name="Column16049"/>
    <tableColumn id="16050" xr3:uid="{F1637046-F0BA-4501-889E-5C9C5EC2789B}" name="Column16050"/>
    <tableColumn id="16051" xr3:uid="{6C1D8ADC-7320-407A-9957-9F5925DF0529}" name="Column16051"/>
    <tableColumn id="16052" xr3:uid="{0E170048-95B6-4152-A87C-3E2AE0457A87}" name="Column16052"/>
    <tableColumn id="16053" xr3:uid="{6A265B02-8E46-4884-9023-0F474E748D4E}" name="Column16053"/>
    <tableColumn id="16054" xr3:uid="{D0EE9984-356E-49EE-8060-E1718E057330}" name="Column16054"/>
    <tableColumn id="16055" xr3:uid="{0195D723-7343-4D12-B467-CBC17EB8235A}" name="Column16055"/>
    <tableColumn id="16056" xr3:uid="{CA70CA21-1369-4CFD-9739-7A10859B8E75}" name="Column16056"/>
    <tableColumn id="16057" xr3:uid="{14F79321-C03D-4FD0-87C9-17EE0286A5E5}" name="Column16057"/>
    <tableColumn id="16058" xr3:uid="{A5C45D02-5885-4186-BE76-E8F488354E63}" name="Column16058"/>
    <tableColumn id="16059" xr3:uid="{E2ABBDCE-F8A9-4D15-8D14-A69C7333C7B2}" name="Column16059"/>
    <tableColumn id="16060" xr3:uid="{3524B6EA-C93C-4D65-A59A-C711880CB8C6}" name="Column16060"/>
    <tableColumn id="16061" xr3:uid="{B90BFB20-9E2D-413B-9BED-1B259AC9F200}" name="Column16061"/>
    <tableColumn id="16062" xr3:uid="{DE8A6570-6667-415A-A224-27B8EB2895F0}" name="Column16062"/>
    <tableColumn id="16063" xr3:uid="{0D389C89-E478-43D5-A10B-CE256B76F23B}" name="Column16063"/>
    <tableColumn id="16064" xr3:uid="{24DAC8D2-D8C5-4221-8CED-A678A7EF9541}" name="Column16064"/>
    <tableColumn id="16065" xr3:uid="{7FCD78AE-7732-43DB-AF9A-8651F8D4A971}" name="Column16065"/>
    <tableColumn id="16066" xr3:uid="{DB28D12A-F36B-4868-8414-EFB7CAB5A6CE}" name="Column16066"/>
    <tableColumn id="16067" xr3:uid="{748E366F-5566-411B-AC6F-79CA19BA959B}" name="Column16067"/>
    <tableColumn id="16068" xr3:uid="{2118413A-97E4-4B83-9499-CF98A3895A8C}" name="Column16068"/>
    <tableColumn id="16069" xr3:uid="{3BDCAD00-4791-4A50-9D68-8B55E84AE257}" name="Column16069"/>
    <tableColumn id="16070" xr3:uid="{6AF404F1-0B64-493E-8E0C-B562FD1D7391}" name="Column16070"/>
    <tableColumn id="16071" xr3:uid="{24B9624E-EF30-4013-9481-0DB3C1CAFCB4}" name="Column16071"/>
    <tableColumn id="16072" xr3:uid="{1092A5D0-88CE-4BC6-9B64-DDCC51E1ED86}" name="Column16072"/>
    <tableColumn id="16073" xr3:uid="{C55765E9-D45E-419B-AF7D-52293D9ACAC8}" name="Column16073"/>
    <tableColumn id="16074" xr3:uid="{D2B79FAF-2C42-419E-A08F-A5C131395359}" name="Column16074"/>
    <tableColumn id="16075" xr3:uid="{2B5F0061-839B-4ABA-91F2-4A294D4D2E43}" name="Column16075"/>
    <tableColumn id="16076" xr3:uid="{3DED4F61-117B-4A38-8C5E-9404D8162E34}" name="Column16076"/>
    <tableColumn id="16077" xr3:uid="{5943B274-4646-4037-9641-394213DB8041}" name="Column16077"/>
    <tableColumn id="16078" xr3:uid="{9F9BE835-DB4C-4176-BAEF-49358C2F2284}" name="Column16078"/>
    <tableColumn id="16079" xr3:uid="{5C74A0FB-853B-48C5-AB31-B878226EB32C}" name="Column16079"/>
    <tableColumn id="16080" xr3:uid="{2956139A-2C7A-46FA-873B-28B223DDDB11}" name="Column16080"/>
    <tableColumn id="16081" xr3:uid="{79D8B4E7-72B2-442B-AC57-E75E803B1C49}" name="Column16081"/>
    <tableColumn id="16082" xr3:uid="{29292449-244A-4C0D-A72D-067972E17C3F}" name="Column16082"/>
    <tableColumn id="16083" xr3:uid="{A76308A3-CB92-4952-AF0D-0B8F5F6DE382}" name="Column16083"/>
    <tableColumn id="16084" xr3:uid="{C2003867-7160-468D-BA58-6B8059A47C2E}" name="Column16084"/>
    <tableColumn id="16085" xr3:uid="{1EC56B04-6852-480D-B521-F5304F9F798B}" name="Column16085"/>
    <tableColumn id="16086" xr3:uid="{1781A691-B5BF-4EE4-9929-4224E6262D7D}" name="Column16086"/>
    <tableColumn id="16087" xr3:uid="{0468BC61-4A77-4471-A2C4-8919D4D9D8AA}" name="Column16087"/>
    <tableColumn id="16088" xr3:uid="{60B497E5-19F4-4008-A843-4573FDF35C10}" name="Column16088"/>
    <tableColumn id="16089" xr3:uid="{B876E9B6-B493-4590-A338-F813E20589E2}" name="Column16089"/>
    <tableColumn id="16090" xr3:uid="{ACD4E5C8-0304-4969-B7BA-7AB4D131EB5D}" name="Column16090"/>
    <tableColumn id="16091" xr3:uid="{657D7D65-6788-4ED4-97EB-0854FF89D471}" name="Column16091"/>
    <tableColumn id="16092" xr3:uid="{DCF0E013-D6B5-4FC7-A83C-74DE768D5844}" name="Column16092"/>
    <tableColumn id="16093" xr3:uid="{BBC4311F-33AA-4D1C-A2AF-CCA7D7F0B2CD}" name="Column16093"/>
    <tableColumn id="16094" xr3:uid="{6D1C48A6-EAA4-46FA-90F1-125A7E3D3CD6}" name="Column16094"/>
    <tableColumn id="16095" xr3:uid="{3E7DAB36-E974-4ADE-A9D2-AE902D46E704}" name="Column16095"/>
    <tableColumn id="16096" xr3:uid="{7AD975B0-E2DD-4AD8-BCE9-706AF63E96C4}" name="Column16096"/>
    <tableColumn id="16097" xr3:uid="{B1B9CBDA-9141-4E67-89FB-E95BC711A393}" name="Column16097"/>
    <tableColumn id="16098" xr3:uid="{88111958-CCB2-499C-8B85-CDF96429A4D3}" name="Column16098"/>
    <tableColumn id="16099" xr3:uid="{928C9F3E-EFE7-44DE-8D35-6733E9B33A15}" name="Column16099"/>
    <tableColumn id="16100" xr3:uid="{DDDF8AE1-57E2-45E4-A41B-BCD35807AEC0}" name="Column16100"/>
    <tableColumn id="16101" xr3:uid="{B6C1BC3C-C866-4AEB-8DC5-270B70536878}" name="Column16101"/>
    <tableColumn id="16102" xr3:uid="{44AF2773-4893-42AE-8FD8-FEBDD7BA3A85}" name="Column16102"/>
    <tableColumn id="16103" xr3:uid="{DA82FE3B-2FC8-452D-8946-C8EEA974E6E3}" name="Column16103"/>
    <tableColumn id="16104" xr3:uid="{91E7028F-BBAD-4E01-B078-1AF8B15D0653}" name="Column16104"/>
    <tableColumn id="16105" xr3:uid="{1A2C27B8-0F2B-43E2-82F6-28D60089C09C}" name="Column16105"/>
    <tableColumn id="16106" xr3:uid="{C3B9A2EE-E08F-46E5-AB32-E34BBA495BF1}" name="Column16106"/>
    <tableColumn id="16107" xr3:uid="{8AA77BD6-190F-4410-879A-E6D946A8F5AC}" name="Column16107"/>
    <tableColumn id="16108" xr3:uid="{70AF6523-2F8D-4E5A-B3B2-10AF43839F1F}" name="Column16108"/>
    <tableColumn id="16109" xr3:uid="{EACF805A-87AF-41BC-B39E-DFEECCFF528C}" name="Column16109"/>
    <tableColumn id="16110" xr3:uid="{05CEF425-F4E2-4AD3-95C1-A97773398594}" name="Column16110"/>
    <tableColumn id="16111" xr3:uid="{A242D8C5-0AC2-4609-9AC7-41CA4B6A25EC}" name="Column16111"/>
    <tableColumn id="16112" xr3:uid="{2B62972C-8B8A-46F1-B89E-7DE131B8FB05}" name="Column16112"/>
    <tableColumn id="16113" xr3:uid="{E45F3C9D-327F-4741-9A8C-9F2F3DC539A3}" name="Column16113"/>
    <tableColumn id="16114" xr3:uid="{D31D13D3-4563-420E-862A-75A748BBE632}" name="Column16114"/>
    <tableColumn id="16115" xr3:uid="{46B4E056-0FEB-4D34-A40A-DE547170D1A0}" name="Column16115"/>
    <tableColumn id="16116" xr3:uid="{1654373C-6348-4986-8A26-8D4265ED946C}" name="Column16116"/>
    <tableColumn id="16117" xr3:uid="{88604987-FA4C-4073-9C4D-02965B5BA652}" name="Column16117"/>
    <tableColumn id="16118" xr3:uid="{F2DC0A1A-B5E7-48E7-B109-818DCA9966FA}" name="Column16118"/>
    <tableColumn id="16119" xr3:uid="{7DE55F35-3A82-4487-8076-6F1DE60805AE}" name="Column16119"/>
    <tableColumn id="16120" xr3:uid="{977A94E9-DF4B-4BF6-AF9D-81A8D83D6116}" name="Column16120"/>
    <tableColumn id="16121" xr3:uid="{968F265A-0E45-4E5F-95E4-BD82A47E1A58}" name="Column16121"/>
    <tableColumn id="16122" xr3:uid="{29EBC2BF-7790-478D-A26D-1E0F60FE64B8}" name="Column16122"/>
    <tableColumn id="16123" xr3:uid="{719EEF30-9328-4476-B730-B5F235FDF915}" name="Column16123"/>
    <tableColumn id="16124" xr3:uid="{E57D0C5A-040E-4392-84F9-53A85D038676}" name="Column16124"/>
    <tableColumn id="16125" xr3:uid="{07021713-8C40-4913-B786-A8CFDA55057A}" name="Column16125"/>
    <tableColumn id="16126" xr3:uid="{F953A69C-1E0B-45C2-A94D-D45C010083B8}" name="Column16126"/>
    <tableColumn id="16127" xr3:uid="{279C37CF-E70A-4145-8707-247264A91A11}" name="Column16127"/>
    <tableColumn id="16128" xr3:uid="{A8AB3D26-8388-4335-8612-F8D31C2685E7}" name="Column16128"/>
    <tableColumn id="16129" xr3:uid="{6234ABF0-9A18-45D8-B7A9-D4EBEC884951}" name="Column16129"/>
    <tableColumn id="16130" xr3:uid="{4A4D185B-B34F-4EFC-BCBA-B173E98BE2B1}" name="Column16130"/>
    <tableColumn id="16131" xr3:uid="{F0201677-9196-401C-8318-A2F9CA9C66B4}" name="Column16131"/>
    <tableColumn id="16132" xr3:uid="{4275C3E5-31FA-4070-A95C-BFC09280D983}" name="Column16132"/>
    <tableColumn id="16133" xr3:uid="{12C0BDF7-E6C0-4E6F-A985-38EBEDDF6600}" name="Column16133"/>
    <tableColumn id="16134" xr3:uid="{EB027CE2-8C6C-4FD8-B83D-CEF127E99E12}" name="Column16134"/>
    <tableColumn id="16135" xr3:uid="{EBE77032-45E8-47D9-829E-AB79D4144435}" name="Column16135"/>
    <tableColumn id="16136" xr3:uid="{DECF6361-E0B3-4E68-9622-E284897BCB32}" name="Column16136"/>
    <tableColumn id="16137" xr3:uid="{69D9CA59-11FC-4AD5-866D-635EC1521811}" name="Column16137"/>
    <tableColumn id="16138" xr3:uid="{2B91FCDA-5A0A-4321-AF6E-625729F59E2E}" name="Column16138"/>
    <tableColumn id="16139" xr3:uid="{78F15ED9-D03E-44C4-AE8F-D57060F6195D}" name="Column16139"/>
    <tableColumn id="16140" xr3:uid="{52516E45-3E59-45E3-83D4-3437C6B484F4}" name="Column16140"/>
    <tableColumn id="16141" xr3:uid="{4BA0B7DF-2188-4C52-927B-B3F1DCC7A594}" name="Column16141"/>
    <tableColumn id="16142" xr3:uid="{60726116-3E41-45AE-BE1B-9EA9B2C7733A}" name="Column16142"/>
    <tableColumn id="16143" xr3:uid="{FE82EB7B-6B65-405A-B8E0-0F2E3D3F3C30}" name="Column16143"/>
    <tableColumn id="16144" xr3:uid="{788256DD-487C-484F-9121-26A99D336A62}" name="Column16144"/>
    <tableColumn id="16145" xr3:uid="{2A98B0D2-3944-429A-B724-DDFF78CCB880}" name="Column16145"/>
    <tableColumn id="16146" xr3:uid="{14059CD7-7C8C-4E35-B110-7EE84EA0BA8C}" name="Column16146"/>
    <tableColumn id="16147" xr3:uid="{FC46A451-E951-42A4-A330-0CF33F382C52}" name="Column16147"/>
    <tableColumn id="16148" xr3:uid="{E52A6871-E2E5-4E09-9E8F-61EC05F1DE34}" name="Column16148"/>
    <tableColumn id="16149" xr3:uid="{A866CB13-EF2C-4DA3-97C3-99DD49C10AFF}" name="Column16149"/>
    <tableColumn id="16150" xr3:uid="{C0538C46-D814-4CC8-A7AA-ED004102E54F}" name="Column16150"/>
    <tableColumn id="16151" xr3:uid="{499D7EA9-A061-4353-A74A-87938BB10A04}" name="Column16151"/>
    <tableColumn id="16152" xr3:uid="{3D9A0593-08B2-4631-8FBB-944137C5634A}" name="Column16152"/>
    <tableColumn id="16153" xr3:uid="{F6D5F219-3F49-4938-9053-3CA9C54CE5D2}" name="Column16153"/>
    <tableColumn id="16154" xr3:uid="{205F576F-3B79-4295-8081-5945819F2143}" name="Column16154"/>
    <tableColumn id="16155" xr3:uid="{C3742F92-C711-40F7-9401-95916485E7A7}" name="Column16155"/>
    <tableColumn id="16156" xr3:uid="{E25D9D6A-B345-4BB6-BE92-BDA2230A5A38}" name="Column16156"/>
    <tableColumn id="16157" xr3:uid="{20435E44-1C96-46E1-8CFB-ECD04C4192F6}" name="Column16157"/>
    <tableColumn id="16158" xr3:uid="{E9B920D9-13F2-4295-80D3-70929D5770CA}" name="Column16158"/>
    <tableColumn id="16159" xr3:uid="{693B53EC-C759-4A2D-A009-BD1F257CBD37}" name="Column16159"/>
    <tableColumn id="16160" xr3:uid="{71B2437B-603A-4CDC-B17A-C4B78BC467D9}" name="Column16160"/>
    <tableColumn id="16161" xr3:uid="{D716C4D5-8DDB-4257-888B-E5B4568424E1}" name="Column16161"/>
    <tableColumn id="16162" xr3:uid="{993CBB74-6B16-4680-B16C-1B4B33D394BA}" name="Column16162"/>
    <tableColumn id="16163" xr3:uid="{06DE38BA-7F68-4F3C-8944-C280E61FA3F6}" name="Column16163"/>
    <tableColumn id="16164" xr3:uid="{CD096859-6828-452F-BA8D-9FA92E600523}" name="Column16164"/>
    <tableColumn id="16165" xr3:uid="{E5AF0650-9F59-4394-B2B3-4C8D1775F92F}" name="Column16165"/>
    <tableColumn id="16166" xr3:uid="{9D9733E2-63AA-4473-9146-C5E11563CEE4}" name="Column16166"/>
    <tableColumn id="16167" xr3:uid="{7E36AEDA-3DAF-4612-B4CE-337C839E4739}" name="Column16167"/>
    <tableColumn id="16168" xr3:uid="{3EDFF7AD-B365-4B06-B4F7-B136AE91BE2E}" name="Column16168"/>
    <tableColumn id="16169" xr3:uid="{07403843-7D29-475A-A1CE-3070D507DED3}" name="Column16169"/>
    <tableColumn id="16170" xr3:uid="{6B9A2E38-E693-4500-ADC3-AF58C49309F4}" name="Column16170"/>
    <tableColumn id="16171" xr3:uid="{D01B91A1-5739-4237-912E-F55F24E0B686}" name="Column16171"/>
    <tableColumn id="16172" xr3:uid="{066ACCC6-992A-4E5D-A0FE-CADAC0BA77A4}" name="Column16172"/>
    <tableColumn id="16173" xr3:uid="{E9439958-47E8-4457-8B3E-9342E2D79AA2}" name="Column16173"/>
    <tableColumn id="16174" xr3:uid="{0D6463BA-6ABA-424B-92B7-225BF4D76AB2}" name="Column16174"/>
    <tableColumn id="16175" xr3:uid="{BC9D4FFB-7A15-454A-A307-035E2519A4B9}" name="Column16175"/>
    <tableColumn id="16176" xr3:uid="{9C5A303E-0D90-4726-A5C7-67EB683BEC46}" name="Column16176"/>
    <tableColumn id="16177" xr3:uid="{079AFB8A-3324-4D38-AB20-2211A33A934D}" name="Column16177"/>
    <tableColumn id="16178" xr3:uid="{61EA1746-186C-41F7-BC49-7CB2049ACA67}" name="Column16178"/>
    <tableColumn id="16179" xr3:uid="{C5C9D7CC-9839-44CE-A89C-59F7A9633A14}" name="Column16179"/>
    <tableColumn id="16180" xr3:uid="{087CD760-1C10-4DAD-8BC3-1FD08AAB4C56}" name="Column16180"/>
    <tableColumn id="16181" xr3:uid="{D617F361-06ED-4E29-BCD4-5DC7645FBB36}" name="Column16181"/>
    <tableColumn id="16182" xr3:uid="{D5C835F4-6536-4813-85C2-EF99F8F48EF3}" name="Column16182"/>
    <tableColumn id="16183" xr3:uid="{E0CFB2D4-638A-44D4-8CDC-CDD0BD3DDFF0}" name="Column16183"/>
    <tableColumn id="16184" xr3:uid="{667DF51E-4FFA-4486-89CA-1FA9A3A53FC9}" name="Column16184"/>
    <tableColumn id="16185" xr3:uid="{E3D57D77-A277-4424-A526-84098C2AB6CF}" name="Column16185"/>
    <tableColumn id="16186" xr3:uid="{2FEA1CE3-0175-474F-A1C7-A019AFAF88C9}" name="Column16186"/>
    <tableColumn id="16187" xr3:uid="{83369184-1539-4179-AE6B-B5B1A7D41264}" name="Column16187"/>
    <tableColumn id="16188" xr3:uid="{0B903C8C-048D-4742-B11C-CBB65759B370}" name="Column16188"/>
    <tableColumn id="16189" xr3:uid="{F95EC5AE-F1CB-49AF-8AFA-B3845BDBF5AA}" name="Column16189"/>
    <tableColumn id="16190" xr3:uid="{B0C8EFDE-82C2-4A50-9CF0-2768AD5218B6}" name="Column16190"/>
    <tableColumn id="16191" xr3:uid="{84C05F55-F12C-4FCF-9B7E-E4A394DD51C0}" name="Column16191"/>
    <tableColumn id="16192" xr3:uid="{B70C77B1-38EA-474E-BE69-DCD25B2FA20E}" name="Column16192"/>
    <tableColumn id="16193" xr3:uid="{04B0C1B1-DD03-4D55-8592-410A9D07B8B2}" name="Column16193"/>
    <tableColumn id="16194" xr3:uid="{CF6693BB-E279-43F3-A1F6-7696770ECC4F}" name="Column16194"/>
    <tableColumn id="16195" xr3:uid="{52DB7BE3-319C-4616-A120-9C8CA3888303}" name="Column16195"/>
    <tableColumn id="16196" xr3:uid="{2061EB43-3D92-439C-A2A8-34832140C83A}" name="Column16196"/>
    <tableColumn id="16197" xr3:uid="{731E8D8E-5CDF-49C9-8ED0-070B1B11B4CC}" name="Column16197"/>
    <tableColumn id="16198" xr3:uid="{7E23B4DC-E608-4F43-80BE-19DB312E897A}" name="Column16198"/>
    <tableColumn id="16199" xr3:uid="{8B601754-BC1B-4066-82FD-5B1962551E53}" name="Column16199"/>
    <tableColumn id="16200" xr3:uid="{A963113A-9F49-4B94-B3E5-448A1F58192F}" name="Column16200"/>
    <tableColumn id="16201" xr3:uid="{5E0CF6D0-496B-4CDC-9DB4-20CF845558A0}" name="Column16201"/>
    <tableColumn id="16202" xr3:uid="{80E960CF-B62B-45F5-9EE7-91DEEA22AC35}" name="Column16202"/>
    <tableColumn id="16203" xr3:uid="{E7628DC7-97C2-4289-9685-7352B27721E0}" name="Column16203"/>
    <tableColumn id="16204" xr3:uid="{FD9E263C-5C91-4ED0-B93F-4ECF68276272}" name="Column16204"/>
    <tableColumn id="16205" xr3:uid="{3589A4AC-74E5-4200-BE1C-75D46A3C91E3}" name="Column16205"/>
    <tableColumn id="16206" xr3:uid="{28CC6BF4-B4D4-40DC-9A75-7E3FF7E7E290}" name="Column16206"/>
    <tableColumn id="16207" xr3:uid="{15893DF0-85D9-48F9-B589-09CB2A505976}" name="Column16207"/>
    <tableColumn id="16208" xr3:uid="{CAC59687-F0B8-417C-990F-982007F03C0D}" name="Column16208"/>
    <tableColumn id="16209" xr3:uid="{83012EC3-2060-4AB7-B902-48D246A28842}" name="Column16209"/>
    <tableColumn id="16210" xr3:uid="{4138EF62-D654-4A94-A1BE-73C89E8822F9}" name="Column16210"/>
    <tableColumn id="16211" xr3:uid="{4634858E-1B72-4D09-9D6D-C801493D66E9}" name="Column16211"/>
    <tableColumn id="16212" xr3:uid="{FB6F2762-D2F1-4790-B7D6-6AE654330C69}" name="Column16212"/>
    <tableColumn id="16213" xr3:uid="{9D2E1142-D3D8-4024-A373-14537D199FFC}" name="Column16213"/>
    <tableColumn id="16214" xr3:uid="{5A2C8347-46C6-4599-B298-BD8D9940FFD2}" name="Column16214"/>
    <tableColumn id="16215" xr3:uid="{FD3AF283-5C9D-4293-8727-356FD89B0F2A}" name="Column16215"/>
    <tableColumn id="16216" xr3:uid="{FB2B6757-5587-4E03-A16F-99015AAE4F6B}" name="Column16216"/>
    <tableColumn id="16217" xr3:uid="{6FBA8440-CE0E-43E4-AB36-1C4953536EB6}" name="Column16217"/>
    <tableColumn id="16218" xr3:uid="{17E3E263-4267-4979-B1B4-1D61458AAAFD}" name="Column16218"/>
    <tableColumn id="16219" xr3:uid="{F30E1D3D-E0BA-4376-9961-5069B85C87BD}" name="Column16219"/>
    <tableColumn id="16220" xr3:uid="{979D383C-137A-42CE-BFD6-627BDE657FFD}" name="Column16220"/>
    <tableColumn id="16221" xr3:uid="{AA71D0E2-7910-48BF-8F4D-6CF52A5BD57F}" name="Column16221"/>
    <tableColumn id="16222" xr3:uid="{217073B8-D49A-4CCC-848E-64C09D0C6566}" name="Column16222"/>
    <tableColumn id="16223" xr3:uid="{5BDC5007-8CC3-4AE4-8036-5432B4B0A856}" name="Column16223"/>
    <tableColumn id="16224" xr3:uid="{EE6956BD-8C50-4966-94EB-49F8BC92B045}" name="Column16224"/>
    <tableColumn id="16225" xr3:uid="{B455337D-9AF6-4F00-8284-4BE667872604}" name="Column16225"/>
    <tableColumn id="16226" xr3:uid="{76C98484-7937-4AC4-A30A-101A90CE3B49}" name="Column16226"/>
    <tableColumn id="16227" xr3:uid="{47F22A13-67D0-4788-9546-464A25BE922A}" name="Column16227"/>
    <tableColumn id="16228" xr3:uid="{B6D76C2D-0898-4704-A3D1-BB382B96994F}" name="Column16228"/>
    <tableColumn id="16229" xr3:uid="{75F2E266-9246-4B8A-9BB1-AB0F1EACB260}" name="Column16229"/>
    <tableColumn id="16230" xr3:uid="{2AA9DD56-5411-4876-A9F6-D97D4D071043}" name="Column16230"/>
    <tableColumn id="16231" xr3:uid="{9B55C4C0-3781-4571-B959-578083FD3B33}" name="Column16231"/>
    <tableColumn id="16232" xr3:uid="{C9BCFB4B-E058-49DD-AD62-CCF808EA9F48}" name="Column16232"/>
    <tableColumn id="16233" xr3:uid="{45EEA7B4-6D75-402C-A275-5EA17326C630}" name="Column16233"/>
    <tableColumn id="16234" xr3:uid="{5112E5D5-BA67-4129-B4E1-7D4630432D82}" name="Column16234"/>
    <tableColumn id="16235" xr3:uid="{D25247C1-81E4-46B0-AB74-D349FBC2755F}" name="Column16235"/>
    <tableColumn id="16236" xr3:uid="{B47B7E79-F05E-477F-91F3-A6EC054E3B6F}" name="Column16236"/>
    <tableColumn id="16237" xr3:uid="{8943CEBF-FF66-47C5-B9FA-ABB0ECE6C34D}" name="Column16237"/>
    <tableColumn id="16238" xr3:uid="{EFD384C4-74DB-4C46-ACB7-BBF1A88B6299}" name="Column16238"/>
    <tableColumn id="16239" xr3:uid="{D4A82232-3630-4ACA-B998-77879B7F3966}" name="Column16239"/>
    <tableColumn id="16240" xr3:uid="{571337A4-D94A-4156-90A4-86290F55358C}" name="Column16240"/>
    <tableColumn id="16241" xr3:uid="{B1E5C6D9-FE9A-4662-B960-7D61D2825E81}" name="Column16241"/>
    <tableColumn id="16242" xr3:uid="{B90B7A4C-0D9D-474C-8DFC-06EC5063B910}" name="Column16242"/>
    <tableColumn id="16243" xr3:uid="{56C6FEC0-2884-4DCC-B0F1-CE9A78033CAC}" name="Column16243"/>
    <tableColumn id="16244" xr3:uid="{2CED72AE-70FC-4CEA-A0DE-4EF0C225BB8C}" name="Column16244"/>
    <tableColumn id="16245" xr3:uid="{A366F05C-5DB5-49A8-9C0D-B0A53CE8303E}" name="Column16245"/>
    <tableColumn id="16246" xr3:uid="{B2B5C270-A6F4-4ED7-BBAA-3EB05520ADA1}" name="Column16246"/>
    <tableColumn id="16247" xr3:uid="{393733BA-A5BE-4A73-BD98-F4D0B0FFA65C}" name="Column16247"/>
    <tableColumn id="16248" xr3:uid="{1EB09BC3-BD52-4DEA-89DD-AB247A494593}" name="Column16248"/>
    <tableColumn id="16249" xr3:uid="{633A62D6-C170-430B-952F-B8A798E6A81F}" name="Column16249"/>
    <tableColumn id="16250" xr3:uid="{E027E196-CA51-4202-8295-CC9D4770813B}" name="Column16250"/>
    <tableColumn id="16251" xr3:uid="{B4EEBBC2-9CEB-454E-9F7C-61B29F821F27}" name="Column16251"/>
    <tableColumn id="16252" xr3:uid="{1B753D74-7027-463B-AAF0-38857F5E0D3F}" name="Column16252"/>
    <tableColumn id="16253" xr3:uid="{F4C6DCD6-05E4-491A-A425-838B8B5C9EC7}" name="Column16253"/>
    <tableColumn id="16254" xr3:uid="{7CD9C067-D7DD-4EE8-920F-5B8D052608B5}" name="Column16254"/>
    <tableColumn id="16255" xr3:uid="{E2763C50-4FCF-49B3-B9D5-00590D35DB6C}" name="Column16255"/>
    <tableColumn id="16256" xr3:uid="{7E497005-10FA-491D-9C51-E946EEE83FE5}" name="Column16256"/>
    <tableColumn id="16257" xr3:uid="{6FAF0D0E-742B-43DB-B6F8-2B87630A5C1F}" name="Column16257"/>
    <tableColumn id="16258" xr3:uid="{472640D6-6606-4F72-BF47-4B122DA7AC59}" name="Column16258"/>
    <tableColumn id="16259" xr3:uid="{E0835886-A67E-4781-84F8-7148D8C4DD77}" name="Column16259"/>
    <tableColumn id="16260" xr3:uid="{493F928E-51EF-464E-A3F3-2BE29772C4CC}" name="Column16260"/>
    <tableColumn id="16261" xr3:uid="{CD5EC71E-B78C-4C6A-B623-14BF04EBAC9B}" name="Column16261"/>
    <tableColumn id="16262" xr3:uid="{897BAC71-21B7-428E-92B8-123EE2970797}" name="Column16262"/>
    <tableColumn id="16263" xr3:uid="{3A60E5EA-C95A-45DE-B314-816B92FFC72E}" name="Column16263"/>
    <tableColumn id="16264" xr3:uid="{DD83CCF4-E467-49FB-BC39-EA4903CFE856}" name="Column16264"/>
    <tableColumn id="16265" xr3:uid="{5859B146-0089-41FC-B9A5-CF1FA4A02722}" name="Column16265"/>
    <tableColumn id="16266" xr3:uid="{BFF76E8D-92D4-4619-B0C3-587BCC7F4F3C}" name="Column16266"/>
    <tableColumn id="16267" xr3:uid="{87D99A5F-8493-4036-A384-1F73243F785A}" name="Column16267"/>
    <tableColumn id="16268" xr3:uid="{BAFDF695-8FFB-45F4-8933-A8C4D650C556}" name="Column16268"/>
    <tableColumn id="16269" xr3:uid="{B57CE5EE-39CE-452A-AA08-E08F68CECDF4}" name="Column16269"/>
    <tableColumn id="16270" xr3:uid="{47AEA5D7-75DA-4396-A51F-C1A4DE5F2582}" name="Column16270"/>
    <tableColumn id="16271" xr3:uid="{6F2AAC84-E782-4311-BC73-AE2C3987994D}" name="Column16271"/>
    <tableColumn id="16272" xr3:uid="{B5E11C8B-2E87-4347-9F84-AF1B3F90A4F2}" name="Column16272"/>
    <tableColumn id="16273" xr3:uid="{BC48AB68-5A24-4E9F-9CA4-27E3B1E57B0B}" name="Column16273"/>
    <tableColumn id="16274" xr3:uid="{083B004D-ECB8-4C87-8D31-78C8F7F05471}" name="Column16274"/>
    <tableColumn id="16275" xr3:uid="{DB83AB61-4FBA-4EF7-9FC5-5779EA63AC8C}" name="Column16275"/>
    <tableColumn id="16276" xr3:uid="{58A7B333-7AE3-46D4-8B62-73CE46073939}" name="Column16276"/>
    <tableColumn id="16277" xr3:uid="{2FA5B5B9-0E00-48CE-9E66-8C4AEC390465}" name="Column16277"/>
    <tableColumn id="16278" xr3:uid="{27A1A74C-84BC-4B4F-B9B8-4A1CB815D1F5}" name="Column16278"/>
    <tableColumn id="16279" xr3:uid="{1860EAFE-AFE5-45BF-A9F1-C33DEFD1EC9D}" name="Column16279"/>
    <tableColumn id="16280" xr3:uid="{6ABD66F1-C2DA-48DB-825E-09FE03EC28E6}" name="Column16280"/>
    <tableColumn id="16281" xr3:uid="{4FCE52ED-0424-4DE7-BAF9-4242FDE3CF26}" name="Column16281"/>
    <tableColumn id="16282" xr3:uid="{BF86398D-8036-4918-BAB1-8B0FA5A08F8A}" name="Column16282"/>
    <tableColumn id="16283" xr3:uid="{2A14CF5F-F63A-4487-A4E7-34EABB444E7F}" name="Column16283"/>
    <tableColumn id="16284" xr3:uid="{29E31C24-D5F3-48D7-94CA-F24124C567B4}" name="Column16284"/>
    <tableColumn id="16285" xr3:uid="{315FBB0B-C5BF-4CDD-84CD-D9E8B0C83284}" name="Column16285"/>
    <tableColumn id="16286" xr3:uid="{6AF0166C-F111-4D7A-B906-C51F7D9C33AE}" name="Column16286"/>
    <tableColumn id="16287" xr3:uid="{B20C520B-55EE-4F8D-9F55-AC5F74642AC7}" name="Column16287"/>
    <tableColumn id="16288" xr3:uid="{C4E50765-F063-4211-BADA-60EF0A3C0712}" name="Column16288"/>
    <tableColumn id="16289" xr3:uid="{DD727A46-F1C4-4C1D-8C23-87636850C382}" name="Column16289"/>
    <tableColumn id="16290" xr3:uid="{933CBA26-BB52-4A6B-BAB3-DF4DF7B523B5}" name="Column16290"/>
    <tableColumn id="16291" xr3:uid="{2A45B53C-3646-4FE8-B5CA-0A818709FE93}" name="Column16291"/>
    <tableColumn id="16292" xr3:uid="{00755946-1F9B-4E4D-889E-456469F5DCD0}" name="Column16292"/>
    <tableColumn id="16293" xr3:uid="{59706A40-E4E4-43A5-BD2F-DC64BD9A9653}" name="Column16293"/>
    <tableColumn id="16294" xr3:uid="{63AFD8B9-298E-4017-A171-42D60B226E95}" name="Column16294"/>
    <tableColumn id="16295" xr3:uid="{C5910199-D153-4670-85DF-2275DAEDC65A}" name="Column16295"/>
    <tableColumn id="16296" xr3:uid="{A9A5E2EF-56D0-405C-81E9-3BC69FEB518A}" name="Column16296"/>
    <tableColumn id="16297" xr3:uid="{E4DE354C-50D0-48C2-8ED8-1DC9E0F45063}" name="Column16297"/>
    <tableColumn id="16298" xr3:uid="{18FA867A-56D3-47F5-B22C-5751F5147F25}" name="Column16298"/>
    <tableColumn id="16299" xr3:uid="{0DB272C2-6133-43BD-8545-00D9F4B63006}" name="Column16299"/>
    <tableColumn id="16300" xr3:uid="{2F741881-F406-4A00-97BB-401B0B3BE4EE}" name="Column16300"/>
    <tableColumn id="16301" xr3:uid="{2605CDF6-8296-4EB9-989E-BEE6E8D90AEA}" name="Column16301"/>
    <tableColumn id="16302" xr3:uid="{06B6022E-A91F-411E-870F-C23B1910BF58}" name="Column16302"/>
    <tableColumn id="16303" xr3:uid="{DB62F40A-338F-4A72-98AE-1F21755300C6}" name="Column16303"/>
    <tableColumn id="16304" xr3:uid="{F71F87C7-C1A7-4881-90AA-215B20E5174E}" name="Column16304"/>
    <tableColumn id="16305" xr3:uid="{3A6239B9-609D-4C3C-B12C-C7842C8FC8D9}" name="Column16305"/>
    <tableColumn id="16306" xr3:uid="{BB9ABAEF-EF52-4247-AB08-6EC53B971497}" name="Column16306"/>
    <tableColumn id="16307" xr3:uid="{006BA6C9-DDB7-41C4-8197-F5A67342A741}" name="Column16307"/>
    <tableColumn id="16308" xr3:uid="{3DD0450D-0BD9-4959-9995-563BAC3A5146}" name="Column16308"/>
    <tableColumn id="16309" xr3:uid="{12215F43-9CC7-416F-B599-428108FA68C5}" name="Column16309"/>
    <tableColumn id="16310" xr3:uid="{729232AA-C586-4309-A7F8-77BCD50CC8A8}" name="Column16310"/>
    <tableColumn id="16311" xr3:uid="{85BF99E4-2973-48AB-AFEC-EBC416D7A30C}" name="Column16311"/>
    <tableColumn id="16312" xr3:uid="{608D40E0-8F5C-4152-B8AC-6263D07FE4A9}" name="Column16312"/>
    <tableColumn id="16313" xr3:uid="{882745B2-5D50-444E-AA43-7CC1C1514429}" name="Column16313"/>
    <tableColumn id="16314" xr3:uid="{DD3E4BC1-FB66-45D0-A02C-C19DD71B04ED}" name="Column16314"/>
    <tableColumn id="16315" xr3:uid="{D5F68A6D-7A5C-4A9D-ACCA-F4A381CD6868}" name="Column16315"/>
    <tableColumn id="16316" xr3:uid="{FDF7A22A-C541-4242-A69C-413E80266407}" name="Column16316"/>
    <tableColumn id="16317" xr3:uid="{C5753866-18C4-4C93-8961-96B635D9E4E0}" name="Column16317"/>
    <tableColumn id="16318" xr3:uid="{499C0A6E-563E-40AC-9CCC-EFEF087D5C4A}" name="Column16318"/>
    <tableColumn id="16319" xr3:uid="{8BC12670-1364-425E-8590-6E24A33CFB4C}" name="Column16319"/>
    <tableColumn id="16320" xr3:uid="{16F04381-5872-4476-A16A-44A09D04E82B}" name="Column16320"/>
    <tableColumn id="16321" xr3:uid="{1BADFFC6-1B43-4F09-BFBA-CF1B888BCA5F}" name="Column16321"/>
    <tableColumn id="16322" xr3:uid="{CD59E1C0-0893-465F-887E-C2FCB9B178E5}" name="Column16322"/>
    <tableColumn id="16323" xr3:uid="{897B7D54-14C9-4FF3-AD27-F8C8DA04356E}" name="Column16323"/>
    <tableColumn id="16324" xr3:uid="{E1909F20-8C9D-479C-A69E-339C84DB03DB}" name="Column16324"/>
    <tableColumn id="16325" xr3:uid="{7CCC946F-3249-4250-9400-14F445AC1970}" name="Column16325"/>
    <tableColumn id="16326" xr3:uid="{8461370B-0080-4AD3-B945-C5A6D85F11BF}" name="Column16326"/>
    <tableColumn id="16327" xr3:uid="{502242DD-89FD-4B63-A6C2-70C2CF61BF79}" name="Column16327"/>
    <tableColumn id="16328" xr3:uid="{9DF01915-A07D-4375-A8D5-96000A900E6D}" name="Column16328"/>
    <tableColumn id="16329" xr3:uid="{35358B97-39B1-4B40-B7E9-BFD0719F8F43}" name="Column16329"/>
    <tableColumn id="16330" xr3:uid="{EE3C9B68-FE10-46CB-896E-DE53C87E9002}" name="Column16330"/>
    <tableColumn id="16331" xr3:uid="{6BC2B050-C113-48FC-B666-F9B9BDC37CDA}" name="Column16331"/>
    <tableColumn id="16332" xr3:uid="{CB3AF84A-926C-4324-98CF-EFFCE48F111E}" name="Column16332"/>
    <tableColumn id="16333" xr3:uid="{59E25780-B085-4B32-838F-D5C0DC32F7F4}" name="Column16333"/>
    <tableColumn id="16334" xr3:uid="{19547A32-E2D3-4BAF-A2F6-1728DAC125B1}" name="Column16334"/>
    <tableColumn id="16335" xr3:uid="{1E7806B7-BB48-4206-A062-A8DCFF1376D7}" name="Column16335"/>
    <tableColumn id="16336" xr3:uid="{C2A7A2EF-6370-4273-BF36-EC80C04A7CEA}" name="Column16336"/>
    <tableColumn id="16337" xr3:uid="{22476B49-1729-4AD2-947F-A58E6AFAC1D7}" name="Column16337"/>
    <tableColumn id="16338" xr3:uid="{9E17EBC1-6B01-4378-8D89-A9961FC93083}" name="Column16338"/>
    <tableColumn id="16339" xr3:uid="{935BC053-AEDD-41BD-8CC7-F7E3498714E5}" name="Column16339"/>
    <tableColumn id="16340" xr3:uid="{D8381C61-5807-4243-B29A-6A1F87F30524}" name="Column16340"/>
    <tableColumn id="16341" xr3:uid="{3E923705-2A22-4AED-BDA2-5A7253F2CE9E}" name="Column16341"/>
    <tableColumn id="16342" xr3:uid="{0C1749D1-8E3D-4165-8413-8DEFCBC8166D}" name="Column16342"/>
    <tableColumn id="16343" xr3:uid="{5F5584BE-F526-48F3-A172-A6227FFA0856}" name="Column16343"/>
    <tableColumn id="16344" xr3:uid="{0608157A-0CAD-42B9-A08F-584E30EA3A34}" name="Column16344"/>
    <tableColumn id="16345" xr3:uid="{A63C6972-725A-4EBE-8AEB-A30A9C3E9302}" name="Column16345"/>
    <tableColumn id="16346" xr3:uid="{F34E182F-5F28-4B61-AC3C-A899CE3B2126}" name="Column16346"/>
    <tableColumn id="16347" xr3:uid="{B303C836-4784-4976-AFCF-DE54C21C40EB}" name="Column16347"/>
    <tableColumn id="16348" xr3:uid="{5A122D5D-FB89-4F91-B903-6E232924CCFB}" name="Column16348"/>
    <tableColumn id="16349" xr3:uid="{C5BCD49F-7507-4CB0-BBF3-34A9C2D487D6}" name="Column16349"/>
    <tableColumn id="16350" xr3:uid="{A1C3AA0D-25DF-4261-A2D6-9CC1C0C95B61}" name="Column16350"/>
    <tableColumn id="16351" xr3:uid="{12CDABED-0042-4596-86DB-4A5736584319}" name="Column16351"/>
    <tableColumn id="16352" xr3:uid="{E141EF9D-B8EE-4787-9455-B5E337A61C74}" name="Column16352"/>
    <tableColumn id="16353" xr3:uid="{DF8C02B9-7E4C-49C5-AAA8-3AFF656198ED}" name="Column16353"/>
    <tableColumn id="16354" xr3:uid="{2C75824F-7178-4183-9EF5-752ADB163F96}" name="Column16354"/>
    <tableColumn id="16355" xr3:uid="{DA1E7C5B-9D34-42FC-814B-3AE44718625A}" name="Column16355"/>
    <tableColumn id="16356" xr3:uid="{4619A30A-C98D-44DF-91C2-4515A3675998}" name="Column16356"/>
    <tableColumn id="16357" xr3:uid="{B5F97687-D8AB-49DE-851F-A3A3E45AF8A9}" name="Column16357"/>
    <tableColumn id="16358" xr3:uid="{3F5717E5-4CD5-402D-A1A4-F2A8BB2B7B8C}" name="Column16358"/>
    <tableColumn id="16359" xr3:uid="{F3260037-F79F-4C65-81F1-97F2AACB3464}" name="Column16359"/>
    <tableColumn id="16360" xr3:uid="{01254FDA-230E-4CA7-8066-D4BD7780F65D}" name="Column16360"/>
    <tableColumn id="16361" xr3:uid="{F358B100-97D3-4DCF-BEE0-554F0D6E59FB}" name="Column16361"/>
    <tableColumn id="16362" xr3:uid="{A4CD5454-6BFE-43BC-B5CA-68E9D1F58CA9}" name="Column16362"/>
    <tableColumn id="16363" xr3:uid="{F84D4A80-D2B8-45C9-B9B2-925AB5AC9213}" name="Column16363"/>
    <tableColumn id="16364" xr3:uid="{DFB7C18B-3670-4C6D-89B0-A771C661FC28}" name="Column16364"/>
    <tableColumn id="16365" xr3:uid="{24B3FF0A-36EA-4482-9586-53120CD7B2BE}" name="Column16365"/>
    <tableColumn id="16366" xr3:uid="{90FCF8F4-3793-43B3-B63C-53F539C3A665}" name="Column16366"/>
    <tableColumn id="16367" xr3:uid="{620832AC-17A6-4165-8CE6-FDBA240A705B}" name="Column16367"/>
    <tableColumn id="16368" xr3:uid="{2632AB9D-5888-4A9D-B99B-87BB71A0D2DC}" name="Column16368"/>
    <tableColumn id="16369" xr3:uid="{C54573B7-0FBF-4A3D-98F2-F2D27DB33C62}" name="Column16369"/>
    <tableColumn id="16370" xr3:uid="{BB3B0791-DE0C-478F-B972-2E7BAA432AE4}" name="Column16370"/>
    <tableColumn id="16371" xr3:uid="{3E5C4609-E039-43C9-979E-3D955ED99430}" name="Column16371"/>
    <tableColumn id="16372" xr3:uid="{1E3F1694-59D5-4051-AE03-555863F41023}" name="Column16372"/>
    <tableColumn id="16373" xr3:uid="{1DDBE644-BE07-443D-92FC-297C7E18AA8F}" name="Column16373"/>
    <tableColumn id="16374" xr3:uid="{D01B5488-032E-4938-8CCD-673E2185B7E0}" name="Column16374"/>
    <tableColumn id="16375" xr3:uid="{E6B3D1C3-93B3-4733-BA55-8AAC93B3BBBC}" name="Column16375"/>
    <tableColumn id="16376" xr3:uid="{EF64140D-1F20-4367-9081-C87EAAC3512A}" name="Column16376"/>
    <tableColumn id="16377" xr3:uid="{46A1D124-97C0-4832-A44E-297BDA403C7B}" name="Column16377"/>
    <tableColumn id="16378" xr3:uid="{0389594C-87C2-41C0-82BB-0EAA3664B609}" name="Column16378"/>
    <tableColumn id="16379" xr3:uid="{0F36438C-2438-4841-91B6-F95CE2DD5230}" name="Column16379"/>
    <tableColumn id="16380" xr3:uid="{28AA4197-27CA-4C20-BD19-BAE69A09CE2E}" name="Column16380"/>
    <tableColumn id="16381" xr3:uid="{ADE8FCC9-87E9-42CD-B69D-6911D3BC5BC3}" name="Column16381"/>
    <tableColumn id="16382" xr3:uid="{46D4BF92-7342-49AA-BDE1-B297D1050E50}" name="Column16382"/>
    <tableColumn id="16383" xr3:uid="{290A4ADF-1066-4EE4-9061-88742CC5BA10}" name="Column16383"/>
    <tableColumn id="16384" xr3:uid="{611FF936-64F0-4CDC-A051-9E10F9B4A1CE}" name="Column16384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B325-6C9E-4EC1-B015-277C38ACD31B}">
  <dimension ref="A3:F21"/>
  <sheetViews>
    <sheetView tabSelected="1" zoomScale="85" zoomScaleNormal="85" workbookViewId="0">
      <selection activeCell="R16" sqref="R16"/>
    </sheetView>
  </sheetViews>
  <sheetFormatPr defaultRowHeight="14.4" x14ac:dyDescent="0.3"/>
  <cols>
    <col min="1" max="1" width="18.33203125" bestFit="1" customWidth="1"/>
    <col min="2" max="2" width="15.5546875" bestFit="1" customWidth="1"/>
    <col min="3" max="4" width="8" bestFit="1" customWidth="1"/>
    <col min="5" max="5" width="7" bestFit="1" customWidth="1"/>
    <col min="6" max="6" width="10.77734375" bestFit="1" customWidth="1"/>
  </cols>
  <sheetData>
    <row r="3" spans="1:6" x14ac:dyDescent="0.3">
      <c r="A3" s="6" t="s">
        <v>55</v>
      </c>
      <c r="B3" s="6" t="s">
        <v>51</v>
      </c>
    </row>
    <row r="4" spans="1:6" x14ac:dyDescent="0.3">
      <c r="A4" s="6" t="s">
        <v>48</v>
      </c>
      <c r="B4" t="s">
        <v>52</v>
      </c>
      <c r="C4" t="s">
        <v>53</v>
      </c>
      <c r="D4" t="s">
        <v>54</v>
      </c>
      <c r="E4" t="s">
        <v>49</v>
      </c>
      <c r="F4" t="s">
        <v>50</v>
      </c>
    </row>
    <row r="5" spans="1:6" x14ac:dyDescent="0.3">
      <c r="A5" s="7" t="s">
        <v>33</v>
      </c>
      <c r="D5">
        <v>6600</v>
      </c>
      <c r="F5">
        <v>6600</v>
      </c>
    </row>
    <row r="6" spans="1:6" x14ac:dyDescent="0.3">
      <c r="A6" s="7" t="s">
        <v>27</v>
      </c>
      <c r="C6">
        <v>528000</v>
      </c>
      <c r="F6">
        <v>528000</v>
      </c>
    </row>
    <row r="7" spans="1:6" x14ac:dyDescent="0.3">
      <c r="A7" s="7" t="s">
        <v>23</v>
      </c>
      <c r="B7">
        <v>1650000</v>
      </c>
      <c r="F7">
        <v>1650000</v>
      </c>
    </row>
    <row r="8" spans="1:6" x14ac:dyDescent="0.3">
      <c r="A8" s="7" t="s">
        <v>39</v>
      </c>
      <c r="D8">
        <v>780000</v>
      </c>
      <c r="F8">
        <v>780000</v>
      </c>
    </row>
    <row r="9" spans="1:6" x14ac:dyDescent="0.3">
      <c r="A9" s="7" t="s">
        <v>15</v>
      </c>
      <c r="D9">
        <v>130000</v>
      </c>
      <c r="F9">
        <v>130000</v>
      </c>
    </row>
    <row r="10" spans="1:6" x14ac:dyDescent="0.3">
      <c r="A10" s="7" t="s">
        <v>19</v>
      </c>
      <c r="D10">
        <v>33000</v>
      </c>
      <c r="F10">
        <v>33000</v>
      </c>
    </row>
    <row r="11" spans="1:6" x14ac:dyDescent="0.3">
      <c r="A11" s="7" t="s">
        <v>29</v>
      </c>
      <c r="C11">
        <v>201000</v>
      </c>
      <c r="F11">
        <v>201000</v>
      </c>
    </row>
    <row r="12" spans="1:6" x14ac:dyDescent="0.3">
      <c r="A12" s="7" t="s">
        <v>31</v>
      </c>
      <c r="B12">
        <v>1206000</v>
      </c>
      <c r="F12">
        <v>1206000</v>
      </c>
    </row>
    <row r="13" spans="1:6" x14ac:dyDescent="0.3">
      <c r="A13" s="7" t="s">
        <v>10</v>
      </c>
      <c r="C13">
        <v>975000</v>
      </c>
      <c r="F13">
        <v>975000</v>
      </c>
    </row>
    <row r="14" spans="1:6" x14ac:dyDescent="0.3">
      <c r="A14" s="7" t="s">
        <v>25</v>
      </c>
      <c r="D14">
        <v>66000</v>
      </c>
      <c r="F14">
        <v>66000</v>
      </c>
    </row>
    <row r="15" spans="1:6" x14ac:dyDescent="0.3">
      <c r="A15" s="7" t="s">
        <v>41</v>
      </c>
      <c r="C15">
        <v>390000</v>
      </c>
      <c r="F15">
        <v>390000</v>
      </c>
    </row>
    <row r="16" spans="1:6" x14ac:dyDescent="0.3">
      <c r="A16" s="7" t="s">
        <v>43</v>
      </c>
      <c r="C16">
        <v>256000</v>
      </c>
      <c r="F16">
        <v>256000</v>
      </c>
    </row>
    <row r="17" spans="1:6" x14ac:dyDescent="0.3">
      <c r="A17" s="7" t="s">
        <v>37</v>
      </c>
      <c r="B17">
        <v>1300000</v>
      </c>
      <c r="F17">
        <v>1300000</v>
      </c>
    </row>
    <row r="18" spans="1:6" x14ac:dyDescent="0.3">
      <c r="A18" s="7" t="s">
        <v>35</v>
      </c>
      <c r="D18">
        <v>52000</v>
      </c>
      <c r="F18">
        <v>52000</v>
      </c>
    </row>
    <row r="19" spans="1:6" x14ac:dyDescent="0.3">
      <c r="A19" s="7" t="s">
        <v>21</v>
      </c>
      <c r="C19">
        <v>660000</v>
      </c>
      <c r="F19">
        <v>660000</v>
      </c>
    </row>
    <row r="20" spans="1:6" x14ac:dyDescent="0.3">
      <c r="A20" s="7" t="s">
        <v>49</v>
      </c>
    </row>
    <row r="21" spans="1:6" x14ac:dyDescent="0.3">
      <c r="A21" s="7" t="s">
        <v>50</v>
      </c>
      <c r="B21">
        <v>4156000</v>
      </c>
      <c r="C21">
        <v>3010000</v>
      </c>
      <c r="D21">
        <v>1067600</v>
      </c>
      <c r="F21">
        <v>8233600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AFCE-FFF6-4C85-93C0-3DBD78D685C5}">
  <dimension ref="A1:O986"/>
  <sheetViews>
    <sheetView topLeftCell="A56" zoomScale="70" zoomScaleNormal="70" workbookViewId="0">
      <selection activeCell="L27" sqref="L27"/>
    </sheetView>
  </sheetViews>
  <sheetFormatPr defaultRowHeight="14.4" x14ac:dyDescent="0.3"/>
  <cols>
    <col min="1" max="1" width="11.33203125" customWidth="1"/>
    <col min="2" max="3" width="10" customWidth="1"/>
    <col min="4" max="4" width="10.5546875" customWidth="1"/>
    <col min="5" max="5" width="11.109375" customWidth="1"/>
    <col min="6" max="6" width="10" customWidth="1"/>
    <col min="7" max="7" width="15.44140625" customWidth="1"/>
    <col min="8" max="8" width="13" customWidth="1"/>
    <col min="9" max="9" width="10.21875" customWidth="1"/>
    <col min="10" max="10" width="12.21875" customWidth="1"/>
    <col min="11" max="13" width="11" customWidth="1"/>
    <col min="14" max="14" width="19.109375" customWidth="1"/>
    <col min="15" max="99" width="11" customWidth="1"/>
    <col min="100" max="999" width="12.109375" customWidth="1"/>
    <col min="1000" max="9999" width="13.109375" customWidth="1"/>
    <col min="10000" max="16384" width="14.21875" customWidth="1"/>
  </cols>
  <sheetData>
    <row r="1" spans="1:15" hidden="1" x14ac:dyDescent="0.3"/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46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2" t="s">
        <v>45</v>
      </c>
    </row>
    <row r="3" spans="1:15" x14ac:dyDescent="0.3">
      <c r="A3" s="3">
        <v>1</v>
      </c>
      <c r="B3" s="4">
        <v>45</v>
      </c>
      <c r="C3" s="4" t="s">
        <v>9</v>
      </c>
      <c r="D3" s="4" t="s">
        <v>10</v>
      </c>
      <c r="E3" s="4" t="s">
        <v>11</v>
      </c>
      <c r="F3" s="4">
        <v>15000</v>
      </c>
      <c r="G3" s="4">
        <v>5</v>
      </c>
      <c r="H3" s="4" t="s">
        <v>12</v>
      </c>
      <c r="I3" s="4" t="s">
        <v>13</v>
      </c>
      <c r="J3" s="4">
        <v>4</v>
      </c>
      <c r="K3" s="5" t="str">
        <f>IF(G3&lt;=3,"short",IF(G3&lt;=7,"medium","long"))</f>
        <v>medium</v>
      </c>
      <c r="N3" s="12" t="s">
        <v>57</v>
      </c>
      <c r="O3" s="11"/>
    </row>
    <row r="4" spans="1:15" ht="15" thickBot="1" x14ac:dyDescent="0.35">
      <c r="A4" s="3">
        <v>2</v>
      </c>
      <c r="B4" s="4">
        <v>60</v>
      </c>
      <c r="C4" s="4" t="s">
        <v>14</v>
      </c>
      <c r="D4" s="4" t="s">
        <v>15</v>
      </c>
      <c r="E4" s="4" t="s">
        <v>16</v>
      </c>
      <c r="F4" s="4">
        <v>2000</v>
      </c>
      <c r="G4" s="4">
        <v>3</v>
      </c>
      <c r="H4" s="4" t="s">
        <v>17</v>
      </c>
      <c r="I4" s="4" t="s">
        <v>18</v>
      </c>
      <c r="J4" s="4">
        <v>3</v>
      </c>
      <c r="K4" s="5" t="str">
        <f t="shared" ref="K4:K67" si="0">IF(G4&lt;=3,"short",IF(G4&lt;=7,"medium","long"))</f>
        <v>short</v>
      </c>
      <c r="N4" s="13"/>
      <c r="O4" s="13"/>
    </row>
    <row r="5" spans="1:15" x14ac:dyDescent="0.3">
      <c r="A5" s="3">
        <v>3</v>
      </c>
      <c r="B5" s="4">
        <v>32</v>
      </c>
      <c r="C5" s="4" t="s">
        <v>9</v>
      </c>
      <c r="D5" s="4" t="s">
        <v>19</v>
      </c>
      <c r="E5" s="4" t="s">
        <v>20</v>
      </c>
      <c r="F5" s="4">
        <v>500</v>
      </c>
      <c r="G5" s="4">
        <v>1</v>
      </c>
      <c r="H5" s="4" t="s">
        <v>12</v>
      </c>
      <c r="I5" s="4" t="s">
        <v>13</v>
      </c>
      <c r="J5" s="4">
        <v>5</v>
      </c>
      <c r="K5" s="5" t="str">
        <f t="shared" si="0"/>
        <v>short</v>
      </c>
      <c r="N5" s="14" t="s">
        <v>56</v>
      </c>
      <c r="O5" s="15" t="s">
        <v>47</v>
      </c>
    </row>
    <row r="6" spans="1:15" x14ac:dyDescent="0.3">
      <c r="A6" s="3">
        <v>4</v>
      </c>
      <c r="B6" s="4">
        <v>75</v>
      </c>
      <c r="C6" s="4" t="s">
        <v>14</v>
      </c>
      <c r="D6" s="4" t="s">
        <v>21</v>
      </c>
      <c r="E6" s="4" t="s">
        <v>22</v>
      </c>
      <c r="F6" s="4">
        <v>10000</v>
      </c>
      <c r="G6" s="4">
        <v>7</v>
      </c>
      <c r="H6" s="4" t="s">
        <v>17</v>
      </c>
      <c r="I6" s="4" t="s">
        <v>18</v>
      </c>
      <c r="J6" s="4">
        <v>2</v>
      </c>
      <c r="K6" s="5" t="str">
        <f t="shared" si="0"/>
        <v>medium</v>
      </c>
      <c r="N6" s="16" t="s">
        <v>10</v>
      </c>
      <c r="O6" s="17">
        <f>SUMIF(hospital_data_analysis!$D$3:$D$986,hospital_data_analysis!$D3,hospital_data_analysis!$F$3:$F$986)</f>
        <v>975000</v>
      </c>
    </row>
    <row r="7" spans="1:15" x14ac:dyDescent="0.3">
      <c r="A7" s="3">
        <v>5</v>
      </c>
      <c r="B7" s="4">
        <v>50</v>
      </c>
      <c r="C7" s="4" t="s">
        <v>9</v>
      </c>
      <c r="D7" s="4" t="s">
        <v>23</v>
      </c>
      <c r="E7" s="4" t="s">
        <v>24</v>
      </c>
      <c r="F7" s="4">
        <v>25000</v>
      </c>
      <c r="G7" s="4">
        <v>10</v>
      </c>
      <c r="H7" s="4" t="s">
        <v>12</v>
      </c>
      <c r="I7" s="4" t="s">
        <v>13</v>
      </c>
      <c r="J7" s="4">
        <v>4</v>
      </c>
      <c r="K7" s="5" t="str">
        <f t="shared" si="0"/>
        <v>long</v>
      </c>
      <c r="N7" s="16" t="s">
        <v>15</v>
      </c>
      <c r="O7" s="17">
        <f>SUMIF(hospital_data_analysis!$D$3:$D$986,hospital_data_analysis!$D4,hospital_data_analysis!$F$3:$F$986)</f>
        <v>130000</v>
      </c>
    </row>
    <row r="8" spans="1:15" x14ac:dyDescent="0.3">
      <c r="A8" s="3">
        <v>6</v>
      </c>
      <c r="B8" s="4">
        <v>68</v>
      </c>
      <c r="C8" s="4" t="s">
        <v>14</v>
      </c>
      <c r="D8" s="4" t="s">
        <v>25</v>
      </c>
      <c r="E8" s="4" t="s">
        <v>26</v>
      </c>
      <c r="F8" s="4">
        <v>1000</v>
      </c>
      <c r="G8" s="4">
        <v>2</v>
      </c>
      <c r="H8" s="4" t="s">
        <v>12</v>
      </c>
      <c r="I8" s="4" t="s">
        <v>18</v>
      </c>
      <c r="J8" s="4">
        <v>4</v>
      </c>
      <c r="K8" s="5" t="str">
        <f t="shared" si="0"/>
        <v>short</v>
      </c>
      <c r="N8" s="16" t="s">
        <v>19</v>
      </c>
      <c r="O8" s="17">
        <f>SUMIF(hospital_data_analysis!$D$3:$D$986,hospital_data_analysis!$D5,hospital_data_analysis!$F$3:$F$986)</f>
        <v>33000</v>
      </c>
    </row>
    <row r="9" spans="1:15" x14ac:dyDescent="0.3">
      <c r="A9" s="3">
        <v>7</v>
      </c>
      <c r="B9" s="4">
        <v>55</v>
      </c>
      <c r="C9" s="4" t="s">
        <v>9</v>
      </c>
      <c r="D9" s="4" t="s">
        <v>27</v>
      </c>
      <c r="E9" s="4" t="s">
        <v>28</v>
      </c>
      <c r="F9" s="4">
        <v>8000</v>
      </c>
      <c r="G9" s="4">
        <v>4</v>
      </c>
      <c r="H9" s="4" t="s">
        <v>12</v>
      </c>
      <c r="I9" s="4" t="s">
        <v>13</v>
      </c>
      <c r="J9" s="4">
        <v>3</v>
      </c>
      <c r="K9" s="5" t="str">
        <f t="shared" si="0"/>
        <v>medium</v>
      </c>
      <c r="N9" s="16" t="s">
        <v>21</v>
      </c>
      <c r="O9" s="17">
        <f>SUMIF(hospital_data_analysis!$D$3:$D$986,hospital_data_analysis!$D6,hospital_data_analysis!$F$3:$F$986)</f>
        <v>660000</v>
      </c>
    </row>
    <row r="10" spans="1:15" x14ac:dyDescent="0.3">
      <c r="A10" s="3">
        <v>8</v>
      </c>
      <c r="B10" s="4">
        <v>40</v>
      </c>
      <c r="C10" s="4" t="s">
        <v>14</v>
      </c>
      <c r="D10" s="4" t="s">
        <v>29</v>
      </c>
      <c r="E10" s="4" t="s">
        <v>30</v>
      </c>
      <c r="F10" s="4">
        <v>3000</v>
      </c>
      <c r="G10" s="4">
        <v>6</v>
      </c>
      <c r="H10" s="4" t="s">
        <v>12</v>
      </c>
      <c r="I10" s="4" t="s">
        <v>13</v>
      </c>
      <c r="J10" s="4">
        <v>4</v>
      </c>
      <c r="K10" s="5" t="str">
        <f t="shared" si="0"/>
        <v>medium</v>
      </c>
      <c r="N10" s="16" t="s">
        <v>23</v>
      </c>
      <c r="O10" s="17">
        <f>SUMIF(hospital_data_analysis!$D$3:$D$986,hospital_data_analysis!$D7,hospital_data_analysis!$F$3:$F$986)</f>
        <v>1650000</v>
      </c>
    </row>
    <row r="11" spans="1:15" x14ac:dyDescent="0.3">
      <c r="A11" s="3">
        <v>9</v>
      </c>
      <c r="B11" s="4">
        <v>70</v>
      </c>
      <c r="C11" s="4" t="s">
        <v>9</v>
      </c>
      <c r="D11" s="4" t="s">
        <v>31</v>
      </c>
      <c r="E11" s="4" t="s">
        <v>32</v>
      </c>
      <c r="F11" s="4">
        <v>18000</v>
      </c>
      <c r="G11" s="4">
        <v>8</v>
      </c>
      <c r="H11" s="4" t="s">
        <v>17</v>
      </c>
      <c r="I11" s="4" t="s">
        <v>18</v>
      </c>
      <c r="J11" s="4">
        <v>2</v>
      </c>
      <c r="K11" s="5" t="str">
        <f t="shared" si="0"/>
        <v>long</v>
      </c>
      <c r="N11" s="16" t="s">
        <v>25</v>
      </c>
      <c r="O11" s="17">
        <f>SUMIF(hospital_data_analysis!$D$3:$D$986,hospital_data_analysis!$D8,hospital_data_analysis!$F$3:$F$986)</f>
        <v>66000</v>
      </c>
    </row>
    <row r="12" spans="1:15" x14ac:dyDescent="0.3">
      <c r="A12" s="3">
        <v>10</v>
      </c>
      <c r="B12" s="4">
        <v>25</v>
      </c>
      <c r="C12" s="4" t="s">
        <v>14</v>
      </c>
      <c r="D12" s="4" t="s">
        <v>33</v>
      </c>
      <c r="E12" s="4" t="s">
        <v>34</v>
      </c>
      <c r="F12" s="4">
        <v>100</v>
      </c>
      <c r="G12" s="4">
        <v>1</v>
      </c>
      <c r="H12" s="4" t="s">
        <v>12</v>
      </c>
      <c r="I12" s="4" t="s">
        <v>13</v>
      </c>
      <c r="J12" s="4">
        <v>5</v>
      </c>
      <c r="K12" s="5" t="str">
        <f t="shared" si="0"/>
        <v>short</v>
      </c>
      <c r="N12" s="16" t="s">
        <v>27</v>
      </c>
      <c r="O12" s="17">
        <f>SUMIF(hospital_data_analysis!$D$3:$D$986,hospital_data_analysis!$D9,hospital_data_analysis!$F$3:$F$986)</f>
        <v>528000</v>
      </c>
    </row>
    <row r="13" spans="1:15" x14ac:dyDescent="0.3">
      <c r="A13" s="3">
        <v>11</v>
      </c>
      <c r="B13" s="4">
        <v>48</v>
      </c>
      <c r="C13" s="4" t="s">
        <v>9</v>
      </c>
      <c r="D13" s="4" t="s">
        <v>35</v>
      </c>
      <c r="E13" s="4" t="s">
        <v>36</v>
      </c>
      <c r="F13" s="4">
        <v>800</v>
      </c>
      <c r="G13" s="4">
        <v>2</v>
      </c>
      <c r="H13" s="4" t="s">
        <v>12</v>
      </c>
      <c r="I13" s="4" t="s">
        <v>18</v>
      </c>
      <c r="J13" s="4">
        <v>4</v>
      </c>
      <c r="K13" s="5" t="str">
        <f t="shared" si="0"/>
        <v>short</v>
      </c>
      <c r="N13" s="16" t="s">
        <v>29</v>
      </c>
      <c r="O13" s="17">
        <f>SUMIF(hospital_data_analysis!$D$3:$D$986,hospital_data_analysis!$D10,hospital_data_analysis!$F$3:$F$986)</f>
        <v>201000</v>
      </c>
    </row>
    <row r="14" spans="1:15" x14ac:dyDescent="0.3">
      <c r="A14" s="3">
        <v>12</v>
      </c>
      <c r="B14" s="4">
        <v>65</v>
      </c>
      <c r="C14" s="4" t="s">
        <v>14</v>
      </c>
      <c r="D14" s="4" t="s">
        <v>37</v>
      </c>
      <c r="E14" s="4" t="s">
        <v>38</v>
      </c>
      <c r="F14" s="4">
        <v>20000</v>
      </c>
      <c r="G14" s="4">
        <v>9</v>
      </c>
      <c r="H14" s="4" t="s">
        <v>12</v>
      </c>
      <c r="I14" s="4" t="s">
        <v>13</v>
      </c>
      <c r="J14" s="4">
        <v>3</v>
      </c>
      <c r="K14" s="5" t="str">
        <f t="shared" si="0"/>
        <v>long</v>
      </c>
      <c r="N14" s="16" t="s">
        <v>31</v>
      </c>
      <c r="O14" s="17">
        <f>SUMIF(hospital_data_analysis!$D$3:$D$986,hospital_data_analysis!$D11,hospital_data_analysis!$F$3:$F$986)</f>
        <v>1206000</v>
      </c>
    </row>
    <row r="15" spans="1:15" x14ac:dyDescent="0.3">
      <c r="A15" s="3">
        <v>13</v>
      </c>
      <c r="B15" s="4">
        <v>30</v>
      </c>
      <c r="C15" s="4" t="s">
        <v>9</v>
      </c>
      <c r="D15" s="4" t="s">
        <v>39</v>
      </c>
      <c r="E15" s="4" t="s">
        <v>40</v>
      </c>
      <c r="F15" s="4">
        <v>12000</v>
      </c>
      <c r="G15" s="4">
        <v>3</v>
      </c>
      <c r="H15" s="4" t="s">
        <v>12</v>
      </c>
      <c r="I15" s="4" t="s">
        <v>13</v>
      </c>
      <c r="J15" s="4">
        <v>4</v>
      </c>
      <c r="K15" s="5" t="str">
        <f t="shared" si="0"/>
        <v>short</v>
      </c>
      <c r="N15" s="16" t="s">
        <v>33</v>
      </c>
      <c r="O15" s="17">
        <f>SUMIF(hospital_data_analysis!$D$3:$D$986,hospital_data_analysis!$D12,hospital_data_analysis!$F$3:$F$986)</f>
        <v>6600</v>
      </c>
    </row>
    <row r="16" spans="1:15" x14ac:dyDescent="0.3">
      <c r="A16" s="3">
        <v>14</v>
      </c>
      <c r="B16" s="4">
        <v>52</v>
      </c>
      <c r="C16" s="4" t="s">
        <v>14</v>
      </c>
      <c r="D16" s="4" t="s">
        <v>41</v>
      </c>
      <c r="E16" s="4" t="s">
        <v>42</v>
      </c>
      <c r="F16" s="4">
        <v>6000</v>
      </c>
      <c r="G16" s="4">
        <v>4</v>
      </c>
      <c r="H16" s="4" t="s">
        <v>12</v>
      </c>
      <c r="I16" s="4" t="s">
        <v>13</v>
      </c>
      <c r="J16" s="4">
        <v>3</v>
      </c>
      <c r="K16" s="5" t="str">
        <f t="shared" si="0"/>
        <v>medium</v>
      </c>
      <c r="N16" s="16" t="s">
        <v>35</v>
      </c>
      <c r="O16" s="17">
        <f>SUMIF(hospital_data_analysis!$D$3:$D$986,hospital_data_analysis!$D13,hospital_data_analysis!$F$3:$F$986)</f>
        <v>52000</v>
      </c>
    </row>
    <row r="17" spans="1:15" x14ac:dyDescent="0.3">
      <c r="A17" s="3">
        <v>15</v>
      </c>
      <c r="B17" s="4">
        <v>58</v>
      </c>
      <c r="C17" s="4" t="s">
        <v>9</v>
      </c>
      <c r="D17" s="4" t="s">
        <v>43</v>
      </c>
      <c r="E17" s="4" t="s">
        <v>44</v>
      </c>
      <c r="F17" s="4">
        <v>4000</v>
      </c>
      <c r="G17" s="4">
        <v>5</v>
      </c>
      <c r="H17" s="4" t="s">
        <v>12</v>
      </c>
      <c r="I17" s="4" t="s">
        <v>18</v>
      </c>
      <c r="J17" s="4">
        <v>4</v>
      </c>
      <c r="K17" s="5" t="str">
        <f t="shared" si="0"/>
        <v>medium</v>
      </c>
      <c r="N17" s="16" t="s">
        <v>37</v>
      </c>
      <c r="O17" s="17">
        <f>SUMIF(hospital_data_analysis!$D$3:$D$986,hospital_data_analysis!$D14,hospital_data_analysis!$F$3:$F$986)</f>
        <v>1300000</v>
      </c>
    </row>
    <row r="18" spans="1:15" x14ac:dyDescent="0.3">
      <c r="A18" s="3">
        <v>16</v>
      </c>
      <c r="B18" s="4">
        <v>55</v>
      </c>
      <c r="C18" s="4" t="s">
        <v>9</v>
      </c>
      <c r="D18" s="4" t="s">
        <v>10</v>
      </c>
      <c r="E18" s="4" t="s">
        <v>11</v>
      </c>
      <c r="F18" s="4">
        <v>15000</v>
      </c>
      <c r="G18" s="4">
        <v>6</v>
      </c>
      <c r="H18" s="4" t="s">
        <v>17</v>
      </c>
      <c r="I18" s="4" t="s">
        <v>13</v>
      </c>
      <c r="J18" s="4">
        <v>3</v>
      </c>
      <c r="K18" s="5" t="str">
        <f t="shared" si="0"/>
        <v>medium</v>
      </c>
      <c r="N18" s="16" t="s">
        <v>39</v>
      </c>
      <c r="O18" s="17">
        <f>SUMIF(hospital_data_analysis!$D$3:$D$986,hospital_data_analysis!$D15,hospital_data_analysis!$F$3:$F$986)</f>
        <v>780000</v>
      </c>
    </row>
    <row r="19" spans="1:15" x14ac:dyDescent="0.3">
      <c r="A19" s="3">
        <v>17</v>
      </c>
      <c r="B19" s="4">
        <v>62</v>
      </c>
      <c r="C19" s="4" t="s">
        <v>14</v>
      </c>
      <c r="D19" s="4" t="s">
        <v>15</v>
      </c>
      <c r="E19" s="4" t="s">
        <v>16</v>
      </c>
      <c r="F19" s="4">
        <v>2000</v>
      </c>
      <c r="G19" s="4">
        <v>4</v>
      </c>
      <c r="H19" s="4" t="s">
        <v>12</v>
      </c>
      <c r="I19" s="4" t="s">
        <v>18</v>
      </c>
      <c r="J19" s="4">
        <v>4</v>
      </c>
      <c r="K19" s="5" t="str">
        <f t="shared" si="0"/>
        <v>medium</v>
      </c>
      <c r="N19" s="16" t="s">
        <v>41</v>
      </c>
      <c r="O19" s="17">
        <f>SUMIF(hospital_data_analysis!$D$3:$D$986,hospital_data_analysis!$D16,hospital_data_analysis!$F$3:$F$986)</f>
        <v>390000</v>
      </c>
    </row>
    <row r="20" spans="1:15" ht="15" thickBot="1" x14ac:dyDescent="0.35">
      <c r="A20" s="3">
        <v>18</v>
      </c>
      <c r="B20" s="4">
        <v>35</v>
      </c>
      <c r="C20" s="4" t="s">
        <v>9</v>
      </c>
      <c r="D20" s="4" t="s">
        <v>19</v>
      </c>
      <c r="E20" s="4" t="s">
        <v>20</v>
      </c>
      <c r="F20" s="4">
        <v>500</v>
      </c>
      <c r="G20" s="4">
        <v>2</v>
      </c>
      <c r="H20" s="4" t="s">
        <v>17</v>
      </c>
      <c r="I20" s="4" t="s">
        <v>13</v>
      </c>
      <c r="J20" s="4">
        <v>5</v>
      </c>
      <c r="K20" s="5" t="str">
        <f t="shared" si="0"/>
        <v>short</v>
      </c>
      <c r="N20" s="18" t="s">
        <v>43</v>
      </c>
      <c r="O20" s="19">
        <f>SUMIF(hospital_data_analysis!$D$3:$D$986,hospital_data_analysis!$D17,hospital_data_analysis!$F$3:$F$986)</f>
        <v>256000</v>
      </c>
    </row>
    <row r="21" spans="1:15" x14ac:dyDescent="0.3">
      <c r="A21" s="3">
        <v>19</v>
      </c>
      <c r="B21" s="4">
        <v>78</v>
      </c>
      <c r="C21" s="4" t="s">
        <v>14</v>
      </c>
      <c r="D21" s="4" t="s">
        <v>21</v>
      </c>
      <c r="E21" s="4" t="s">
        <v>22</v>
      </c>
      <c r="F21" s="4">
        <v>10000</v>
      </c>
      <c r="G21" s="4">
        <v>8</v>
      </c>
      <c r="H21" s="4" t="s">
        <v>12</v>
      </c>
      <c r="I21" s="4" t="s">
        <v>18</v>
      </c>
      <c r="J21" s="4">
        <v>2</v>
      </c>
      <c r="K21" s="5" t="str">
        <f t="shared" si="0"/>
        <v>long</v>
      </c>
    </row>
    <row r="22" spans="1:15" x14ac:dyDescent="0.3">
      <c r="A22" s="3">
        <v>20</v>
      </c>
      <c r="B22" s="4">
        <v>53</v>
      </c>
      <c r="C22" s="4" t="s">
        <v>9</v>
      </c>
      <c r="D22" s="4" t="s">
        <v>23</v>
      </c>
      <c r="E22" s="4" t="s">
        <v>24</v>
      </c>
      <c r="F22" s="4">
        <v>25000</v>
      </c>
      <c r="G22" s="4">
        <v>11</v>
      </c>
      <c r="H22" s="4" t="s">
        <v>17</v>
      </c>
      <c r="I22" s="4" t="s">
        <v>13</v>
      </c>
      <c r="J22" s="4">
        <v>4</v>
      </c>
      <c r="K22" s="5" t="str">
        <f t="shared" si="0"/>
        <v>long</v>
      </c>
    </row>
    <row r="23" spans="1:15" x14ac:dyDescent="0.3">
      <c r="A23" s="3">
        <v>21</v>
      </c>
      <c r="B23" s="4">
        <v>72</v>
      </c>
      <c r="C23" s="4" t="s">
        <v>14</v>
      </c>
      <c r="D23" s="4" t="s">
        <v>25</v>
      </c>
      <c r="E23" s="4" t="s">
        <v>26</v>
      </c>
      <c r="F23" s="4">
        <v>1000</v>
      </c>
      <c r="G23" s="4">
        <v>3</v>
      </c>
      <c r="H23" s="4" t="s">
        <v>12</v>
      </c>
      <c r="I23" s="4" t="s">
        <v>18</v>
      </c>
      <c r="J23" s="4">
        <v>4</v>
      </c>
      <c r="K23" s="5" t="str">
        <f t="shared" si="0"/>
        <v>short</v>
      </c>
    </row>
    <row r="24" spans="1:15" x14ac:dyDescent="0.3">
      <c r="A24" s="3">
        <v>22</v>
      </c>
      <c r="B24" s="4">
        <v>60</v>
      </c>
      <c r="C24" s="4" t="s">
        <v>9</v>
      </c>
      <c r="D24" s="4" t="s">
        <v>27</v>
      </c>
      <c r="E24" s="4" t="s">
        <v>28</v>
      </c>
      <c r="F24" s="4">
        <v>8000</v>
      </c>
      <c r="G24" s="4">
        <v>5</v>
      </c>
      <c r="H24" s="4" t="s">
        <v>17</v>
      </c>
      <c r="I24" s="4" t="s">
        <v>13</v>
      </c>
      <c r="J24" s="4">
        <v>3</v>
      </c>
      <c r="K24" s="5" t="str">
        <f t="shared" si="0"/>
        <v>medium</v>
      </c>
    </row>
    <row r="25" spans="1:15" x14ac:dyDescent="0.3">
      <c r="A25" s="3">
        <v>23</v>
      </c>
      <c r="B25" s="4">
        <v>45</v>
      </c>
      <c r="C25" s="4" t="s">
        <v>14</v>
      </c>
      <c r="D25" s="4" t="s">
        <v>29</v>
      </c>
      <c r="E25" s="4" t="s">
        <v>30</v>
      </c>
      <c r="F25" s="4">
        <v>3000</v>
      </c>
      <c r="G25" s="4">
        <v>7</v>
      </c>
      <c r="H25" s="4" t="s">
        <v>12</v>
      </c>
      <c r="I25" s="4" t="s">
        <v>13</v>
      </c>
      <c r="J25" s="4">
        <v>4</v>
      </c>
      <c r="K25" s="5" t="str">
        <f t="shared" si="0"/>
        <v>medium</v>
      </c>
    </row>
    <row r="26" spans="1:15" x14ac:dyDescent="0.3">
      <c r="A26" s="3">
        <v>24</v>
      </c>
      <c r="B26" s="4">
        <v>75</v>
      </c>
      <c r="C26" s="4" t="s">
        <v>9</v>
      </c>
      <c r="D26" s="4" t="s">
        <v>31</v>
      </c>
      <c r="E26" s="4" t="s">
        <v>32</v>
      </c>
      <c r="F26" s="4">
        <v>18000</v>
      </c>
      <c r="G26" s="4">
        <v>9</v>
      </c>
      <c r="H26" s="4" t="s">
        <v>17</v>
      </c>
      <c r="I26" s="4" t="s">
        <v>18</v>
      </c>
      <c r="J26" s="4">
        <v>2</v>
      </c>
      <c r="K26" s="5" t="str">
        <f t="shared" si="0"/>
        <v>long</v>
      </c>
    </row>
    <row r="27" spans="1:15" x14ac:dyDescent="0.3">
      <c r="A27" s="3">
        <v>25</v>
      </c>
      <c r="B27" s="4">
        <v>28</v>
      </c>
      <c r="C27" s="4" t="s">
        <v>14</v>
      </c>
      <c r="D27" s="4" t="s">
        <v>33</v>
      </c>
      <c r="E27" s="4" t="s">
        <v>34</v>
      </c>
      <c r="F27" s="4">
        <v>100</v>
      </c>
      <c r="G27" s="4">
        <v>2</v>
      </c>
      <c r="H27" s="4" t="s">
        <v>12</v>
      </c>
      <c r="I27" s="4" t="s">
        <v>13</v>
      </c>
      <c r="J27" s="4">
        <v>5</v>
      </c>
      <c r="K27" s="5" t="str">
        <f t="shared" si="0"/>
        <v>short</v>
      </c>
    </row>
    <row r="28" spans="1:15" x14ac:dyDescent="0.3">
      <c r="A28" s="3">
        <v>26</v>
      </c>
      <c r="B28" s="4">
        <v>52</v>
      </c>
      <c r="C28" s="4" t="s">
        <v>9</v>
      </c>
      <c r="D28" s="4" t="s">
        <v>35</v>
      </c>
      <c r="E28" s="4" t="s">
        <v>36</v>
      </c>
      <c r="F28" s="4">
        <v>800</v>
      </c>
      <c r="G28" s="4">
        <v>3</v>
      </c>
      <c r="H28" s="4" t="s">
        <v>12</v>
      </c>
      <c r="I28" s="4" t="s">
        <v>18</v>
      </c>
      <c r="J28" s="4">
        <v>4</v>
      </c>
      <c r="K28" s="5" t="str">
        <f t="shared" si="0"/>
        <v>short</v>
      </c>
    </row>
    <row r="29" spans="1:15" x14ac:dyDescent="0.3">
      <c r="A29" s="3">
        <v>27</v>
      </c>
      <c r="B29" s="4">
        <v>67</v>
      </c>
      <c r="C29" s="4" t="s">
        <v>14</v>
      </c>
      <c r="D29" s="4" t="s">
        <v>37</v>
      </c>
      <c r="E29" s="4" t="s">
        <v>38</v>
      </c>
      <c r="F29" s="4">
        <v>20000</v>
      </c>
      <c r="G29" s="4">
        <v>10</v>
      </c>
      <c r="H29" s="4" t="s">
        <v>12</v>
      </c>
      <c r="I29" s="4" t="s">
        <v>13</v>
      </c>
      <c r="J29" s="4">
        <v>3</v>
      </c>
      <c r="K29" s="5" t="str">
        <f t="shared" si="0"/>
        <v>long</v>
      </c>
    </row>
    <row r="30" spans="1:15" x14ac:dyDescent="0.3">
      <c r="A30" s="3">
        <v>28</v>
      </c>
      <c r="B30" s="4">
        <v>35</v>
      </c>
      <c r="C30" s="4" t="s">
        <v>9</v>
      </c>
      <c r="D30" s="4" t="s">
        <v>39</v>
      </c>
      <c r="E30" s="4" t="s">
        <v>40</v>
      </c>
      <c r="F30" s="4">
        <v>12000</v>
      </c>
      <c r="G30" s="4">
        <v>4</v>
      </c>
      <c r="H30" s="4" t="s">
        <v>12</v>
      </c>
      <c r="I30" s="4" t="s">
        <v>13</v>
      </c>
      <c r="J30" s="4">
        <v>4</v>
      </c>
      <c r="K30" s="5" t="str">
        <f t="shared" si="0"/>
        <v>medium</v>
      </c>
    </row>
    <row r="31" spans="1:15" x14ac:dyDescent="0.3">
      <c r="A31" s="3">
        <v>29</v>
      </c>
      <c r="B31" s="4">
        <v>50</v>
      </c>
      <c r="C31" s="4" t="s">
        <v>14</v>
      </c>
      <c r="D31" s="4" t="s">
        <v>41</v>
      </c>
      <c r="E31" s="4" t="s">
        <v>42</v>
      </c>
      <c r="F31" s="4">
        <v>6000</v>
      </c>
      <c r="G31" s="4">
        <v>5</v>
      </c>
      <c r="H31" s="4" t="s">
        <v>12</v>
      </c>
      <c r="I31" s="4" t="s">
        <v>13</v>
      </c>
      <c r="J31" s="4">
        <v>3</v>
      </c>
      <c r="K31" s="5" t="str">
        <f t="shared" si="0"/>
        <v>medium</v>
      </c>
    </row>
    <row r="32" spans="1:15" x14ac:dyDescent="0.3">
      <c r="A32" s="3">
        <v>30</v>
      </c>
      <c r="B32" s="4">
        <v>60</v>
      </c>
      <c r="C32" s="4" t="s">
        <v>9</v>
      </c>
      <c r="D32" s="4" t="s">
        <v>43</v>
      </c>
      <c r="E32" s="4" t="s">
        <v>44</v>
      </c>
      <c r="F32" s="4">
        <v>4000</v>
      </c>
      <c r="G32" s="4">
        <v>6</v>
      </c>
      <c r="H32" s="4" t="s">
        <v>12</v>
      </c>
      <c r="I32" s="4" t="s">
        <v>18</v>
      </c>
      <c r="J32" s="4">
        <v>4</v>
      </c>
      <c r="K32" s="5" t="str">
        <f t="shared" si="0"/>
        <v>medium</v>
      </c>
    </row>
    <row r="33" spans="1:11" x14ac:dyDescent="0.3">
      <c r="A33" s="3">
        <v>31</v>
      </c>
      <c r="B33" s="4">
        <v>48</v>
      </c>
      <c r="C33" s="4" t="s">
        <v>9</v>
      </c>
      <c r="D33" s="4" t="s">
        <v>10</v>
      </c>
      <c r="E33" s="4" t="s">
        <v>11</v>
      </c>
      <c r="F33" s="4">
        <v>15000</v>
      </c>
      <c r="G33" s="4">
        <v>7</v>
      </c>
      <c r="H33" s="4" t="s">
        <v>17</v>
      </c>
      <c r="I33" s="4" t="s">
        <v>13</v>
      </c>
      <c r="J33" s="4">
        <v>4</v>
      </c>
      <c r="K33" s="5" t="str">
        <f t="shared" si="0"/>
        <v>medium</v>
      </c>
    </row>
    <row r="34" spans="1:11" x14ac:dyDescent="0.3">
      <c r="A34" s="3">
        <v>32</v>
      </c>
      <c r="B34" s="4">
        <v>65</v>
      </c>
      <c r="C34" s="4" t="s">
        <v>14</v>
      </c>
      <c r="D34" s="4" t="s">
        <v>15</v>
      </c>
      <c r="E34" s="4" t="s">
        <v>16</v>
      </c>
      <c r="F34" s="4">
        <v>2000</v>
      </c>
      <c r="G34" s="4">
        <v>5</v>
      </c>
      <c r="H34" s="4" t="s">
        <v>12</v>
      </c>
      <c r="I34" s="4" t="s">
        <v>18</v>
      </c>
      <c r="J34" s="4">
        <v>3</v>
      </c>
      <c r="K34" s="5" t="str">
        <f t="shared" si="0"/>
        <v>medium</v>
      </c>
    </row>
    <row r="35" spans="1:11" x14ac:dyDescent="0.3">
      <c r="A35" s="3">
        <v>33</v>
      </c>
      <c r="B35" s="4">
        <v>30</v>
      </c>
      <c r="C35" s="4" t="s">
        <v>9</v>
      </c>
      <c r="D35" s="4" t="s">
        <v>19</v>
      </c>
      <c r="E35" s="4" t="s">
        <v>20</v>
      </c>
      <c r="F35" s="4">
        <v>500</v>
      </c>
      <c r="G35" s="4">
        <v>3</v>
      </c>
      <c r="H35" s="4" t="s">
        <v>12</v>
      </c>
      <c r="I35" s="4" t="s">
        <v>13</v>
      </c>
      <c r="J35" s="4">
        <v>5</v>
      </c>
      <c r="K35" s="5" t="str">
        <f t="shared" si="0"/>
        <v>short</v>
      </c>
    </row>
    <row r="36" spans="1:11" x14ac:dyDescent="0.3">
      <c r="A36" s="3">
        <v>34</v>
      </c>
      <c r="B36" s="4">
        <v>70</v>
      </c>
      <c r="C36" s="4" t="s">
        <v>14</v>
      </c>
      <c r="D36" s="4" t="s">
        <v>21</v>
      </c>
      <c r="E36" s="4" t="s">
        <v>22</v>
      </c>
      <c r="F36" s="4">
        <v>10000</v>
      </c>
      <c r="G36" s="4">
        <v>9</v>
      </c>
      <c r="H36" s="4" t="s">
        <v>17</v>
      </c>
      <c r="I36" s="4" t="s">
        <v>18</v>
      </c>
      <c r="J36" s="4">
        <v>2</v>
      </c>
      <c r="K36" s="5" t="str">
        <f t="shared" si="0"/>
        <v>long</v>
      </c>
    </row>
    <row r="37" spans="1:11" x14ac:dyDescent="0.3">
      <c r="A37" s="3">
        <v>35</v>
      </c>
      <c r="B37" s="4">
        <v>55</v>
      </c>
      <c r="C37" s="4" t="s">
        <v>9</v>
      </c>
      <c r="D37" s="4" t="s">
        <v>23</v>
      </c>
      <c r="E37" s="4" t="s">
        <v>24</v>
      </c>
      <c r="F37" s="4">
        <v>25000</v>
      </c>
      <c r="G37" s="4">
        <v>12</v>
      </c>
      <c r="H37" s="4" t="s">
        <v>12</v>
      </c>
      <c r="I37" s="4" t="s">
        <v>13</v>
      </c>
      <c r="J37" s="4">
        <v>4</v>
      </c>
      <c r="K37" s="5" t="str">
        <f t="shared" si="0"/>
        <v>long</v>
      </c>
    </row>
    <row r="38" spans="1:11" x14ac:dyDescent="0.3">
      <c r="A38" s="3">
        <v>36</v>
      </c>
      <c r="B38" s="4">
        <v>68</v>
      </c>
      <c r="C38" s="4" t="s">
        <v>14</v>
      </c>
      <c r="D38" s="4" t="s">
        <v>25</v>
      </c>
      <c r="E38" s="4" t="s">
        <v>26</v>
      </c>
      <c r="F38" s="4">
        <v>1000</v>
      </c>
      <c r="G38" s="4">
        <v>4</v>
      </c>
      <c r="H38" s="4" t="s">
        <v>12</v>
      </c>
      <c r="I38" s="4" t="s">
        <v>18</v>
      </c>
      <c r="J38" s="4">
        <v>4</v>
      </c>
      <c r="K38" s="5" t="str">
        <f t="shared" si="0"/>
        <v>medium</v>
      </c>
    </row>
    <row r="39" spans="1:11" x14ac:dyDescent="0.3">
      <c r="A39" s="3">
        <v>37</v>
      </c>
      <c r="B39" s="4">
        <v>45</v>
      </c>
      <c r="C39" s="4" t="s">
        <v>9</v>
      </c>
      <c r="D39" s="4" t="s">
        <v>27</v>
      </c>
      <c r="E39" s="4" t="s">
        <v>28</v>
      </c>
      <c r="F39" s="4">
        <v>8000</v>
      </c>
      <c r="G39" s="4">
        <v>6</v>
      </c>
      <c r="H39" s="4" t="s">
        <v>12</v>
      </c>
      <c r="I39" s="4" t="s">
        <v>13</v>
      </c>
      <c r="J39" s="4">
        <v>3</v>
      </c>
      <c r="K39" s="5" t="str">
        <f t="shared" si="0"/>
        <v>medium</v>
      </c>
    </row>
    <row r="40" spans="1:11" x14ac:dyDescent="0.3">
      <c r="A40" s="3">
        <v>38</v>
      </c>
      <c r="B40" s="4">
        <v>40</v>
      </c>
      <c r="C40" s="4" t="s">
        <v>14</v>
      </c>
      <c r="D40" s="4" t="s">
        <v>29</v>
      </c>
      <c r="E40" s="4" t="s">
        <v>30</v>
      </c>
      <c r="F40" s="4">
        <v>3000</v>
      </c>
      <c r="G40" s="4">
        <v>8</v>
      </c>
      <c r="H40" s="4" t="s">
        <v>12</v>
      </c>
      <c r="I40" s="4" t="s">
        <v>13</v>
      </c>
      <c r="J40" s="4">
        <v>4</v>
      </c>
      <c r="K40" s="5" t="str">
        <f t="shared" si="0"/>
        <v>long</v>
      </c>
    </row>
    <row r="41" spans="1:11" x14ac:dyDescent="0.3">
      <c r="A41" s="3">
        <v>39</v>
      </c>
      <c r="B41" s="4">
        <v>78</v>
      </c>
      <c r="C41" s="4" t="s">
        <v>9</v>
      </c>
      <c r="D41" s="4" t="s">
        <v>31</v>
      </c>
      <c r="E41" s="4" t="s">
        <v>32</v>
      </c>
      <c r="F41" s="4">
        <v>18000</v>
      </c>
      <c r="G41" s="4">
        <v>10</v>
      </c>
      <c r="H41" s="4" t="s">
        <v>17</v>
      </c>
      <c r="I41" s="4" t="s">
        <v>18</v>
      </c>
      <c r="J41" s="4">
        <v>2</v>
      </c>
      <c r="K41" s="5" t="str">
        <f t="shared" si="0"/>
        <v>long</v>
      </c>
    </row>
    <row r="42" spans="1:11" x14ac:dyDescent="0.3">
      <c r="A42" s="3">
        <v>40</v>
      </c>
      <c r="B42" s="4">
        <v>25</v>
      </c>
      <c r="C42" s="4" t="s">
        <v>14</v>
      </c>
      <c r="D42" s="4" t="s">
        <v>33</v>
      </c>
      <c r="E42" s="4" t="s">
        <v>34</v>
      </c>
      <c r="F42" s="4">
        <v>100</v>
      </c>
      <c r="G42" s="4">
        <v>3</v>
      </c>
      <c r="H42" s="4" t="s">
        <v>12</v>
      </c>
      <c r="I42" s="4" t="s">
        <v>13</v>
      </c>
      <c r="J42" s="4">
        <v>5</v>
      </c>
      <c r="K42" s="5" t="str">
        <f t="shared" si="0"/>
        <v>short</v>
      </c>
    </row>
    <row r="43" spans="1:11" x14ac:dyDescent="0.3">
      <c r="A43" s="3">
        <v>41</v>
      </c>
      <c r="B43" s="4">
        <v>52</v>
      </c>
      <c r="C43" s="4" t="s">
        <v>9</v>
      </c>
      <c r="D43" s="4" t="s">
        <v>35</v>
      </c>
      <c r="E43" s="4" t="s">
        <v>36</v>
      </c>
      <c r="F43" s="4">
        <v>800</v>
      </c>
      <c r="G43" s="4">
        <v>4</v>
      </c>
      <c r="H43" s="4" t="s">
        <v>12</v>
      </c>
      <c r="I43" s="4" t="s">
        <v>18</v>
      </c>
      <c r="J43" s="4">
        <v>4</v>
      </c>
      <c r="K43" s="5" t="str">
        <f t="shared" si="0"/>
        <v>medium</v>
      </c>
    </row>
    <row r="44" spans="1:11" x14ac:dyDescent="0.3">
      <c r="A44" s="3">
        <v>42</v>
      </c>
      <c r="B44" s="4">
        <v>58</v>
      </c>
      <c r="C44" s="4" t="s">
        <v>14</v>
      </c>
      <c r="D44" s="4" t="s">
        <v>37</v>
      </c>
      <c r="E44" s="4" t="s">
        <v>38</v>
      </c>
      <c r="F44" s="4">
        <v>20000</v>
      </c>
      <c r="G44" s="4">
        <v>11</v>
      </c>
      <c r="H44" s="4" t="s">
        <v>12</v>
      </c>
      <c r="I44" s="4" t="s">
        <v>13</v>
      </c>
      <c r="J44" s="4">
        <v>3</v>
      </c>
      <c r="K44" s="5" t="str">
        <f t="shared" si="0"/>
        <v>long</v>
      </c>
    </row>
    <row r="45" spans="1:11" x14ac:dyDescent="0.3">
      <c r="A45" s="3">
        <v>43</v>
      </c>
      <c r="B45" s="4">
        <v>32</v>
      </c>
      <c r="C45" s="4" t="s">
        <v>9</v>
      </c>
      <c r="D45" s="4" t="s">
        <v>39</v>
      </c>
      <c r="E45" s="4" t="s">
        <v>40</v>
      </c>
      <c r="F45" s="4">
        <v>12000</v>
      </c>
      <c r="G45" s="4">
        <v>5</v>
      </c>
      <c r="H45" s="4" t="s">
        <v>12</v>
      </c>
      <c r="I45" s="4" t="s">
        <v>13</v>
      </c>
      <c r="J45" s="4">
        <v>4</v>
      </c>
      <c r="K45" s="5" t="str">
        <f t="shared" si="0"/>
        <v>medium</v>
      </c>
    </row>
    <row r="46" spans="1:11" x14ac:dyDescent="0.3">
      <c r="A46" s="3">
        <v>44</v>
      </c>
      <c r="B46" s="4">
        <v>55</v>
      </c>
      <c r="C46" s="4" t="s">
        <v>14</v>
      </c>
      <c r="D46" s="4" t="s">
        <v>41</v>
      </c>
      <c r="E46" s="4" t="s">
        <v>42</v>
      </c>
      <c r="F46" s="4">
        <v>6000</v>
      </c>
      <c r="G46" s="4">
        <v>6</v>
      </c>
      <c r="H46" s="4" t="s">
        <v>12</v>
      </c>
      <c r="I46" s="4" t="s">
        <v>13</v>
      </c>
      <c r="J46" s="4">
        <v>3</v>
      </c>
      <c r="K46" s="5" t="str">
        <f t="shared" si="0"/>
        <v>medium</v>
      </c>
    </row>
    <row r="47" spans="1:11" x14ac:dyDescent="0.3">
      <c r="A47" s="3">
        <v>45</v>
      </c>
      <c r="B47" s="4">
        <v>65</v>
      </c>
      <c r="C47" s="4" t="s">
        <v>9</v>
      </c>
      <c r="D47" s="4" t="s">
        <v>43</v>
      </c>
      <c r="E47" s="4" t="s">
        <v>44</v>
      </c>
      <c r="F47" s="4">
        <v>4000</v>
      </c>
      <c r="G47" s="4">
        <v>7</v>
      </c>
      <c r="H47" s="4" t="s">
        <v>12</v>
      </c>
      <c r="I47" s="4" t="s">
        <v>18</v>
      </c>
      <c r="J47" s="4">
        <v>4</v>
      </c>
      <c r="K47" s="5" t="str">
        <f t="shared" si="0"/>
        <v>medium</v>
      </c>
    </row>
    <row r="48" spans="1:11" x14ac:dyDescent="0.3">
      <c r="A48" s="3">
        <v>46</v>
      </c>
      <c r="B48" s="4">
        <v>55</v>
      </c>
      <c r="C48" s="4" t="s">
        <v>9</v>
      </c>
      <c r="D48" s="4" t="s">
        <v>10</v>
      </c>
      <c r="E48" s="4" t="s">
        <v>11</v>
      </c>
      <c r="F48" s="4">
        <v>15000</v>
      </c>
      <c r="G48" s="4">
        <v>8</v>
      </c>
      <c r="H48" s="4" t="s">
        <v>17</v>
      </c>
      <c r="I48" s="4" t="s">
        <v>13</v>
      </c>
      <c r="J48" s="4">
        <v>3</v>
      </c>
      <c r="K48" s="5" t="str">
        <f t="shared" si="0"/>
        <v>long</v>
      </c>
    </row>
    <row r="49" spans="1:11" x14ac:dyDescent="0.3">
      <c r="A49" s="3">
        <v>47</v>
      </c>
      <c r="B49" s="4">
        <v>62</v>
      </c>
      <c r="C49" s="4" t="s">
        <v>14</v>
      </c>
      <c r="D49" s="4" t="s">
        <v>15</v>
      </c>
      <c r="E49" s="4" t="s">
        <v>16</v>
      </c>
      <c r="F49" s="4">
        <v>2000</v>
      </c>
      <c r="G49" s="4">
        <v>6</v>
      </c>
      <c r="H49" s="4" t="s">
        <v>12</v>
      </c>
      <c r="I49" s="4" t="s">
        <v>18</v>
      </c>
      <c r="J49" s="4">
        <v>4</v>
      </c>
      <c r="K49" s="5" t="str">
        <f t="shared" si="0"/>
        <v>medium</v>
      </c>
    </row>
    <row r="50" spans="1:11" x14ac:dyDescent="0.3">
      <c r="A50" s="3">
        <v>48</v>
      </c>
      <c r="B50" s="4">
        <v>35</v>
      </c>
      <c r="C50" s="4" t="s">
        <v>9</v>
      </c>
      <c r="D50" s="4" t="s">
        <v>19</v>
      </c>
      <c r="E50" s="4" t="s">
        <v>20</v>
      </c>
      <c r="F50" s="4">
        <v>500</v>
      </c>
      <c r="G50" s="4">
        <v>4</v>
      </c>
      <c r="H50" s="4" t="s">
        <v>17</v>
      </c>
      <c r="I50" s="4" t="s">
        <v>13</v>
      </c>
      <c r="J50" s="4">
        <v>5</v>
      </c>
      <c r="K50" s="5" t="str">
        <f t="shared" si="0"/>
        <v>medium</v>
      </c>
    </row>
    <row r="51" spans="1:11" x14ac:dyDescent="0.3">
      <c r="A51" s="3">
        <v>49</v>
      </c>
      <c r="B51" s="4">
        <v>78</v>
      </c>
      <c r="C51" s="4" t="s">
        <v>14</v>
      </c>
      <c r="D51" s="4" t="s">
        <v>21</v>
      </c>
      <c r="E51" s="4" t="s">
        <v>22</v>
      </c>
      <c r="F51" s="4">
        <v>10000</v>
      </c>
      <c r="G51" s="4">
        <v>10</v>
      </c>
      <c r="H51" s="4" t="s">
        <v>12</v>
      </c>
      <c r="I51" s="4" t="s">
        <v>18</v>
      </c>
      <c r="J51" s="4">
        <v>2</v>
      </c>
      <c r="K51" s="5" t="str">
        <f t="shared" si="0"/>
        <v>long</v>
      </c>
    </row>
    <row r="52" spans="1:11" x14ac:dyDescent="0.3">
      <c r="A52" s="3">
        <v>50</v>
      </c>
      <c r="B52" s="4">
        <v>53</v>
      </c>
      <c r="C52" s="4" t="s">
        <v>9</v>
      </c>
      <c r="D52" s="4" t="s">
        <v>23</v>
      </c>
      <c r="E52" s="4" t="s">
        <v>24</v>
      </c>
      <c r="F52" s="4">
        <v>25000</v>
      </c>
      <c r="G52" s="4">
        <v>13</v>
      </c>
      <c r="H52" s="4" t="s">
        <v>17</v>
      </c>
      <c r="I52" s="4" t="s">
        <v>13</v>
      </c>
      <c r="J52" s="4">
        <v>4</v>
      </c>
      <c r="K52" s="5" t="str">
        <f t="shared" si="0"/>
        <v>long</v>
      </c>
    </row>
    <row r="53" spans="1:11" x14ac:dyDescent="0.3">
      <c r="A53" s="3">
        <v>51</v>
      </c>
      <c r="B53" s="4">
        <v>72</v>
      </c>
      <c r="C53" s="4" t="s">
        <v>14</v>
      </c>
      <c r="D53" s="4" t="s">
        <v>25</v>
      </c>
      <c r="E53" s="4" t="s">
        <v>26</v>
      </c>
      <c r="F53" s="4">
        <v>1000</v>
      </c>
      <c r="G53" s="4">
        <v>5</v>
      </c>
      <c r="H53" s="4" t="s">
        <v>12</v>
      </c>
      <c r="I53" s="4" t="s">
        <v>18</v>
      </c>
      <c r="J53" s="4">
        <v>4</v>
      </c>
      <c r="K53" s="5" t="str">
        <f t="shared" si="0"/>
        <v>medium</v>
      </c>
    </row>
    <row r="54" spans="1:11" x14ac:dyDescent="0.3">
      <c r="A54" s="3">
        <v>52</v>
      </c>
      <c r="B54" s="4">
        <v>60</v>
      </c>
      <c r="C54" s="4" t="s">
        <v>9</v>
      </c>
      <c r="D54" s="4" t="s">
        <v>27</v>
      </c>
      <c r="E54" s="4" t="s">
        <v>28</v>
      </c>
      <c r="F54" s="4">
        <v>8000</v>
      </c>
      <c r="G54" s="4">
        <v>7</v>
      </c>
      <c r="H54" s="4" t="s">
        <v>17</v>
      </c>
      <c r="I54" s="4" t="s">
        <v>13</v>
      </c>
      <c r="J54" s="4">
        <v>3</v>
      </c>
      <c r="K54" s="5" t="str">
        <f t="shared" si="0"/>
        <v>medium</v>
      </c>
    </row>
    <row r="55" spans="1:11" x14ac:dyDescent="0.3">
      <c r="A55" s="3">
        <v>53</v>
      </c>
      <c r="B55" s="4">
        <v>45</v>
      </c>
      <c r="C55" s="4" t="s">
        <v>14</v>
      </c>
      <c r="D55" s="4" t="s">
        <v>29</v>
      </c>
      <c r="E55" s="4" t="s">
        <v>30</v>
      </c>
      <c r="F55" s="4">
        <v>3000</v>
      </c>
      <c r="G55" s="4">
        <v>9</v>
      </c>
      <c r="H55" s="4" t="s">
        <v>12</v>
      </c>
      <c r="I55" s="4" t="s">
        <v>13</v>
      </c>
      <c r="J55" s="4">
        <v>4</v>
      </c>
      <c r="K55" s="5" t="str">
        <f t="shared" si="0"/>
        <v>long</v>
      </c>
    </row>
    <row r="56" spans="1:11" x14ac:dyDescent="0.3">
      <c r="A56" s="3">
        <v>54</v>
      </c>
      <c r="B56" s="4">
        <v>75</v>
      </c>
      <c r="C56" s="4" t="s">
        <v>9</v>
      </c>
      <c r="D56" s="4" t="s">
        <v>31</v>
      </c>
      <c r="E56" s="4" t="s">
        <v>32</v>
      </c>
      <c r="F56" s="4">
        <v>18000</v>
      </c>
      <c r="G56" s="4">
        <v>11</v>
      </c>
      <c r="H56" s="4" t="s">
        <v>17</v>
      </c>
      <c r="I56" s="4" t="s">
        <v>18</v>
      </c>
      <c r="J56" s="4">
        <v>2</v>
      </c>
      <c r="K56" s="5" t="str">
        <f t="shared" si="0"/>
        <v>long</v>
      </c>
    </row>
    <row r="57" spans="1:11" x14ac:dyDescent="0.3">
      <c r="A57" s="3">
        <v>55</v>
      </c>
      <c r="B57" s="4">
        <v>28</v>
      </c>
      <c r="C57" s="4" t="s">
        <v>14</v>
      </c>
      <c r="D57" s="4" t="s">
        <v>33</v>
      </c>
      <c r="E57" s="4" t="s">
        <v>34</v>
      </c>
      <c r="F57" s="4">
        <v>100</v>
      </c>
      <c r="G57" s="4">
        <v>4</v>
      </c>
      <c r="H57" s="4" t="s">
        <v>12</v>
      </c>
      <c r="I57" s="4" t="s">
        <v>13</v>
      </c>
      <c r="J57" s="4">
        <v>5</v>
      </c>
      <c r="K57" s="5" t="str">
        <f t="shared" si="0"/>
        <v>medium</v>
      </c>
    </row>
    <row r="58" spans="1:11" x14ac:dyDescent="0.3">
      <c r="A58" s="3">
        <v>56</v>
      </c>
      <c r="B58" s="4">
        <v>52</v>
      </c>
      <c r="C58" s="4" t="s">
        <v>9</v>
      </c>
      <c r="D58" s="4" t="s">
        <v>35</v>
      </c>
      <c r="E58" s="4" t="s">
        <v>36</v>
      </c>
      <c r="F58" s="4">
        <v>800</v>
      </c>
      <c r="G58" s="4">
        <v>5</v>
      </c>
      <c r="H58" s="4" t="s">
        <v>12</v>
      </c>
      <c r="I58" s="4" t="s">
        <v>18</v>
      </c>
      <c r="J58" s="4">
        <v>4</v>
      </c>
      <c r="K58" s="5" t="str">
        <f t="shared" si="0"/>
        <v>medium</v>
      </c>
    </row>
    <row r="59" spans="1:11" x14ac:dyDescent="0.3">
      <c r="A59" s="3">
        <v>57</v>
      </c>
      <c r="B59" s="4">
        <v>67</v>
      </c>
      <c r="C59" s="4" t="s">
        <v>14</v>
      </c>
      <c r="D59" s="4" t="s">
        <v>37</v>
      </c>
      <c r="E59" s="4" t="s">
        <v>38</v>
      </c>
      <c r="F59" s="4">
        <v>20000</v>
      </c>
      <c r="G59" s="4">
        <v>12</v>
      </c>
      <c r="H59" s="4" t="s">
        <v>12</v>
      </c>
      <c r="I59" s="4" t="s">
        <v>13</v>
      </c>
      <c r="J59" s="4">
        <v>3</v>
      </c>
      <c r="K59" s="5" t="str">
        <f t="shared" si="0"/>
        <v>long</v>
      </c>
    </row>
    <row r="60" spans="1:11" x14ac:dyDescent="0.3">
      <c r="A60" s="3">
        <v>58</v>
      </c>
      <c r="B60" s="4">
        <v>35</v>
      </c>
      <c r="C60" s="4" t="s">
        <v>9</v>
      </c>
      <c r="D60" s="4" t="s">
        <v>39</v>
      </c>
      <c r="E60" s="4" t="s">
        <v>40</v>
      </c>
      <c r="F60" s="4">
        <v>12000</v>
      </c>
      <c r="G60" s="4">
        <v>6</v>
      </c>
      <c r="H60" s="4" t="s">
        <v>12</v>
      </c>
      <c r="I60" s="4" t="s">
        <v>13</v>
      </c>
      <c r="J60" s="4">
        <v>4</v>
      </c>
      <c r="K60" s="5" t="str">
        <f t="shared" si="0"/>
        <v>medium</v>
      </c>
    </row>
    <row r="61" spans="1:11" x14ac:dyDescent="0.3">
      <c r="A61" s="3">
        <v>59</v>
      </c>
      <c r="B61" s="4">
        <v>50</v>
      </c>
      <c r="C61" s="4" t="s">
        <v>14</v>
      </c>
      <c r="D61" s="4" t="s">
        <v>41</v>
      </c>
      <c r="E61" s="4" t="s">
        <v>42</v>
      </c>
      <c r="F61" s="4">
        <v>6000</v>
      </c>
      <c r="G61" s="4">
        <v>7</v>
      </c>
      <c r="H61" s="4" t="s">
        <v>12</v>
      </c>
      <c r="I61" s="4" t="s">
        <v>13</v>
      </c>
      <c r="J61" s="4">
        <v>3</v>
      </c>
      <c r="K61" s="5" t="str">
        <f t="shared" si="0"/>
        <v>medium</v>
      </c>
    </row>
    <row r="62" spans="1:11" x14ac:dyDescent="0.3">
      <c r="A62" s="3">
        <v>61</v>
      </c>
      <c r="B62" s="4">
        <v>48</v>
      </c>
      <c r="C62" s="4" t="s">
        <v>9</v>
      </c>
      <c r="D62" s="4" t="s">
        <v>10</v>
      </c>
      <c r="E62" s="4" t="s">
        <v>11</v>
      </c>
      <c r="F62" s="4">
        <v>15000</v>
      </c>
      <c r="G62" s="4">
        <v>9</v>
      </c>
      <c r="H62" s="4" t="s">
        <v>17</v>
      </c>
      <c r="I62" s="4" t="s">
        <v>13</v>
      </c>
      <c r="J62" s="4">
        <v>4</v>
      </c>
      <c r="K62" s="5" t="str">
        <f t="shared" si="0"/>
        <v>long</v>
      </c>
    </row>
    <row r="63" spans="1:11" x14ac:dyDescent="0.3">
      <c r="A63" s="3">
        <v>62</v>
      </c>
      <c r="B63" s="4">
        <v>65</v>
      </c>
      <c r="C63" s="4" t="s">
        <v>14</v>
      </c>
      <c r="D63" s="4" t="s">
        <v>15</v>
      </c>
      <c r="E63" s="4" t="s">
        <v>16</v>
      </c>
      <c r="F63" s="4">
        <v>2000</v>
      </c>
      <c r="G63" s="4">
        <v>7</v>
      </c>
      <c r="H63" s="4" t="s">
        <v>12</v>
      </c>
      <c r="I63" s="4" t="s">
        <v>18</v>
      </c>
      <c r="J63" s="4">
        <v>3</v>
      </c>
      <c r="K63" s="5" t="str">
        <f t="shared" si="0"/>
        <v>medium</v>
      </c>
    </row>
    <row r="64" spans="1:11" x14ac:dyDescent="0.3">
      <c r="A64" s="3">
        <v>63</v>
      </c>
      <c r="B64" s="4">
        <v>30</v>
      </c>
      <c r="C64" s="4" t="s">
        <v>9</v>
      </c>
      <c r="D64" s="4" t="s">
        <v>19</v>
      </c>
      <c r="E64" s="4" t="s">
        <v>20</v>
      </c>
      <c r="F64" s="4">
        <v>500</v>
      </c>
      <c r="G64" s="4">
        <v>5</v>
      </c>
      <c r="H64" s="4" t="s">
        <v>12</v>
      </c>
      <c r="I64" s="4" t="s">
        <v>13</v>
      </c>
      <c r="J64" s="4">
        <v>5</v>
      </c>
      <c r="K64" s="5" t="str">
        <f t="shared" si="0"/>
        <v>medium</v>
      </c>
    </row>
    <row r="65" spans="1:11" x14ac:dyDescent="0.3">
      <c r="A65" s="3">
        <v>64</v>
      </c>
      <c r="B65" s="4">
        <v>70</v>
      </c>
      <c r="C65" s="4" t="s">
        <v>14</v>
      </c>
      <c r="D65" s="4" t="s">
        <v>21</v>
      </c>
      <c r="E65" s="4" t="s">
        <v>22</v>
      </c>
      <c r="F65" s="4">
        <v>10000</v>
      </c>
      <c r="G65" s="4">
        <v>11</v>
      </c>
      <c r="H65" s="4" t="s">
        <v>17</v>
      </c>
      <c r="I65" s="4" t="s">
        <v>18</v>
      </c>
      <c r="J65" s="4">
        <v>2</v>
      </c>
      <c r="K65" s="5" t="str">
        <f t="shared" si="0"/>
        <v>long</v>
      </c>
    </row>
    <row r="66" spans="1:11" x14ac:dyDescent="0.3">
      <c r="A66" s="3">
        <v>65</v>
      </c>
      <c r="B66" s="4">
        <v>55</v>
      </c>
      <c r="C66" s="4" t="s">
        <v>9</v>
      </c>
      <c r="D66" s="4" t="s">
        <v>23</v>
      </c>
      <c r="E66" s="4" t="s">
        <v>24</v>
      </c>
      <c r="F66" s="4">
        <v>25000</v>
      </c>
      <c r="G66" s="4">
        <v>14</v>
      </c>
      <c r="H66" s="4" t="s">
        <v>12</v>
      </c>
      <c r="I66" s="4" t="s">
        <v>13</v>
      </c>
      <c r="J66" s="4">
        <v>4</v>
      </c>
      <c r="K66" s="5" t="str">
        <f t="shared" si="0"/>
        <v>long</v>
      </c>
    </row>
    <row r="67" spans="1:11" x14ac:dyDescent="0.3">
      <c r="A67" s="3">
        <v>66</v>
      </c>
      <c r="B67" s="4">
        <v>68</v>
      </c>
      <c r="C67" s="4" t="s">
        <v>14</v>
      </c>
      <c r="D67" s="4" t="s">
        <v>25</v>
      </c>
      <c r="E67" s="4" t="s">
        <v>26</v>
      </c>
      <c r="F67" s="4">
        <v>1000</v>
      </c>
      <c r="G67" s="4">
        <v>6</v>
      </c>
      <c r="H67" s="4" t="s">
        <v>12</v>
      </c>
      <c r="I67" s="4" t="s">
        <v>18</v>
      </c>
      <c r="J67" s="4">
        <v>4</v>
      </c>
      <c r="K67" s="5" t="str">
        <f t="shared" si="0"/>
        <v>medium</v>
      </c>
    </row>
    <row r="68" spans="1:11" x14ac:dyDescent="0.3">
      <c r="A68" s="3">
        <v>67</v>
      </c>
      <c r="B68" s="4">
        <v>45</v>
      </c>
      <c r="C68" s="4" t="s">
        <v>9</v>
      </c>
      <c r="D68" s="4" t="s">
        <v>27</v>
      </c>
      <c r="E68" s="4" t="s">
        <v>28</v>
      </c>
      <c r="F68" s="4">
        <v>8000</v>
      </c>
      <c r="G68" s="4">
        <v>8</v>
      </c>
      <c r="H68" s="4" t="s">
        <v>12</v>
      </c>
      <c r="I68" s="4" t="s">
        <v>13</v>
      </c>
      <c r="J68" s="4">
        <v>3</v>
      </c>
      <c r="K68" s="5" t="str">
        <f t="shared" ref="K68:K131" si="1">IF(G68&lt;=3,"short",IF(G68&lt;=7,"medium","long"))</f>
        <v>long</v>
      </c>
    </row>
    <row r="69" spans="1:11" x14ac:dyDescent="0.3">
      <c r="A69" s="3">
        <v>68</v>
      </c>
      <c r="B69" s="4">
        <v>40</v>
      </c>
      <c r="C69" s="4" t="s">
        <v>14</v>
      </c>
      <c r="D69" s="4" t="s">
        <v>29</v>
      </c>
      <c r="E69" s="4" t="s">
        <v>30</v>
      </c>
      <c r="F69" s="4">
        <v>3000</v>
      </c>
      <c r="G69" s="4">
        <v>10</v>
      </c>
      <c r="H69" s="4" t="s">
        <v>12</v>
      </c>
      <c r="I69" s="4" t="s">
        <v>13</v>
      </c>
      <c r="J69" s="4">
        <v>4</v>
      </c>
      <c r="K69" s="5" t="str">
        <f t="shared" si="1"/>
        <v>long</v>
      </c>
    </row>
    <row r="70" spans="1:11" x14ac:dyDescent="0.3">
      <c r="A70" s="3">
        <v>69</v>
      </c>
      <c r="B70" s="4">
        <v>78</v>
      </c>
      <c r="C70" s="4" t="s">
        <v>9</v>
      </c>
      <c r="D70" s="4" t="s">
        <v>31</v>
      </c>
      <c r="E70" s="4" t="s">
        <v>32</v>
      </c>
      <c r="F70" s="4">
        <v>18000</v>
      </c>
      <c r="G70" s="4">
        <v>12</v>
      </c>
      <c r="H70" s="4" t="s">
        <v>17</v>
      </c>
      <c r="I70" s="4" t="s">
        <v>18</v>
      </c>
      <c r="J70" s="4">
        <v>2</v>
      </c>
      <c r="K70" s="5" t="str">
        <f t="shared" si="1"/>
        <v>long</v>
      </c>
    </row>
    <row r="71" spans="1:11" x14ac:dyDescent="0.3">
      <c r="A71" s="3">
        <v>70</v>
      </c>
      <c r="B71" s="4">
        <v>25</v>
      </c>
      <c r="C71" s="4" t="s">
        <v>14</v>
      </c>
      <c r="D71" s="4" t="s">
        <v>33</v>
      </c>
      <c r="E71" s="4" t="s">
        <v>34</v>
      </c>
      <c r="F71" s="4">
        <v>100</v>
      </c>
      <c r="G71" s="4">
        <v>5</v>
      </c>
      <c r="H71" s="4" t="s">
        <v>12</v>
      </c>
      <c r="I71" s="4" t="s">
        <v>13</v>
      </c>
      <c r="J71" s="4">
        <v>5</v>
      </c>
      <c r="K71" s="5" t="str">
        <f t="shared" si="1"/>
        <v>medium</v>
      </c>
    </row>
    <row r="72" spans="1:11" x14ac:dyDescent="0.3">
      <c r="A72" s="3">
        <v>71</v>
      </c>
      <c r="B72" s="4">
        <v>52</v>
      </c>
      <c r="C72" s="4" t="s">
        <v>9</v>
      </c>
      <c r="D72" s="4" t="s">
        <v>35</v>
      </c>
      <c r="E72" s="4" t="s">
        <v>36</v>
      </c>
      <c r="F72" s="4">
        <v>800</v>
      </c>
      <c r="G72" s="4">
        <v>6</v>
      </c>
      <c r="H72" s="4" t="s">
        <v>12</v>
      </c>
      <c r="I72" s="4" t="s">
        <v>18</v>
      </c>
      <c r="J72" s="4">
        <v>4</v>
      </c>
      <c r="K72" s="5" t="str">
        <f t="shared" si="1"/>
        <v>medium</v>
      </c>
    </row>
    <row r="73" spans="1:11" x14ac:dyDescent="0.3">
      <c r="A73" s="3">
        <v>72</v>
      </c>
      <c r="B73" s="4">
        <v>58</v>
      </c>
      <c r="C73" s="4" t="s">
        <v>14</v>
      </c>
      <c r="D73" s="4" t="s">
        <v>37</v>
      </c>
      <c r="E73" s="4" t="s">
        <v>38</v>
      </c>
      <c r="F73" s="4">
        <v>20000</v>
      </c>
      <c r="G73" s="4">
        <v>13</v>
      </c>
      <c r="H73" s="4" t="s">
        <v>12</v>
      </c>
      <c r="I73" s="4" t="s">
        <v>13</v>
      </c>
      <c r="J73" s="4">
        <v>3</v>
      </c>
      <c r="K73" s="5" t="str">
        <f t="shared" si="1"/>
        <v>long</v>
      </c>
    </row>
    <row r="74" spans="1:11" x14ac:dyDescent="0.3">
      <c r="A74" s="3">
        <v>73</v>
      </c>
      <c r="B74" s="4">
        <v>32</v>
      </c>
      <c r="C74" s="4" t="s">
        <v>9</v>
      </c>
      <c r="D74" s="4" t="s">
        <v>39</v>
      </c>
      <c r="E74" s="4" t="s">
        <v>40</v>
      </c>
      <c r="F74" s="4">
        <v>12000</v>
      </c>
      <c r="G74" s="4">
        <v>7</v>
      </c>
      <c r="H74" s="4" t="s">
        <v>12</v>
      </c>
      <c r="I74" s="4" t="s">
        <v>13</v>
      </c>
      <c r="J74" s="4">
        <v>4</v>
      </c>
      <c r="K74" s="5" t="str">
        <f t="shared" si="1"/>
        <v>medium</v>
      </c>
    </row>
    <row r="75" spans="1:11" x14ac:dyDescent="0.3">
      <c r="A75" s="3">
        <v>74</v>
      </c>
      <c r="B75" s="4">
        <v>55</v>
      </c>
      <c r="C75" s="4" t="s">
        <v>14</v>
      </c>
      <c r="D75" s="4" t="s">
        <v>41</v>
      </c>
      <c r="E75" s="4" t="s">
        <v>42</v>
      </c>
      <c r="F75" s="4">
        <v>6000</v>
      </c>
      <c r="G75" s="4">
        <v>8</v>
      </c>
      <c r="H75" s="4" t="s">
        <v>12</v>
      </c>
      <c r="I75" s="4" t="s">
        <v>13</v>
      </c>
      <c r="J75" s="4">
        <v>3</v>
      </c>
      <c r="K75" s="5" t="str">
        <f t="shared" si="1"/>
        <v>long</v>
      </c>
    </row>
    <row r="76" spans="1:11" x14ac:dyDescent="0.3">
      <c r="A76" s="3">
        <v>75</v>
      </c>
      <c r="B76" s="4">
        <v>65</v>
      </c>
      <c r="C76" s="4" t="s">
        <v>9</v>
      </c>
      <c r="D76" s="4" t="s">
        <v>43</v>
      </c>
      <c r="E76" s="4" t="s">
        <v>44</v>
      </c>
      <c r="F76" s="4">
        <v>4000</v>
      </c>
      <c r="G76" s="4">
        <v>9</v>
      </c>
      <c r="H76" s="4" t="s">
        <v>12</v>
      </c>
      <c r="I76" s="4" t="s">
        <v>18</v>
      </c>
      <c r="J76" s="4">
        <v>4</v>
      </c>
      <c r="K76" s="5" t="str">
        <f t="shared" si="1"/>
        <v>long</v>
      </c>
    </row>
    <row r="77" spans="1:11" x14ac:dyDescent="0.3">
      <c r="A77" s="3">
        <v>76</v>
      </c>
      <c r="B77" s="4">
        <v>55</v>
      </c>
      <c r="C77" s="4" t="s">
        <v>9</v>
      </c>
      <c r="D77" s="4" t="s">
        <v>10</v>
      </c>
      <c r="E77" s="4" t="s">
        <v>11</v>
      </c>
      <c r="F77" s="4">
        <v>15000</v>
      </c>
      <c r="G77" s="4">
        <v>10</v>
      </c>
      <c r="H77" s="4" t="s">
        <v>17</v>
      </c>
      <c r="I77" s="4" t="s">
        <v>13</v>
      </c>
      <c r="J77" s="4">
        <v>3</v>
      </c>
      <c r="K77" s="5" t="str">
        <f t="shared" si="1"/>
        <v>long</v>
      </c>
    </row>
    <row r="78" spans="1:11" x14ac:dyDescent="0.3">
      <c r="A78" s="3">
        <v>77</v>
      </c>
      <c r="B78" s="4">
        <v>62</v>
      </c>
      <c r="C78" s="4" t="s">
        <v>14</v>
      </c>
      <c r="D78" s="4" t="s">
        <v>15</v>
      </c>
      <c r="E78" s="4" t="s">
        <v>16</v>
      </c>
      <c r="F78" s="4">
        <v>2000</v>
      </c>
      <c r="G78" s="4">
        <v>8</v>
      </c>
      <c r="H78" s="4" t="s">
        <v>12</v>
      </c>
      <c r="I78" s="4" t="s">
        <v>18</v>
      </c>
      <c r="J78" s="4">
        <v>4</v>
      </c>
      <c r="K78" s="5" t="str">
        <f t="shared" si="1"/>
        <v>long</v>
      </c>
    </row>
    <row r="79" spans="1:11" x14ac:dyDescent="0.3">
      <c r="A79" s="3">
        <v>78</v>
      </c>
      <c r="B79" s="4">
        <v>35</v>
      </c>
      <c r="C79" s="4" t="s">
        <v>9</v>
      </c>
      <c r="D79" s="4" t="s">
        <v>19</v>
      </c>
      <c r="E79" s="4" t="s">
        <v>20</v>
      </c>
      <c r="F79" s="4">
        <v>500</v>
      </c>
      <c r="G79" s="4">
        <v>6</v>
      </c>
      <c r="H79" s="4" t="s">
        <v>17</v>
      </c>
      <c r="I79" s="4" t="s">
        <v>13</v>
      </c>
      <c r="J79" s="4">
        <v>5</v>
      </c>
      <c r="K79" s="5" t="str">
        <f t="shared" si="1"/>
        <v>medium</v>
      </c>
    </row>
    <row r="80" spans="1:11" x14ac:dyDescent="0.3">
      <c r="A80" s="3">
        <v>79</v>
      </c>
      <c r="B80" s="4">
        <v>78</v>
      </c>
      <c r="C80" s="4" t="s">
        <v>14</v>
      </c>
      <c r="D80" s="4" t="s">
        <v>21</v>
      </c>
      <c r="E80" s="4" t="s">
        <v>22</v>
      </c>
      <c r="F80" s="4">
        <v>10000</v>
      </c>
      <c r="G80" s="4">
        <v>12</v>
      </c>
      <c r="H80" s="4" t="s">
        <v>12</v>
      </c>
      <c r="I80" s="4" t="s">
        <v>18</v>
      </c>
      <c r="J80" s="4">
        <v>2</v>
      </c>
      <c r="K80" s="5" t="str">
        <f t="shared" si="1"/>
        <v>long</v>
      </c>
    </row>
    <row r="81" spans="1:11" x14ac:dyDescent="0.3">
      <c r="A81" s="3">
        <v>80</v>
      </c>
      <c r="B81" s="4">
        <v>53</v>
      </c>
      <c r="C81" s="4" t="s">
        <v>9</v>
      </c>
      <c r="D81" s="4" t="s">
        <v>23</v>
      </c>
      <c r="E81" s="4" t="s">
        <v>24</v>
      </c>
      <c r="F81" s="4">
        <v>25000</v>
      </c>
      <c r="G81" s="4">
        <v>15</v>
      </c>
      <c r="H81" s="4" t="s">
        <v>17</v>
      </c>
      <c r="I81" s="4" t="s">
        <v>13</v>
      </c>
      <c r="J81" s="4">
        <v>4</v>
      </c>
      <c r="K81" s="5" t="str">
        <f t="shared" si="1"/>
        <v>long</v>
      </c>
    </row>
    <row r="82" spans="1:11" x14ac:dyDescent="0.3">
      <c r="A82" s="3">
        <v>81</v>
      </c>
      <c r="B82" s="4">
        <v>72</v>
      </c>
      <c r="C82" s="4" t="s">
        <v>14</v>
      </c>
      <c r="D82" s="4" t="s">
        <v>25</v>
      </c>
      <c r="E82" s="4" t="s">
        <v>26</v>
      </c>
      <c r="F82" s="4">
        <v>1000</v>
      </c>
      <c r="G82" s="4">
        <v>7</v>
      </c>
      <c r="H82" s="4" t="s">
        <v>12</v>
      </c>
      <c r="I82" s="4" t="s">
        <v>18</v>
      </c>
      <c r="J82" s="4">
        <v>4</v>
      </c>
      <c r="K82" s="5" t="str">
        <f t="shared" si="1"/>
        <v>medium</v>
      </c>
    </row>
    <row r="83" spans="1:11" x14ac:dyDescent="0.3">
      <c r="A83" s="3">
        <v>82</v>
      </c>
      <c r="B83" s="4">
        <v>60</v>
      </c>
      <c r="C83" s="4" t="s">
        <v>9</v>
      </c>
      <c r="D83" s="4" t="s">
        <v>27</v>
      </c>
      <c r="E83" s="4" t="s">
        <v>28</v>
      </c>
      <c r="F83" s="4">
        <v>8000</v>
      </c>
      <c r="G83" s="4">
        <v>9</v>
      </c>
      <c r="H83" s="4" t="s">
        <v>17</v>
      </c>
      <c r="I83" s="4" t="s">
        <v>13</v>
      </c>
      <c r="J83" s="4">
        <v>3</v>
      </c>
      <c r="K83" s="5" t="str">
        <f t="shared" si="1"/>
        <v>long</v>
      </c>
    </row>
    <row r="84" spans="1:11" x14ac:dyDescent="0.3">
      <c r="A84" s="3">
        <v>83</v>
      </c>
      <c r="B84" s="4">
        <v>45</v>
      </c>
      <c r="C84" s="4" t="s">
        <v>14</v>
      </c>
      <c r="D84" s="4" t="s">
        <v>29</v>
      </c>
      <c r="E84" s="4" t="s">
        <v>30</v>
      </c>
      <c r="F84" s="4">
        <v>3000</v>
      </c>
      <c r="G84" s="4">
        <v>11</v>
      </c>
      <c r="H84" s="4" t="s">
        <v>12</v>
      </c>
      <c r="I84" s="4" t="s">
        <v>13</v>
      </c>
      <c r="J84" s="4">
        <v>4</v>
      </c>
      <c r="K84" s="5" t="str">
        <f t="shared" si="1"/>
        <v>long</v>
      </c>
    </row>
    <row r="85" spans="1:11" x14ac:dyDescent="0.3">
      <c r="A85" s="3">
        <v>84</v>
      </c>
      <c r="B85" s="4">
        <v>75</v>
      </c>
      <c r="C85" s="4" t="s">
        <v>9</v>
      </c>
      <c r="D85" s="4" t="s">
        <v>31</v>
      </c>
      <c r="E85" s="4" t="s">
        <v>32</v>
      </c>
      <c r="F85" s="4">
        <v>18000</v>
      </c>
      <c r="G85" s="4">
        <v>13</v>
      </c>
      <c r="H85" s="4" t="s">
        <v>17</v>
      </c>
      <c r="I85" s="4" t="s">
        <v>18</v>
      </c>
      <c r="J85" s="4">
        <v>2</v>
      </c>
      <c r="K85" s="5" t="str">
        <f t="shared" si="1"/>
        <v>long</v>
      </c>
    </row>
    <row r="86" spans="1:11" x14ac:dyDescent="0.3">
      <c r="A86" s="3">
        <v>85</v>
      </c>
      <c r="B86" s="4">
        <v>28</v>
      </c>
      <c r="C86" s="4" t="s">
        <v>14</v>
      </c>
      <c r="D86" s="4" t="s">
        <v>33</v>
      </c>
      <c r="E86" s="4" t="s">
        <v>34</v>
      </c>
      <c r="F86" s="4">
        <v>100</v>
      </c>
      <c r="G86" s="4">
        <v>6</v>
      </c>
      <c r="H86" s="4" t="s">
        <v>12</v>
      </c>
      <c r="I86" s="4" t="s">
        <v>13</v>
      </c>
      <c r="J86" s="4">
        <v>5</v>
      </c>
      <c r="K86" s="5" t="str">
        <f t="shared" si="1"/>
        <v>medium</v>
      </c>
    </row>
    <row r="87" spans="1:11" x14ac:dyDescent="0.3">
      <c r="A87" s="3">
        <v>86</v>
      </c>
      <c r="B87" s="4">
        <v>52</v>
      </c>
      <c r="C87" s="4" t="s">
        <v>9</v>
      </c>
      <c r="D87" s="4" t="s">
        <v>35</v>
      </c>
      <c r="E87" s="4" t="s">
        <v>36</v>
      </c>
      <c r="F87" s="4">
        <v>800</v>
      </c>
      <c r="G87" s="4">
        <v>7</v>
      </c>
      <c r="H87" s="4" t="s">
        <v>12</v>
      </c>
      <c r="I87" s="4" t="s">
        <v>18</v>
      </c>
      <c r="J87" s="4">
        <v>4</v>
      </c>
      <c r="K87" s="5" t="str">
        <f t="shared" si="1"/>
        <v>medium</v>
      </c>
    </row>
    <row r="88" spans="1:11" x14ac:dyDescent="0.3">
      <c r="A88" s="3">
        <v>87</v>
      </c>
      <c r="B88" s="4">
        <v>67</v>
      </c>
      <c r="C88" s="4" t="s">
        <v>14</v>
      </c>
      <c r="D88" s="4" t="s">
        <v>37</v>
      </c>
      <c r="E88" s="4" t="s">
        <v>38</v>
      </c>
      <c r="F88" s="4">
        <v>20000</v>
      </c>
      <c r="G88" s="4">
        <v>14</v>
      </c>
      <c r="H88" s="4" t="s">
        <v>12</v>
      </c>
      <c r="I88" s="4" t="s">
        <v>13</v>
      </c>
      <c r="J88" s="4">
        <v>3</v>
      </c>
      <c r="K88" s="5" t="str">
        <f t="shared" si="1"/>
        <v>long</v>
      </c>
    </row>
    <row r="89" spans="1:11" x14ac:dyDescent="0.3">
      <c r="A89" s="3">
        <v>88</v>
      </c>
      <c r="B89" s="4">
        <v>35</v>
      </c>
      <c r="C89" s="4" t="s">
        <v>9</v>
      </c>
      <c r="D89" s="4" t="s">
        <v>39</v>
      </c>
      <c r="E89" s="4" t="s">
        <v>40</v>
      </c>
      <c r="F89" s="4">
        <v>12000</v>
      </c>
      <c r="G89" s="4">
        <v>8</v>
      </c>
      <c r="H89" s="4" t="s">
        <v>12</v>
      </c>
      <c r="I89" s="4" t="s">
        <v>13</v>
      </c>
      <c r="J89" s="4">
        <v>4</v>
      </c>
      <c r="K89" s="5" t="str">
        <f t="shared" si="1"/>
        <v>long</v>
      </c>
    </row>
    <row r="90" spans="1:11" x14ac:dyDescent="0.3">
      <c r="A90" s="3">
        <v>89</v>
      </c>
      <c r="B90" s="4">
        <v>50</v>
      </c>
      <c r="C90" s="4" t="s">
        <v>14</v>
      </c>
      <c r="D90" s="4" t="s">
        <v>41</v>
      </c>
      <c r="E90" s="4" t="s">
        <v>42</v>
      </c>
      <c r="F90" s="4">
        <v>6000</v>
      </c>
      <c r="G90" s="4">
        <v>9</v>
      </c>
      <c r="H90" s="4" t="s">
        <v>12</v>
      </c>
      <c r="I90" s="4" t="s">
        <v>13</v>
      </c>
      <c r="J90" s="4">
        <v>3</v>
      </c>
      <c r="K90" s="5" t="str">
        <f t="shared" si="1"/>
        <v>long</v>
      </c>
    </row>
    <row r="91" spans="1:11" x14ac:dyDescent="0.3">
      <c r="A91" s="3">
        <v>90</v>
      </c>
      <c r="B91" s="4">
        <v>60</v>
      </c>
      <c r="C91" s="4" t="s">
        <v>9</v>
      </c>
      <c r="D91" s="4" t="s">
        <v>43</v>
      </c>
      <c r="E91" s="4" t="s">
        <v>44</v>
      </c>
      <c r="F91" s="4">
        <v>4000</v>
      </c>
      <c r="G91" s="4">
        <v>10</v>
      </c>
      <c r="H91" s="4" t="s">
        <v>12</v>
      </c>
      <c r="I91" s="4" t="s">
        <v>18</v>
      </c>
      <c r="J91" s="4">
        <v>4</v>
      </c>
      <c r="K91" s="5" t="str">
        <f t="shared" si="1"/>
        <v>long</v>
      </c>
    </row>
    <row r="92" spans="1:11" x14ac:dyDescent="0.3">
      <c r="A92" s="3">
        <v>91</v>
      </c>
      <c r="B92" s="4">
        <v>48</v>
      </c>
      <c r="C92" s="4" t="s">
        <v>9</v>
      </c>
      <c r="D92" s="4" t="s">
        <v>10</v>
      </c>
      <c r="E92" s="4" t="s">
        <v>11</v>
      </c>
      <c r="F92" s="4">
        <v>15000</v>
      </c>
      <c r="G92" s="4">
        <v>11</v>
      </c>
      <c r="H92" s="4" t="s">
        <v>17</v>
      </c>
      <c r="I92" s="4" t="s">
        <v>13</v>
      </c>
      <c r="J92" s="4">
        <v>4</v>
      </c>
      <c r="K92" s="5" t="str">
        <f t="shared" si="1"/>
        <v>long</v>
      </c>
    </row>
    <row r="93" spans="1:11" x14ac:dyDescent="0.3">
      <c r="A93" s="3">
        <v>92</v>
      </c>
      <c r="B93" s="4">
        <v>65</v>
      </c>
      <c r="C93" s="4" t="s">
        <v>14</v>
      </c>
      <c r="D93" s="4" t="s">
        <v>15</v>
      </c>
      <c r="E93" s="4" t="s">
        <v>16</v>
      </c>
      <c r="F93" s="4">
        <v>2000</v>
      </c>
      <c r="G93" s="4">
        <v>9</v>
      </c>
      <c r="H93" s="4" t="s">
        <v>12</v>
      </c>
      <c r="I93" s="4" t="s">
        <v>18</v>
      </c>
      <c r="J93" s="4">
        <v>3</v>
      </c>
      <c r="K93" s="5" t="str">
        <f t="shared" si="1"/>
        <v>long</v>
      </c>
    </row>
    <row r="94" spans="1:11" x14ac:dyDescent="0.3">
      <c r="A94" s="3">
        <v>93</v>
      </c>
      <c r="B94" s="4">
        <v>30</v>
      </c>
      <c r="C94" s="4" t="s">
        <v>9</v>
      </c>
      <c r="D94" s="4" t="s">
        <v>19</v>
      </c>
      <c r="E94" s="4" t="s">
        <v>20</v>
      </c>
      <c r="F94" s="4">
        <v>500</v>
      </c>
      <c r="G94" s="4">
        <v>7</v>
      </c>
      <c r="H94" s="4" t="s">
        <v>12</v>
      </c>
      <c r="I94" s="4" t="s">
        <v>13</v>
      </c>
      <c r="J94" s="4">
        <v>5</v>
      </c>
      <c r="K94" s="5" t="str">
        <f t="shared" si="1"/>
        <v>medium</v>
      </c>
    </row>
    <row r="95" spans="1:11" x14ac:dyDescent="0.3">
      <c r="A95" s="3">
        <v>94</v>
      </c>
      <c r="B95" s="4">
        <v>70</v>
      </c>
      <c r="C95" s="4" t="s">
        <v>14</v>
      </c>
      <c r="D95" s="4" t="s">
        <v>21</v>
      </c>
      <c r="E95" s="4" t="s">
        <v>22</v>
      </c>
      <c r="F95" s="4">
        <v>10000</v>
      </c>
      <c r="G95" s="4">
        <v>13</v>
      </c>
      <c r="H95" s="4" t="s">
        <v>17</v>
      </c>
      <c r="I95" s="4" t="s">
        <v>18</v>
      </c>
      <c r="J95" s="4">
        <v>2</v>
      </c>
      <c r="K95" s="5" t="str">
        <f t="shared" si="1"/>
        <v>long</v>
      </c>
    </row>
    <row r="96" spans="1:11" x14ac:dyDescent="0.3">
      <c r="A96" s="3">
        <v>95</v>
      </c>
      <c r="B96" s="4">
        <v>55</v>
      </c>
      <c r="C96" s="4" t="s">
        <v>9</v>
      </c>
      <c r="D96" s="4" t="s">
        <v>23</v>
      </c>
      <c r="E96" s="4" t="s">
        <v>24</v>
      </c>
      <c r="F96" s="4">
        <v>25000</v>
      </c>
      <c r="G96" s="4">
        <v>16</v>
      </c>
      <c r="H96" s="4" t="s">
        <v>12</v>
      </c>
      <c r="I96" s="4" t="s">
        <v>13</v>
      </c>
      <c r="J96" s="4">
        <v>4</v>
      </c>
      <c r="K96" s="5" t="str">
        <f t="shared" si="1"/>
        <v>long</v>
      </c>
    </row>
    <row r="97" spans="1:11" x14ac:dyDescent="0.3">
      <c r="A97" s="3">
        <v>96</v>
      </c>
      <c r="B97" s="4">
        <v>68</v>
      </c>
      <c r="C97" s="4" t="s">
        <v>14</v>
      </c>
      <c r="D97" s="4" t="s">
        <v>25</v>
      </c>
      <c r="E97" s="4" t="s">
        <v>26</v>
      </c>
      <c r="F97" s="4">
        <v>1000</v>
      </c>
      <c r="G97" s="4">
        <v>8</v>
      </c>
      <c r="H97" s="4" t="s">
        <v>12</v>
      </c>
      <c r="I97" s="4" t="s">
        <v>18</v>
      </c>
      <c r="J97" s="4">
        <v>4</v>
      </c>
      <c r="K97" s="5" t="str">
        <f t="shared" si="1"/>
        <v>long</v>
      </c>
    </row>
    <row r="98" spans="1:11" x14ac:dyDescent="0.3">
      <c r="A98" s="3">
        <v>97</v>
      </c>
      <c r="B98" s="4">
        <v>45</v>
      </c>
      <c r="C98" s="4" t="s">
        <v>9</v>
      </c>
      <c r="D98" s="4" t="s">
        <v>27</v>
      </c>
      <c r="E98" s="4" t="s">
        <v>28</v>
      </c>
      <c r="F98" s="4">
        <v>8000</v>
      </c>
      <c r="G98" s="4">
        <v>10</v>
      </c>
      <c r="H98" s="4" t="s">
        <v>12</v>
      </c>
      <c r="I98" s="4" t="s">
        <v>13</v>
      </c>
      <c r="J98" s="4">
        <v>3</v>
      </c>
      <c r="K98" s="5" t="str">
        <f t="shared" si="1"/>
        <v>long</v>
      </c>
    </row>
    <row r="99" spans="1:11" x14ac:dyDescent="0.3">
      <c r="A99" s="3">
        <v>98</v>
      </c>
      <c r="B99" s="4">
        <v>40</v>
      </c>
      <c r="C99" s="4" t="s">
        <v>14</v>
      </c>
      <c r="D99" s="4" t="s">
        <v>29</v>
      </c>
      <c r="E99" s="4" t="s">
        <v>30</v>
      </c>
      <c r="F99" s="4">
        <v>3000</v>
      </c>
      <c r="G99" s="4">
        <v>12</v>
      </c>
      <c r="H99" s="4" t="s">
        <v>12</v>
      </c>
      <c r="I99" s="4" t="s">
        <v>13</v>
      </c>
      <c r="J99" s="4">
        <v>4</v>
      </c>
      <c r="K99" s="5" t="str">
        <f t="shared" si="1"/>
        <v>long</v>
      </c>
    </row>
    <row r="100" spans="1:11" x14ac:dyDescent="0.3">
      <c r="A100" s="3">
        <v>99</v>
      </c>
      <c r="B100" s="4">
        <v>78</v>
      </c>
      <c r="C100" s="4" t="s">
        <v>9</v>
      </c>
      <c r="D100" s="4" t="s">
        <v>31</v>
      </c>
      <c r="E100" s="4" t="s">
        <v>32</v>
      </c>
      <c r="F100" s="4">
        <v>18000</v>
      </c>
      <c r="G100" s="4">
        <v>14</v>
      </c>
      <c r="H100" s="4" t="s">
        <v>17</v>
      </c>
      <c r="I100" s="4" t="s">
        <v>18</v>
      </c>
      <c r="J100" s="4">
        <v>2</v>
      </c>
      <c r="K100" s="5" t="str">
        <f t="shared" si="1"/>
        <v>long</v>
      </c>
    </row>
    <row r="101" spans="1:11" x14ac:dyDescent="0.3">
      <c r="A101" s="3">
        <v>100</v>
      </c>
      <c r="B101" s="4">
        <v>25</v>
      </c>
      <c r="C101" s="4" t="s">
        <v>14</v>
      </c>
      <c r="D101" s="4" t="s">
        <v>33</v>
      </c>
      <c r="E101" s="4" t="s">
        <v>34</v>
      </c>
      <c r="F101" s="4">
        <v>100</v>
      </c>
      <c r="G101" s="4">
        <v>7</v>
      </c>
      <c r="H101" s="4" t="s">
        <v>12</v>
      </c>
      <c r="I101" s="4" t="s">
        <v>13</v>
      </c>
      <c r="J101" s="4">
        <v>5</v>
      </c>
      <c r="K101" s="5" t="str">
        <f t="shared" si="1"/>
        <v>medium</v>
      </c>
    </row>
    <row r="102" spans="1:11" x14ac:dyDescent="0.3">
      <c r="A102" s="3">
        <v>101</v>
      </c>
      <c r="B102" s="4">
        <v>52</v>
      </c>
      <c r="C102" s="4" t="s">
        <v>9</v>
      </c>
      <c r="D102" s="4" t="s">
        <v>35</v>
      </c>
      <c r="E102" s="4" t="s">
        <v>36</v>
      </c>
      <c r="F102" s="4">
        <v>800</v>
      </c>
      <c r="G102" s="4">
        <v>8</v>
      </c>
      <c r="H102" s="4" t="s">
        <v>12</v>
      </c>
      <c r="I102" s="4" t="s">
        <v>18</v>
      </c>
      <c r="J102" s="4">
        <v>4</v>
      </c>
      <c r="K102" s="5" t="str">
        <f t="shared" si="1"/>
        <v>long</v>
      </c>
    </row>
    <row r="103" spans="1:11" x14ac:dyDescent="0.3">
      <c r="A103" s="3">
        <v>102</v>
      </c>
      <c r="B103" s="4">
        <v>58</v>
      </c>
      <c r="C103" s="4" t="s">
        <v>14</v>
      </c>
      <c r="D103" s="4" t="s">
        <v>37</v>
      </c>
      <c r="E103" s="4" t="s">
        <v>38</v>
      </c>
      <c r="F103" s="4">
        <v>20000</v>
      </c>
      <c r="G103" s="4">
        <v>15</v>
      </c>
      <c r="H103" s="4" t="s">
        <v>12</v>
      </c>
      <c r="I103" s="4" t="s">
        <v>13</v>
      </c>
      <c r="J103" s="4">
        <v>3</v>
      </c>
      <c r="K103" s="5" t="str">
        <f t="shared" si="1"/>
        <v>long</v>
      </c>
    </row>
    <row r="104" spans="1:11" x14ac:dyDescent="0.3">
      <c r="A104" s="3">
        <v>103</v>
      </c>
      <c r="B104" s="4">
        <v>32</v>
      </c>
      <c r="C104" s="4" t="s">
        <v>9</v>
      </c>
      <c r="D104" s="4" t="s">
        <v>39</v>
      </c>
      <c r="E104" s="4" t="s">
        <v>40</v>
      </c>
      <c r="F104" s="4">
        <v>12000</v>
      </c>
      <c r="G104" s="4">
        <v>9</v>
      </c>
      <c r="H104" s="4" t="s">
        <v>12</v>
      </c>
      <c r="I104" s="4" t="s">
        <v>13</v>
      </c>
      <c r="J104" s="4">
        <v>4</v>
      </c>
      <c r="K104" s="5" t="str">
        <f t="shared" si="1"/>
        <v>long</v>
      </c>
    </row>
    <row r="105" spans="1:11" x14ac:dyDescent="0.3">
      <c r="A105" s="3">
        <v>104</v>
      </c>
      <c r="B105" s="4">
        <v>55</v>
      </c>
      <c r="C105" s="4" t="s">
        <v>14</v>
      </c>
      <c r="D105" s="4" t="s">
        <v>41</v>
      </c>
      <c r="E105" s="4" t="s">
        <v>42</v>
      </c>
      <c r="F105" s="4">
        <v>6000</v>
      </c>
      <c r="G105" s="4">
        <v>10</v>
      </c>
      <c r="H105" s="4" t="s">
        <v>12</v>
      </c>
      <c r="I105" s="4" t="s">
        <v>13</v>
      </c>
      <c r="J105" s="4">
        <v>3</v>
      </c>
      <c r="K105" s="5" t="str">
        <f t="shared" si="1"/>
        <v>long</v>
      </c>
    </row>
    <row r="106" spans="1:11" x14ac:dyDescent="0.3">
      <c r="A106" s="3">
        <v>105</v>
      </c>
      <c r="B106" s="4">
        <v>65</v>
      </c>
      <c r="C106" s="4" t="s">
        <v>9</v>
      </c>
      <c r="D106" s="4" t="s">
        <v>43</v>
      </c>
      <c r="E106" s="4" t="s">
        <v>44</v>
      </c>
      <c r="F106" s="4">
        <v>4000</v>
      </c>
      <c r="G106" s="4">
        <v>11</v>
      </c>
      <c r="H106" s="4" t="s">
        <v>12</v>
      </c>
      <c r="I106" s="4" t="s">
        <v>18</v>
      </c>
      <c r="J106" s="4">
        <v>4</v>
      </c>
      <c r="K106" s="5" t="str">
        <f t="shared" si="1"/>
        <v>long</v>
      </c>
    </row>
    <row r="107" spans="1:11" x14ac:dyDescent="0.3">
      <c r="A107" s="3">
        <v>106</v>
      </c>
      <c r="B107" s="4">
        <v>55</v>
      </c>
      <c r="C107" s="4" t="s">
        <v>9</v>
      </c>
      <c r="D107" s="4" t="s">
        <v>10</v>
      </c>
      <c r="E107" s="4" t="s">
        <v>11</v>
      </c>
      <c r="F107" s="4">
        <v>15000</v>
      </c>
      <c r="G107" s="4">
        <v>12</v>
      </c>
      <c r="H107" s="4" t="s">
        <v>17</v>
      </c>
      <c r="I107" s="4" t="s">
        <v>13</v>
      </c>
      <c r="J107" s="4">
        <v>3</v>
      </c>
      <c r="K107" s="5" t="str">
        <f t="shared" si="1"/>
        <v>long</v>
      </c>
    </row>
    <row r="108" spans="1:11" x14ac:dyDescent="0.3">
      <c r="A108" s="3">
        <v>107</v>
      </c>
      <c r="B108" s="4">
        <v>62</v>
      </c>
      <c r="C108" s="4" t="s">
        <v>14</v>
      </c>
      <c r="D108" s="4" t="s">
        <v>15</v>
      </c>
      <c r="E108" s="4" t="s">
        <v>16</v>
      </c>
      <c r="F108" s="4">
        <v>2000</v>
      </c>
      <c r="G108" s="4">
        <v>10</v>
      </c>
      <c r="H108" s="4" t="s">
        <v>12</v>
      </c>
      <c r="I108" s="4" t="s">
        <v>18</v>
      </c>
      <c r="J108" s="4">
        <v>4</v>
      </c>
      <c r="K108" s="5" t="str">
        <f t="shared" si="1"/>
        <v>long</v>
      </c>
    </row>
    <row r="109" spans="1:11" x14ac:dyDescent="0.3">
      <c r="A109" s="3">
        <v>108</v>
      </c>
      <c r="B109" s="4">
        <v>35</v>
      </c>
      <c r="C109" s="4" t="s">
        <v>9</v>
      </c>
      <c r="D109" s="4" t="s">
        <v>19</v>
      </c>
      <c r="E109" s="4" t="s">
        <v>20</v>
      </c>
      <c r="F109" s="4">
        <v>500</v>
      </c>
      <c r="G109" s="4">
        <v>8</v>
      </c>
      <c r="H109" s="4" t="s">
        <v>17</v>
      </c>
      <c r="I109" s="4" t="s">
        <v>13</v>
      </c>
      <c r="J109" s="4">
        <v>5</v>
      </c>
      <c r="K109" s="5" t="str">
        <f t="shared" si="1"/>
        <v>long</v>
      </c>
    </row>
    <row r="110" spans="1:11" x14ac:dyDescent="0.3">
      <c r="A110" s="3">
        <v>109</v>
      </c>
      <c r="B110" s="4">
        <v>78</v>
      </c>
      <c r="C110" s="4" t="s">
        <v>14</v>
      </c>
      <c r="D110" s="4" t="s">
        <v>21</v>
      </c>
      <c r="E110" s="4" t="s">
        <v>22</v>
      </c>
      <c r="F110" s="4">
        <v>10000</v>
      </c>
      <c r="G110" s="4">
        <v>14</v>
      </c>
      <c r="H110" s="4" t="s">
        <v>12</v>
      </c>
      <c r="I110" s="4" t="s">
        <v>18</v>
      </c>
      <c r="J110" s="4">
        <v>2</v>
      </c>
      <c r="K110" s="5" t="str">
        <f t="shared" si="1"/>
        <v>long</v>
      </c>
    </row>
    <row r="111" spans="1:11" x14ac:dyDescent="0.3">
      <c r="A111" s="3">
        <v>110</v>
      </c>
      <c r="B111" s="4">
        <v>53</v>
      </c>
      <c r="C111" s="4" t="s">
        <v>9</v>
      </c>
      <c r="D111" s="4" t="s">
        <v>23</v>
      </c>
      <c r="E111" s="4" t="s">
        <v>24</v>
      </c>
      <c r="F111" s="4">
        <v>25000</v>
      </c>
      <c r="G111" s="4">
        <v>17</v>
      </c>
      <c r="H111" s="4" t="s">
        <v>17</v>
      </c>
      <c r="I111" s="4" t="s">
        <v>13</v>
      </c>
      <c r="J111" s="4">
        <v>4</v>
      </c>
      <c r="K111" s="5" t="str">
        <f t="shared" si="1"/>
        <v>long</v>
      </c>
    </row>
    <row r="112" spans="1:11" x14ac:dyDescent="0.3">
      <c r="A112" s="3">
        <v>111</v>
      </c>
      <c r="B112" s="4">
        <v>72</v>
      </c>
      <c r="C112" s="4" t="s">
        <v>14</v>
      </c>
      <c r="D112" s="4" t="s">
        <v>25</v>
      </c>
      <c r="E112" s="4" t="s">
        <v>26</v>
      </c>
      <c r="F112" s="4">
        <v>1000</v>
      </c>
      <c r="G112" s="4">
        <v>9</v>
      </c>
      <c r="H112" s="4" t="s">
        <v>12</v>
      </c>
      <c r="I112" s="4" t="s">
        <v>18</v>
      </c>
      <c r="J112" s="4">
        <v>4</v>
      </c>
      <c r="K112" s="5" t="str">
        <f t="shared" si="1"/>
        <v>long</v>
      </c>
    </row>
    <row r="113" spans="1:11" x14ac:dyDescent="0.3">
      <c r="A113" s="3">
        <v>112</v>
      </c>
      <c r="B113" s="4">
        <v>60</v>
      </c>
      <c r="C113" s="4" t="s">
        <v>9</v>
      </c>
      <c r="D113" s="4" t="s">
        <v>27</v>
      </c>
      <c r="E113" s="4" t="s">
        <v>28</v>
      </c>
      <c r="F113" s="4">
        <v>8000</v>
      </c>
      <c r="G113" s="4">
        <v>11</v>
      </c>
      <c r="H113" s="4" t="s">
        <v>17</v>
      </c>
      <c r="I113" s="4" t="s">
        <v>13</v>
      </c>
      <c r="J113" s="4">
        <v>3</v>
      </c>
      <c r="K113" s="5" t="str">
        <f t="shared" si="1"/>
        <v>long</v>
      </c>
    </row>
    <row r="114" spans="1:11" x14ac:dyDescent="0.3">
      <c r="A114" s="3">
        <v>113</v>
      </c>
      <c r="B114" s="4">
        <v>45</v>
      </c>
      <c r="C114" s="4" t="s">
        <v>14</v>
      </c>
      <c r="D114" s="4" t="s">
        <v>29</v>
      </c>
      <c r="E114" s="4" t="s">
        <v>30</v>
      </c>
      <c r="F114" s="4">
        <v>3000</v>
      </c>
      <c r="G114" s="4">
        <v>13</v>
      </c>
      <c r="H114" s="4" t="s">
        <v>12</v>
      </c>
      <c r="I114" s="4" t="s">
        <v>13</v>
      </c>
      <c r="J114" s="4">
        <v>4</v>
      </c>
      <c r="K114" s="5" t="str">
        <f t="shared" si="1"/>
        <v>long</v>
      </c>
    </row>
    <row r="115" spans="1:11" x14ac:dyDescent="0.3">
      <c r="A115" s="3">
        <v>114</v>
      </c>
      <c r="B115" s="4">
        <v>75</v>
      </c>
      <c r="C115" s="4" t="s">
        <v>9</v>
      </c>
      <c r="D115" s="4" t="s">
        <v>31</v>
      </c>
      <c r="E115" s="4" t="s">
        <v>32</v>
      </c>
      <c r="F115" s="4">
        <v>18000</v>
      </c>
      <c r="G115" s="4">
        <v>15</v>
      </c>
      <c r="H115" s="4" t="s">
        <v>17</v>
      </c>
      <c r="I115" s="4" t="s">
        <v>18</v>
      </c>
      <c r="J115" s="4">
        <v>2</v>
      </c>
      <c r="K115" s="5" t="str">
        <f t="shared" si="1"/>
        <v>long</v>
      </c>
    </row>
    <row r="116" spans="1:11" x14ac:dyDescent="0.3">
      <c r="A116" s="3">
        <v>115</v>
      </c>
      <c r="B116" s="4">
        <v>28</v>
      </c>
      <c r="C116" s="4" t="s">
        <v>14</v>
      </c>
      <c r="D116" s="4" t="s">
        <v>33</v>
      </c>
      <c r="E116" s="4" t="s">
        <v>34</v>
      </c>
      <c r="F116" s="4">
        <v>100</v>
      </c>
      <c r="G116" s="4">
        <v>8</v>
      </c>
      <c r="H116" s="4" t="s">
        <v>12</v>
      </c>
      <c r="I116" s="4" t="s">
        <v>13</v>
      </c>
      <c r="J116" s="4">
        <v>5</v>
      </c>
      <c r="K116" s="5" t="str">
        <f t="shared" si="1"/>
        <v>long</v>
      </c>
    </row>
    <row r="117" spans="1:11" x14ac:dyDescent="0.3">
      <c r="A117" s="3">
        <v>116</v>
      </c>
      <c r="B117" s="4">
        <v>52</v>
      </c>
      <c r="C117" s="4" t="s">
        <v>9</v>
      </c>
      <c r="D117" s="4" t="s">
        <v>35</v>
      </c>
      <c r="E117" s="4" t="s">
        <v>36</v>
      </c>
      <c r="F117" s="4">
        <v>800</v>
      </c>
      <c r="G117" s="4">
        <v>9</v>
      </c>
      <c r="H117" s="4" t="s">
        <v>12</v>
      </c>
      <c r="I117" s="4" t="s">
        <v>18</v>
      </c>
      <c r="J117" s="4">
        <v>4</v>
      </c>
      <c r="K117" s="5" t="str">
        <f t="shared" si="1"/>
        <v>long</v>
      </c>
    </row>
    <row r="118" spans="1:11" x14ac:dyDescent="0.3">
      <c r="A118" s="3">
        <v>117</v>
      </c>
      <c r="B118" s="4">
        <v>67</v>
      </c>
      <c r="C118" s="4" t="s">
        <v>14</v>
      </c>
      <c r="D118" s="4" t="s">
        <v>37</v>
      </c>
      <c r="E118" s="4" t="s">
        <v>38</v>
      </c>
      <c r="F118" s="4">
        <v>20000</v>
      </c>
      <c r="G118" s="4">
        <v>16</v>
      </c>
      <c r="H118" s="4" t="s">
        <v>12</v>
      </c>
      <c r="I118" s="4" t="s">
        <v>13</v>
      </c>
      <c r="J118" s="4">
        <v>3</v>
      </c>
      <c r="K118" s="5" t="str">
        <f t="shared" si="1"/>
        <v>long</v>
      </c>
    </row>
    <row r="119" spans="1:11" x14ac:dyDescent="0.3">
      <c r="A119" s="3">
        <v>118</v>
      </c>
      <c r="B119" s="4">
        <v>35</v>
      </c>
      <c r="C119" s="4" t="s">
        <v>9</v>
      </c>
      <c r="D119" s="4" t="s">
        <v>39</v>
      </c>
      <c r="E119" s="4" t="s">
        <v>40</v>
      </c>
      <c r="F119" s="4">
        <v>12000</v>
      </c>
      <c r="G119" s="4">
        <v>10</v>
      </c>
      <c r="H119" s="4" t="s">
        <v>12</v>
      </c>
      <c r="I119" s="4" t="s">
        <v>13</v>
      </c>
      <c r="J119" s="4">
        <v>4</v>
      </c>
      <c r="K119" s="5" t="str">
        <f t="shared" si="1"/>
        <v>long</v>
      </c>
    </row>
    <row r="120" spans="1:11" x14ac:dyDescent="0.3">
      <c r="A120" s="3">
        <v>119</v>
      </c>
      <c r="B120" s="4">
        <v>50</v>
      </c>
      <c r="C120" s="4" t="s">
        <v>14</v>
      </c>
      <c r="D120" s="4" t="s">
        <v>41</v>
      </c>
      <c r="E120" s="4" t="s">
        <v>42</v>
      </c>
      <c r="F120" s="4">
        <v>6000</v>
      </c>
      <c r="G120" s="4">
        <v>11</v>
      </c>
      <c r="H120" s="4" t="s">
        <v>12</v>
      </c>
      <c r="I120" s="4" t="s">
        <v>13</v>
      </c>
      <c r="J120" s="4">
        <v>3</v>
      </c>
      <c r="K120" s="5" t="str">
        <f t="shared" si="1"/>
        <v>long</v>
      </c>
    </row>
    <row r="121" spans="1:11" x14ac:dyDescent="0.3">
      <c r="A121" s="3">
        <v>120</v>
      </c>
      <c r="B121" s="4">
        <v>60</v>
      </c>
      <c r="C121" s="4" t="s">
        <v>9</v>
      </c>
      <c r="D121" s="4" t="s">
        <v>43</v>
      </c>
      <c r="E121" s="4" t="s">
        <v>44</v>
      </c>
      <c r="F121" s="4">
        <v>4000</v>
      </c>
      <c r="G121" s="4">
        <v>12</v>
      </c>
      <c r="H121" s="4" t="s">
        <v>12</v>
      </c>
      <c r="I121" s="4" t="s">
        <v>18</v>
      </c>
      <c r="J121" s="4">
        <v>4</v>
      </c>
      <c r="K121" s="5" t="str">
        <f t="shared" si="1"/>
        <v>long</v>
      </c>
    </row>
    <row r="122" spans="1:11" x14ac:dyDescent="0.3">
      <c r="A122" s="3">
        <v>122</v>
      </c>
      <c r="B122" s="4">
        <v>65</v>
      </c>
      <c r="C122" s="4" t="s">
        <v>14</v>
      </c>
      <c r="D122" s="4" t="s">
        <v>15</v>
      </c>
      <c r="E122" s="4" t="s">
        <v>16</v>
      </c>
      <c r="F122" s="4">
        <v>2000</v>
      </c>
      <c r="G122" s="4">
        <v>11</v>
      </c>
      <c r="H122" s="4" t="s">
        <v>12</v>
      </c>
      <c r="I122" s="4" t="s">
        <v>18</v>
      </c>
      <c r="J122" s="4">
        <v>3</v>
      </c>
      <c r="K122" s="5" t="str">
        <f t="shared" si="1"/>
        <v>long</v>
      </c>
    </row>
    <row r="123" spans="1:11" x14ac:dyDescent="0.3">
      <c r="A123" s="3">
        <v>123</v>
      </c>
      <c r="B123" s="4">
        <v>30</v>
      </c>
      <c r="C123" s="4" t="s">
        <v>9</v>
      </c>
      <c r="D123" s="4" t="s">
        <v>19</v>
      </c>
      <c r="E123" s="4" t="s">
        <v>20</v>
      </c>
      <c r="F123" s="4">
        <v>500</v>
      </c>
      <c r="G123" s="4">
        <v>9</v>
      </c>
      <c r="H123" s="4" t="s">
        <v>12</v>
      </c>
      <c r="I123" s="4" t="s">
        <v>13</v>
      </c>
      <c r="J123" s="4">
        <v>5</v>
      </c>
      <c r="K123" s="5" t="str">
        <f t="shared" si="1"/>
        <v>long</v>
      </c>
    </row>
    <row r="124" spans="1:11" x14ac:dyDescent="0.3">
      <c r="A124" s="3">
        <v>124</v>
      </c>
      <c r="B124" s="4">
        <v>70</v>
      </c>
      <c r="C124" s="4" t="s">
        <v>14</v>
      </c>
      <c r="D124" s="4" t="s">
        <v>21</v>
      </c>
      <c r="E124" s="4" t="s">
        <v>22</v>
      </c>
      <c r="F124" s="4">
        <v>10000</v>
      </c>
      <c r="G124" s="4">
        <v>15</v>
      </c>
      <c r="H124" s="4" t="s">
        <v>17</v>
      </c>
      <c r="I124" s="4" t="s">
        <v>18</v>
      </c>
      <c r="J124" s="4">
        <v>2</v>
      </c>
      <c r="K124" s="5" t="str">
        <f t="shared" si="1"/>
        <v>long</v>
      </c>
    </row>
    <row r="125" spans="1:11" x14ac:dyDescent="0.3">
      <c r="A125" s="3">
        <v>125</v>
      </c>
      <c r="B125" s="4">
        <v>55</v>
      </c>
      <c r="C125" s="4" t="s">
        <v>9</v>
      </c>
      <c r="D125" s="4" t="s">
        <v>23</v>
      </c>
      <c r="E125" s="4" t="s">
        <v>24</v>
      </c>
      <c r="F125" s="4">
        <v>25000</v>
      </c>
      <c r="G125" s="4">
        <v>18</v>
      </c>
      <c r="H125" s="4" t="s">
        <v>12</v>
      </c>
      <c r="I125" s="4" t="s">
        <v>13</v>
      </c>
      <c r="J125" s="4">
        <v>4</v>
      </c>
      <c r="K125" s="5" t="str">
        <f t="shared" si="1"/>
        <v>long</v>
      </c>
    </row>
    <row r="126" spans="1:11" x14ac:dyDescent="0.3">
      <c r="A126" s="3">
        <v>126</v>
      </c>
      <c r="B126" s="4">
        <v>68</v>
      </c>
      <c r="C126" s="4" t="s">
        <v>14</v>
      </c>
      <c r="D126" s="4" t="s">
        <v>25</v>
      </c>
      <c r="E126" s="4" t="s">
        <v>26</v>
      </c>
      <c r="F126" s="4">
        <v>1000</v>
      </c>
      <c r="G126" s="4">
        <v>10</v>
      </c>
      <c r="H126" s="4" t="s">
        <v>12</v>
      </c>
      <c r="I126" s="4" t="s">
        <v>18</v>
      </c>
      <c r="J126" s="4">
        <v>4</v>
      </c>
      <c r="K126" s="5" t="str">
        <f t="shared" si="1"/>
        <v>long</v>
      </c>
    </row>
    <row r="127" spans="1:11" x14ac:dyDescent="0.3">
      <c r="A127" s="3">
        <v>127</v>
      </c>
      <c r="B127" s="4">
        <v>45</v>
      </c>
      <c r="C127" s="4" t="s">
        <v>9</v>
      </c>
      <c r="D127" s="4" t="s">
        <v>27</v>
      </c>
      <c r="E127" s="4" t="s">
        <v>28</v>
      </c>
      <c r="F127" s="4">
        <v>8000</v>
      </c>
      <c r="G127" s="4">
        <v>12</v>
      </c>
      <c r="H127" s="4" t="s">
        <v>12</v>
      </c>
      <c r="I127" s="4" t="s">
        <v>13</v>
      </c>
      <c r="J127" s="4">
        <v>3</v>
      </c>
      <c r="K127" s="5" t="str">
        <f t="shared" si="1"/>
        <v>long</v>
      </c>
    </row>
    <row r="128" spans="1:11" x14ac:dyDescent="0.3">
      <c r="A128" s="3">
        <v>128</v>
      </c>
      <c r="B128" s="4">
        <v>40</v>
      </c>
      <c r="C128" s="4" t="s">
        <v>14</v>
      </c>
      <c r="D128" s="4" t="s">
        <v>29</v>
      </c>
      <c r="E128" s="4" t="s">
        <v>30</v>
      </c>
      <c r="F128" s="4">
        <v>3000</v>
      </c>
      <c r="G128" s="4">
        <v>14</v>
      </c>
      <c r="H128" s="4" t="s">
        <v>12</v>
      </c>
      <c r="I128" s="4" t="s">
        <v>13</v>
      </c>
      <c r="J128" s="4">
        <v>4</v>
      </c>
      <c r="K128" s="5" t="str">
        <f t="shared" si="1"/>
        <v>long</v>
      </c>
    </row>
    <row r="129" spans="1:11" x14ac:dyDescent="0.3">
      <c r="A129" s="3">
        <v>129</v>
      </c>
      <c r="B129" s="4">
        <v>78</v>
      </c>
      <c r="C129" s="4" t="s">
        <v>9</v>
      </c>
      <c r="D129" s="4" t="s">
        <v>31</v>
      </c>
      <c r="E129" s="4" t="s">
        <v>32</v>
      </c>
      <c r="F129" s="4">
        <v>18000</v>
      </c>
      <c r="G129" s="4">
        <v>16</v>
      </c>
      <c r="H129" s="4" t="s">
        <v>17</v>
      </c>
      <c r="I129" s="4" t="s">
        <v>18</v>
      </c>
      <c r="J129" s="4">
        <v>2</v>
      </c>
      <c r="K129" s="5" t="str">
        <f t="shared" si="1"/>
        <v>long</v>
      </c>
    </row>
    <row r="130" spans="1:11" x14ac:dyDescent="0.3">
      <c r="A130" s="3">
        <v>130</v>
      </c>
      <c r="B130" s="4">
        <v>25</v>
      </c>
      <c r="C130" s="4" t="s">
        <v>14</v>
      </c>
      <c r="D130" s="4" t="s">
        <v>33</v>
      </c>
      <c r="E130" s="4" t="s">
        <v>34</v>
      </c>
      <c r="F130" s="4">
        <v>100</v>
      </c>
      <c r="G130" s="4">
        <v>9</v>
      </c>
      <c r="H130" s="4" t="s">
        <v>12</v>
      </c>
      <c r="I130" s="4" t="s">
        <v>13</v>
      </c>
      <c r="J130" s="4">
        <v>5</v>
      </c>
      <c r="K130" s="5" t="str">
        <f t="shared" si="1"/>
        <v>long</v>
      </c>
    </row>
    <row r="131" spans="1:11" x14ac:dyDescent="0.3">
      <c r="A131" s="3">
        <v>131</v>
      </c>
      <c r="B131" s="4">
        <v>52</v>
      </c>
      <c r="C131" s="4" t="s">
        <v>9</v>
      </c>
      <c r="D131" s="4" t="s">
        <v>35</v>
      </c>
      <c r="E131" s="4" t="s">
        <v>36</v>
      </c>
      <c r="F131" s="4">
        <v>800</v>
      </c>
      <c r="G131" s="4">
        <v>10</v>
      </c>
      <c r="H131" s="4" t="s">
        <v>12</v>
      </c>
      <c r="I131" s="4" t="s">
        <v>18</v>
      </c>
      <c r="J131" s="4">
        <v>4</v>
      </c>
      <c r="K131" s="5" t="str">
        <f t="shared" si="1"/>
        <v>long</v>
      </c>
    </row>
    <row r="132" spans="1:11" x14ac:dyDescent="0.3">
      <c r="A132" s="3">
        <v>132</v>
      </c>
      <c r="B132" s="4">
        <v>58</v>
      </c>
      <c r="C132" s="4" t="s">
        <v>14</v>
      </c>
      <c r="D132" s="4" t="s">
        <v>37</v>
      </c>
      <c r="E132" s="4" t="s">
        <v>38</v>
      </c>
      <c r="F132" s="4">
        <v>20000</v>
      </c>
      <c r="G132" s="4">
        <v>17</v>
      </c>
      <c r="H132" s="4" t="s">
        <v>12</v>
      </c>
      <c r="I132" s="4" t="s">
        <v>13</v>
      </c>
      <c r="J132" s="4">
        <v>3</v>
      </c>
      <c r="K132" s="5" t="str">
        <f t="shared" ref="K132:K195" si="2">IF(G132&lt;=3,"short",IF(G132&lt;=7,"medium","long"))</f>
        <v>long</v>
      </c>
    </row>
    <row r="133" spans="1:11" x14ac:dyDescent="0.3">
      <c r="A133" s="3">
        <v>133</v>
      </c>
      <c r="B133" s="4">
        <v>32</v>
      </c>
      <c r="C133" s="4" t="s">
        <v>9</v>
      </c>
      <c r="D133" s="4" t="s">
        <v>39</v>
      </c>
      <c r="E133" s="4" t="s">
        <v>40</v>
      </c>
      <c r="F133" s="4">
        <v>12000</v>
      </c>
      <c r="G133" s="4">
        <v>11</v>
      </c>
      <c r="H133" s="4" t="s">
        <v>12</v>
      </c>
      <c r="I133" s="4" t="s">
        <v>13</v>
      </c>
      <c r="J133" s="4">
        <v>4</v>
      </c>
      <c r="K133" s="5" t="str">
        <f t="shared" si="2"/>
        <v>long</v>
      </c>
    </row>
    <row r="134" spans="1:11" x14ac:dyDescent="0.3">
      <c r="A134" s="3">
        <v>134</v>
      </c>
      <c r="B134" s="4">
        <v>55</v>
      </c>
      <c r="C134" s="4" t="s">
        <v>14</v>
      </c>
      <c r="D134" s="4" t="s">
        <v>41</v>
      </c>
      <c r="E134" s="4" t="s">
        <v>42</v>
      </c>
      <c r="F134" s="4">
        <v>6000</v>
      </c>
      <c r="G134" s="4">
        <v>12</v>
      </c>
      <c r="H134" s="4" t="s">
        <v>12</v>
      </c>
      <c r="I134" s="4" t="s">
        <v>13</v>
      </c>
      <c r="J134" s="4">
        <v>3</v>
      </c>
      <c r="K134" s="5" t="str">
        <f t="shared" si="2"/>
        <v>long</v>
      </c>
    </row>
    <row r="135" spans="1:11" x14ac:dyDescent="0.3">
      <c r="A135" s="3">
        <v>135</v>
      </c>
      <c r="B135" s="4">
        <v>65</v>
      </c>
      <c r="C135" s="4" t="s">
        <v>9</v>
      </c>
      <c r="D135" s="4" t="s">
        <v>43</v>
      </c>
      <c r="E135" s="4" t="s">
        <v>44</v>
      </c>
      <c r="F135" s="4">
        <v>4000</v>
      </c>
      <c r="G135" s="4">
        <v>13</v>
      </c>
      <c r="H135" s="4" t="s">
        <v>12</v>
      </c>
      <c r="I135" s="4" t="s">
        <v>18</v>
      </c>
      <c r="J135" s="4">
        <v>4</v>
      </c>
      <c r="K135" s="5" t="str">
        <f t="shared" si="2"/>
        <v>long</v>
      </c>
    </row>
    <row r="136" spans="1:11" x14ac:dyDescent="0.3">
      <c r="A136" s="3">
        <v>136</v>
      </c>
      <c r="B136" s="4">
        <v>55</v>
      </c>
      <c r="C136" s="4" t="s">
        <v>9</v>
      </c>
      <c r="D136" s="4" t="s">
        <v>10</v>
      </c>
      <c r="E136" s="4" t="s">
        <v>11</v>
      </c>
      <c r="F136" s="4">
        <v>15000</v>
      </c>
      <c r="G136" s="4">
        <v>14</v>
      </c>
      <c r="H136" s="4" t="s">
        <v>17</v>
      </c>
      <c r="I136" s="4" t="s">
        <v>13</v>
      </c>
      <c r="J136" s="4">
        <v>3</v>
      </c>
      <c r="K136" s="5" t="str">
        <f t="shared" si="2"/>
        <v>long</v>
      </c>
    </row>
    <row r="137" spans="1:11" x14ac:dyDescent="0.3">
      <c r="A137" s="3">
        <v>137</v>
      </c>
      <c r="B137" s="4">
        <v>62</v>
      </c>
      <c r="C137" s="4" t="s">
        <v>14</v>
      </c>
      <c r="D137" s="4" t="s">
        <v>15</v>
      </c>
      <c r="E137" s="4" t="s">
        <v>16</v>
      </c>
      <c r="F137" s="4">
        <v>2000</v>
      </c>
      <c r="G137" s="4">
        <v>12</v>
      </c>
      <c r="H137" s="4" t="s">
        <v>12</v>
      </c>
      <c r="I137" s="4" t="s">
        <v>18</v>
      </c>
      <c r="J137" s="4">
        <v>4</v>
      </c>
      <c r="K137" s="5" t="str">
        <f t="shared" si="2"/>
        <v>long</v>
      </c>
    </row>
    <row r="138" spans="1:11" x14ac:dyDescent="0.3">
      <c r="A138" s="3">
        <v>138</v>
      </c>
      <c r="B138" s="4">
        <v>35</v>
      </c>
      <c r="C138" s="4" t="s">
        <v>9</v>
      </c>
      <c r="D138" s="4" t="s">
        <v>19</v>
      </c>
      <c r="E138" s="4" t="s">
        <v>20</v>
      </c>
      <c r="F138" s="4">
        <v>500</v>
      </c>
      <c r="G138" s="4">
        <v>10</v>
      </c>
      <c r="H138" s="4" t="s">
        <v>17</v>
      </c>
      <c r="I138" s="4" t="s">
        <v>13</v>
      </c>
      <c r="J138" s="4">
        <v>5</v>
      </c>
      <c r="K138" s="5" t="str">
        <f t="shared" si="2"/>
        <v>long</v>
      </c>
    </row>
    <row r="139" spans="1:11" x14ac:dyDescent="0.3">
      <c r="A139" s="3">
        <v>139</v>
      </c>
      <c r="B139" s="4">
        <v>78</v>
      </c>
      <c r="C139" s="4" t="s">
        <v>14</v>
      </c>
      <c r="D139" s="4" t="s">
        <v>21</v>
      </c>
      <c r="E139" s="4" t="s">
        <v>22</v>
      </c>
      <c r="F139" s="4">
        <v>10000</v>
      </c>
      <c r="G139" s="4">
        <v>16</v>
      </c>
      <c r="H139" s="4" t="s">
        <v>12</v>
      </c>
      <c r="I139" s="4" t="s">
        <v>18</v>
      </c>
      <c r="J139" s="4">
        <v>2</v>
      </c>
      <c r="K139" s="5" t="str">
        <f t="shared" si="2"/>
        <v>long</v>
      </c>
    </row>
    <row r="140" spans="1:11" x14ac:dyDescent="0.3">
      <c r="A140" s="3">
        <v>140</v>
      </c>
      <c r="B140" s="4">
        <v>53</v>
      </c>
      <c r="C140" s="4" t="s">
        <v>9</v>
      </c>
      <c r="D140" s="4" t="s">
        <v>23</v>
      </c>
      <c r="E140" s="4" t="s">
        <v>24</v>
      </c>
      <c r="F140" s="4">
        <v>25000</v>
      </c>
      <c r="G140" s="4">
        <v>19</v>
      </c>
      <c r="H140" s="4" t="s">
        <v>17</v>
      </c>
      <c r="I140" s="4" t="s">
        <v>13</v>
      </c>
      <c r="J140" s="4">
        <v>4</v>
      </c>
      <c r="K140" s="5" t="str">
        <f t="shared" si="2"/>
        <v>long</v>
      </c>
    </row>
    <row r="141" spans="1:11" x14ac:dyDescent="0.3">
      <c r="A141" s="3">
        <v>141</v>
      </c>
      <c r="B141" s="4">
        <v>72</v>
      </c>
      <c r="C141" s="4" t="s">
        <v>14</v>
      </c>
      <c r="D141" s="4" t="s">
        <v>25</v>
      </c>
      <c r="E141" s="4" t="s">
        <v>26</v>
      </c>
      <c r="F141" s="4">
        <v>1000</v>
      </c>
      <c r="G141" s="4">
        <v>11</v>
      </c>
      <c r="H141" s="4" t="s">
        <v>12</v>
      </c>
      <c r="I141" s="4" t="s">
        <v>18</v>
      </c>
      <c r="J141" s="4">
        <v>4</v>
      </c>
      <c r="K141" s="5" t="str">
        <f t="shared" si="2"/>
        <v>long</v>
      </c>
    </row>
    <row r="142" spans="1:11" x14ac:dyDescent="0.3">
      <c r="A142" s="3">
        <v>142</v>
      </c>
      <c r="B142" s="4">
        <v>60</v>
      </c>
      <c r="C142" s="4" t="s">
        <v>9</v>
      </c>
      <c r="D142" s="4" t="s">
        <v>27</v>
      </c>
      <c r="E142" s="4" t="s">
        <v>28</v>
      </c>
      <c r="F142" s="4">
        <v>8000</v>
      </c>
      <c r="G142" s="4">
        <v>13</v>
      </c>
      <c r="H142" s="4" t="s">
        <v>17</v>
      </c>
      <c r="I142" s="4" t="s">
        <v>13</v>
      </c>
      <c r="J142" s="4">
        <v>3</v>
      </c>
      <c r="K142" s="5" t="str">
        <f t="shared" si="2"/>
        <v>long</v>
      </c>
    </row>
    <row r="143" spans="1:11" x14ac:dyDescent="0.3">
      <c r="A143" s="3">
        <v>143</v>
      </c>
      <c r="B143" s="4">
        <v>45</v>
      </c>
      <c r="C143" s="4" t="s">
        <v>14</v>
      </c>
      <c r="D143" s="4" t="s">
        <v>29</v>
      </c>
      <c r="E143" s="4" t="s">
        <v>30</v>
      </c>
      <c r="F143" s="4">
        <v>3000</v>
      </c>
      <c r="G143" s="4">
        <v>15</v>
      </c>
      <c r="H143" s="4" t="s">
        <v>12</v>
      </c>
      <c r="I143" s="4" t="s">
        <v>13</v>
      </c>
      <c r="J143" s="4">
        <v>4</v>
      </c>
      <c r="K143" s="5" t="str">
        <f t="shared" si="2"/>
        <v>long</v>
      </c>
    </row>
    <row r="144" spans="1:11" x14ac:dyDescent="0.3">
      <c r="A144" s="3">
        <v>144</v>
      </c>
      <c r="B144" s="4">
        <v>75</v>
      </c>
      <c r="C144" s="4" t="s">
        <v>9</v>
      </c>
      <c r="D144" s="4" t="s">
        <v>31</v>
      </c>
      <c r="E144" s="4" t="s">
        <v>32</v>
      </c>
      <c r="F144" s="4">
        <v>18000</v>
      </c>
      <c r="G144" s="4">
        <v>17</v>
      </c>
      <c r="H144" s="4" t="s">
        <v>17</v>
      </c>
      <c r="I144" s="4" t="s">
        <v>18</v>
      </c>
      <c r="J144" s="4">
        <v>2</v>
      </c>
      <c r="K144" s="5" t="str">
        <f t="shared" si="2"/>
        <v>long</v>
      </c>
    </row>
    <row r="145" spans="1:11" x14ac:dyDescent="0.3">
      <c r="A145" s="3">
        <v>145</v>
      </c>
      <c r="B145" s="4">
        <v>28</v>
      </c>
      <c r="C145" s="4" t="s">
        <v>14</v>
      </c>
      <c r="D145" s="4" t="s">
        <v>33</v>
      </c>
      <c r="E145" s="4" t="s">
        <v>34</v>
      </c>
      <c r="F145" s="4">
        <v>100</v>
      </c>
      <c r="G145" s="4">
        <v>10</v>
      </c>
      <c r="H145" s="4" t="s">
        <v>12</v>
      </c>
      <c r="I145" s="4" t="s">
        <v>13</v>
      </c>
      <c r="J145" s="4">
        <v>5</v>
      </c>
      <c r="K145" s="5" t="str">
        <f t="shared" si="2"/>
        <v>long</v>
      </c>
    </row>
    <row r="146" spans="1:11" x14ac:dyDescent="0.3">
      <c r="A146" s="3">
        <v>146</v>
      </c>
      <c r="B146" s="4">
        <v>52</v>
      </c>
      <c r="C146" s="4" t="s">
        <v>9</v>
      </c>
      <c r="D146" s="4" t="s">
        <v>35</v>
      </c>
      <c r="E146" s="4" t="s">
        <v>36</v>
      </c>
      <c r="F146" s="4">
        <v>800</v>
      </c>
      <c r="G146" s="4">
        <v>11</v>
      </c>
      <c r="H146" s="4" t="s">
        <v>12</v>
      </c>
      <c r="I146" s="4" t="s">
        <v>18</v>
      </c>
      <c r="J146" s="4">
        <v>4</v>
      </c>
      <c r="K146" s="5" t="str">
        <f t="shared" si="2"/>
        <v>long</v>
      </c>
    </row>
    <row r="147" spans="1:11" x14ac:dyDescent="0.3">
      <c r="A147" s="3">
        <v>147</v>
      </c>
      <c r="B147" s="4">
        <v>67</v>
      </c>
      <c r="C147" s="4" t="s">
        <v>14</v>
      </c>
      <c r="D147" s="4" t="s">
        <v>37</v>
      </c>
      <c r="E147" s="4" t="s">
        <v>38</v>
      </c>
      <c r="F147" s="4">
        <v>20000</v>
      </c>
      <c r="G147" s="4">
        <v>18</v>
      </c>
      <c r="H147" s="4" t="s">
        <v>12</v>
      </c>
      <c r="I147" s="4" t="s">
        <v>13</v>
      </c>
      <c r="J147" s="4">
        <v>3</v>
      </c>
      <c r="K147" s="5" t="str">
        <f t="shared" si="2"/>
        <v>long</v>
      </c>
    </row>
    <row r="148" spans="1:11" x14ac:dyDescent="0.3">
      <c r="A148" s="3">
        <v>148</v>
      </c>
      <c r="B148" s="4">
        <v>35</v>
      </c>
      <c r="C148" s="4" t="s">
        <v>9</v>
      </c>
      <c r="D148" s="4" t="s">
        <v>39</v>
      </c>
      <c r="E148" s="4" t="s">
        <v>40</v>
      </c>
      <c r="F148" s="4">
        <v>12000</v>
      </c>
      <c r="G148" s="4">
        <v>12</v>
      </c>
      <c r="H148" s="4" t="s">
        <v>12</v>
      </c>
      <c r="I148" s="4" t="s">
        <v>13</v>
      </c>
      <c r="J148" s="4">
        <v>4</v>
      </c>
      <c r="K148" s="5" t="str">
        <f t="shared" si="2"/>
        <v>long</v>
      </c>
    </row>
    <row r="149" spans="1:11" x14ac:dyDescent="0.3">
      <c r="A149" s="3">
        <v>149</v>
      </c>
      <c r="B149" s="4">
        <v>50</v>
      </c>
      <c r="C149" s="4" t="s">
        <v>14</v>
      </c>
      <c r="D149" s="4" t="s">
        <v>41</v>
      </c>
      <c r="E149" s="4" t="s">
        <v>42</v>
      </c>
      <c r="F149" s="4">
        <v>6000</v>
      </c>
      <c r="G149" s="4">
        <v>13</v>
      </c>
      <c r="H149" s="4" t="s">
        <v>12</v>
      </c>
      <c r="I149" s="4" t="s">
        <v>13</v>
      </c>
      <c r="J149" s="4">
        <v>3</v>
      </c>
      <c r="K149" s="5" t="str">
        <f t="shared" si="2"/>
        <v>long</v>
      </c>
    </row>
    <row r="150" spans="1:11" x14ac:dyDescent="0.3">
      <c r="A150" s="3">
        <v>150</v>
      </c>
      <c r="B150" s="4">
        <v>60</v>
      </c>
      <c r="C150" s="4" t="s">
        <v>9</v>
      </c>
      <c r="D150" s="4" t="s">
        <v>43</v>
      </c>
      <c r="E150" s="4" t="s">
        <v>44</v>
      </c>
      <c r="F150" s="4">
        <v>4000</v>
      </c>
      <c r="G150" s="4">
        <v>14</v>
      </c>
      <c r="H150" s="4" t="s">
        <v>12</v>
      </c>
      <c r="I150" s="4" t="s">
        <v>18</v>
      </c>
      <c r="J150" s="4">
        <v>4</v>
      </c>
      <c r="K150" s="5" t="str">
        <f t="shared" si="2"/>
        <v>long</v>
      </c>
    </row>
    <row r="151" spans="1:11" x14ac:dyDescent="0.3">
      <c r="A151" s="3">
        <v>151</v>
      </c>
      <c r="B151" s="4">
        <v>48</v>
      </c>
      <c r="C151" s="4" t="s">
        <v>9</v>
      </c>
      <c r="D151" s="4" t="s">
        <v>10</v>
      </c>
      <c r="E151" s="4" t="s">
        <v>11</v>
      </c>
      <c r="F151" s="4">
        <v>15000</v>
      </c>
      <c r="G151" s="4">
        <v>15</v>
      </c>
      <c r="H151" s="4" t="s">
        <v>17</v>
      </c>
      <c r="I151" s="4" t="s">
        <v>13</v>
      </c>
      <c r="J151" s="4">
        <v>4</v>
      </c>
      <c r="K151" s="5" t="str">
        <f t="shared" si="2"/>
        <v>long</v>
      </c>
    </row>
    <row r="152" spans="1:11" x14ac:dyDescent="0.3">
      <c r="A152" s="3">
        <v>152</v>
      </c>
      <c r="B152" s="4">
        <v>65</v>
      </c>
      <c r="C152" s="4" t="s">
        <v>14</v>
      </c>
      <c r="D152" s="4" t="s">
        <v>15</v>
      </c>
      <c r="E152" s="4" t="s">
        <v>16</v>
      </c>
      <c r="F152" s="4">
        <v>2000</v>
      </c>
      <c r="G152" s="4">
        <v>13</v>
      </c>
      <c r="H152" s="4" t="s">
        <v>12</v>
      </c>
      <c r="I152" s="4" t="s">
        <v>18</v>
      </c>
      <c r="J152" s="4">
        <v>3</v>
      </c>
      <c r="K152" s="5" t="str">
        <f t="shared" si="2"/>
        <v>long</v>
      </c>
    </row>
    <row r="153" spans="1:11" x14ac:dyDescent="0.3">
      <c r="A153" s="3">
        <v>153</v>
      </c>
      <c r="B153" s="4">
        <v>30</v>
      </c>
      <c r="C153" s="4" t="s">
        <v>9</v>
      </c>
      <c r="D153" s="4" t="s">
        <v>19</v>
      </c>
      <c r="E153" s="4" t="s">
        <v>20</v>
      </c>
      <c r="F153" s="4">
        <v>500</v>
      </c>
      <c r="G153" s="4">
        <v>11</v>
      </c>
      <c r="H153" s="4" t="s">
        <v>12</v>
      </c>
      <c r="I153" s="4" t="s">
        <v>13</v>
      </c>
      <c r="J153" s="4">
        <v>5</v>
      </c>
      <c r="K153" s="5" t="str">
        <f t="shared" si="2"/>
        <v>long</v>
      </c>
    </row>
    <row r="154" spans="1:11" x14ac:dyDescent="0.3">
      <c r="A154" s="3">
        <v>154</v>
      </c>
      <c r="B154" s="4">
        <v>70</v>
      </c>
      <c r="C154" s="4" t="s">
        <v>14</v>
      </c>
      <c r="D154" s="4" t="s">
        <v>21</v>
      </c>
      <c r="E154" s="4" t="s">
        <v>22</v>
      </c>
      <c r="F154" s="4">
        <v>10000</v>
      </c>
      <c r="G154" s="4">
        <v>17</v>
      </c>
      <c r="H154" s="4" t="s">
        <v>17</v>
      </c>
      <c r="I154" s="4" t="s">
        <v>18</v>
      </c>
      <c r="J154" s="4">
        <v>2</v>
      </c>
      <c r="K154" s="5" t="str">
        <f t="shared" si="2"/>
        <v>long</v>
      </c>
    </row>
    <row r="155" spans="1:11" x14ac:dyDescent="0.3">
      <c r="A155" s="3">
        <v>155</v>
      </c>
      <c r="B155" s="4">
        <v>55</v>
      </c>
      <c r="C155" s="4" t="s">
        <v>9</v>
      </c>
      <c r="D155" s="4" t="s">
        <v>23</v>
      </c>
      <c r="E155" s="4" t="s">
        <v>24</v>
      </c>
      <c r="F155" s="4">
        <v>25000</v>
      </c>
      <c r="G155" s="4">
        <v>20</v>
      </c>
      <c r="H155" s="4" t="s">
        <v>12</v>
      </c>
      <c r="I155" s="4" t="s">
        <v>13</v>
      </c>
      <c r="J155" s="4">
        <v>4</v>
      </c>
      <c r="K155" s="5" t="str">
        <f t="shared" si="2"/>
        <v>long</v>
      </c>
    </row>
    <row r="156" spans="1:11" x14ac:dyDescent="0.3">
      <c r="A156" s="3">
        <v>156</v>
      </c>
      <c r="B156" s="4">
        <v>68</v>
      </c>
      <c r="C156" s="4" t="s">
        <v>14</v>
      </c>
      <c r="D156" s="4" t="s">
        <v>25</v>
      </c>
      <c r="E156" s="4" t="s">
        <v>26</v>
      </c>
      <c r="F156" s="4">
        <v>1000</v>
      </c>
      <c r="G156" s="4">
        <v>12</v>
      </c>
      <c r="H156" s="4" t="s">
        <v>12</v>
      </c>
      <c r="I156" s="4" t="s">
        <v>18</v>
      </c>
      <c r="J156" s="4">
        <v>4</v>
      </c>
      <c r="K156" s="5" t="str">
        <f t="shared" si="2"/>
        <v>long</v>
      </c>
    </row>
    <row r="157" spans="1:11" x14ac:dyDescent="0.3">
      <c r="A157" s="3">
        <v>157</v>
      </c>
      <c r="B157" s="4">
        <v>45</v>
      </c>
      <c r="C157" s="4" t="s">
        <v>9</v>
      </c>
      <c r="D157" s="4" t="s">
        <v>27</v>
      </c>
      <c r="E157" s="4" t="s">
        <v>28</v>
      </c>
      <c r="F157" s="4">
        <v>8000</v>
      </c>
      <c r="G157" s="4">
        <v>14</v>
      </c>
      <c r="H157" s="4" t="s">
        <v>12</v>
      </c>
      <c r="I157" s="4" t="s">
        <v>13</v>
      </c>
      <c r="J157" s="4">
        <v>3</v>
      </c>
      <c r="K157" s="5" t="str">
        <f t="shared" si="2"/>
        <v>long</v>
      </c>
    </row>
    <row r="158" spans="1:11" x14ac:dyDescent="0.3">
      <c r="A158" s="3">
        <v>158</v>
      </c>
      <c r="B158" s="4">
        <v>40</v>
      </c>
      <c r="C158" s="4" t="s">
        <v>14</v>
      </c>
      <c r="D158" s="4" t="s">
        <v>29</v>
      </c>
      <c r="E158" s="4" t="s">
        <v>30</v>
      </c>
      <c r="F158" s="4">
        <v>3000</v>
      </c>
      <c r="G158" s="4">
        <v>16</v>
      </c>
      <c r="H158" s="4" t="s">
        <v>12</v>
      </c>
      <c r="I158" s="4" t="s">
        <v>13</v>
      </c>
      <c r="J158" s="4">
        <v>4</v>
      </c>
      <c r="K158" s="5" t="str">
        <f t="shared" si="2"/>
        <v>long</v>
      </c>
    </row>
    <row r="159" spans="1:11" x14ac:dyDescent="0.3">
      <c r="A159" s="3">
        <v>159</v>
      </c>
      <c r="B159" s="4">
        <v>78</v>
      </c>
      <c r="C159" s="4" t="s">
        <v>9</v>
      </c>
      <c r="D159" s="4" t="s">
        <v>31</v>
      </c>
      <c r="E159" s="4" t="s">
        <v>32</v>
      </c>
      <c r="F159" s="4">
        <v>18000</v>
      </c>
      <c r="G159" s="4">
        <v>18</v>
      </c>
      <c r="H159" s="4" t="s">
        <v>17</v>
      </c>
      <c r="I159" s="4" t="s">
        <v>18</v>
      </c>
      <c r="J159" s="4">
        <v>2</v>
      </c>
      <c r="K159" s="5" t="str">
        <f t="shared" si="2"/>
        <v>long</v>
      </c>
    </row>
    <row r="160" spans="1:11" x14ac:dyDescent="0.3">
      <c r="A160" s="3">
        <v>160</v>
      </c>
      <c r="B160" s="4">
        <v>25</v>
      </c>
      <c r="C160" s="4" t="s">
        <v>14</v>
      </c>
      <c r="D160" s="4" t="s">
        <v>33</v>
      </c>
      <c r="E160" s="4" t="s">
        <v>34</v>
      </c>
      <c r="F160" s="4">
        <v>100</v>
      </c>
      <c r="G160" s="4">
        <v>11</v>
      </c>
      <c r="H160" s="4" t="s">
        <v>12</v>
      </c>
      <c r="I160" s="4" t="s">
        <v>13</v>
      </c>
      <c r="J160" s="4">
        <v>5</v>
      </c>
      <c r="K160" s="5" t="str">
        <f t="shared" si="2"/>
        <v>long</v>
      </c>
    </row>
    <row r="161" spans="1:11" x14ac:dyDescent="0.3">
      <c r="A161" s="3">
        <v>161</v>
      </c>
      <c r="B161" s="4">
        <v>52</v>
      </c>
      <c r="C161" s="4" t="s">
        <v>9</v>
      </c>
      <c r="D161" s="4" t="s">
        <v>35</v>
      </c>
      <c r="E161" s="4" t="s">
        <v>36</v>
      </c>
      <c r="F161" s="4">
        <v>800</v>
      </c>
      <c r="G161" s="4">
        <v>12</v>
      </c>
      <c r="H161" s="4" t="s">
        <v>12</v>
      </c>
      <c r="I161" s="4" t="s">
        <v>18</v>
      </c>
      <c r="J161" s="4">
        <v>4</v>
      </c>
      <c r="K161" s="5" t="str">
        <f t="shared" si="2"/>
        <v>long</v>
      </c>
    </row>
    <row r="162" spans="1:11" x14ac:dyDescent="0.3">
      <c r="A162" s="3">
        <v>162</v>
      </c>
      <c r="B162" s="4">
        <v>58</v>
      </c>
      <c r="C162" s="4" t="s">
        <v>14</v>
      </c>
      <c r="D162" s="4" t="s">
        <v>37</v>
      </c>
      <c r="E162" s="4" t="s">
        <v>38</v>
      </c>
      <c r="F162" s="4">
        <v>20000</v>
      </c>
      <c r="G162" s="4">
        <v>19</v>
      </c>
      <c r="H162" s="4" t="s">
        <v>12</v>
      </c>
      <c r="I162" s="4" t="s">
        <v>13</v>
      </c>
      <c r="J162" s="4">
        <v>3</v>
      </c>
      <c r="K162" s="5" t="str">
        <f t="shared" si="2"/>
        <v>long</v>
      </c>
    </row>
    <row r="163" spans="1:11" x14ac:dyDescent="0.3">
      <c r="A163" s="3">
        <v>163</v>
      </c>
      <c r="B163" s="4">
        <v>32</v>
      </c>
      <c r="C163" s="4" t="s">
        <v>9</v>
      </c>
      <c r="D163" s="4" t="s">
        <v>39</v>
      </c>
      <c r="E163" s="4" t="s">
        <v>40</v>
      </c>
      <c r="F163" s="4">
        <v>12000</v>
      </c>
      <c r="G163" s="4">
        <v>13</v>
      </c>
      <c r="H163" s="4" t="s">
        <v>12</v>
      </c>
      <c r="I163" s="4" t="s">
        <v>13</v>
      </c>
      <c r="J163" s="4">
        <v>4</v>
      </c>
      <c r="K163" s="5" t="str">
        <f t="shared" si="2"/>
        <v>long</v>
      </c>
    </row>
    <row r="164" spans="1:11" x14ac:dyDescent="0.3">
      <c r="A164" s="3">
        <v>164</v>
      </c>
      <c r="B164" s="4">
        <v>55</v>
      </c>
      <c r="C164" s="4" t="s">
        <v>14</v>
      </c>
      <c r="D164" s="4" t="s">
        <v>41</v>
      </c>
      <c r="E164" s="4" t="s">
        <v>42</v>
      </c>
      <c r="F164" s="4">
        <v>6000</v>
      </c>
      <c r="G164" s="4">
        <v>14</v>
      </c>
      <c r="H164" s="4" t="s">
        <v>12</v>
      </c>
      <c r="I164" s="4" t="s">
        <v>13</v>
      </c>
      <c r="J164" s="4">
        <v>3</v>
      </c>
      <c r="K164" s="5" t="str">
        <f t="shared" si="2"/>
        <v>long</v>
      </c>
    </row>
    <row r="165" spans="1:11" x14ac:dyDescent="0.3">
      <c r="A165" s="3">
        <v>165</v>
      </c>
      <c r="B165" s="4">
        <v>65</v>
      </c>
      <c r="C165" s="4" t="s">
        <v>9</v>
      </c>
      <c r="D165" s="4" t="s">
        <v>43</v>
      </c>
      <c r="E165" s="4" t="s">
        <v>44</v>
      </c>
      <c r="F165" s="4">
        <v>4000</v>
      </c>
      <c r="G165" s="4">
        <v>15</v>
      </c>
      <c r="H165" s="4" t="s">
        <v>12</v>
      </c>
      <c r="I165" s="4" t="s">
        <v>18</v>
      </c>
      <c r="J165" s="4">
        <v>4</v>
      </c>
      <c r="K165" s="5" t="str">
        <f t="shared" si="2"/>
        <v>long</v>
      </c>
    </row>
    <row r="166" spans="1:11" x14ac:dyDescent="0.3">
      <c r="A166" s="3">
        <v>166</v>
      </c>
      <c r="B166" s="4">
        <v>55</v>
      </c>
      <c r="C166" s="4" t="s">
        <v>9</v>
      </c>
      <c r="D166" s="4" t="s">
        <v>10</v>
      </c>
      <c r="E166" s="4" t="s">
        <v>11</v>
      </c>
      <c r="F166" s="4">
        <v>15000</v>
      </c>
      <c r="G166" s="4">
        <v>16</v>
      </c>
      <c r="H166" s="4" t="s">
        <v>17</v>
      </c>
      <c r="I166" s="4" t="s">
        <v>13</v>
      </c>
      <c r="J166" s="4">
        <v>3</v>
      </c>
      <c r="K166" s="5" t="str">
        <f t="shared" si="2"/>
        <v>long</v>
      </c>
    </row>
    <row r="167" spans="1:11" x14ac:dyDescent="0.3">
      <c r="A167" s="3">
        <v>167</v>
      </c>
      <c r="B167" s="4">
        <v>62</v>
      </c>
      <c r="C167" s="4" t="s">
        <v>14</v>
      </c>
      <c r="D167" s="4" t="s">
        <v>15</v>
      </c>
      <c r="E167" s="4" t="s">
        <v>16</v>
      </c>
      <c r="F167" s="4">
        <v>2000</v>
      </c>
      <c r="G167" s="4">
        <v>14</v>
      </c>
      <c r="H167" s="4" t="s">
        <v>12</v>
      </c>
      <c r="I167" s="4" t="s">
        <v>18</v>
      </c>
      <c r="J167" s="4">
        <v>4</v>
      </c>
      <c r="K167" s="5" t="str">
        <f t="shared" si="2"/>
        <v>long</v>
      </c>
    </row>
    <row r="168" spans="1:11" x14ac:dyDescent="0.3">
      <c r="A168" s="3">
        <v>168</v>
      </c>
      <c r="B168" s="4">
        <v>35</v>
      </c>
      <c r="C168" s="4" t="s">
        <v>9</v>
      </c>
      <c r="D168" s="4" t="s">
        <v>19</v>
      </c>
      <c r="E168" s="4" t="s">
        <v>20</v>
      </c>
      <c r="F168" s="4">
        <v>500</v>
      </c>
      <c r="G168" s="4">
        <v>12</v>
      </c>
      <c r="H168" s="4" t="s">
        <v>17</v>
      </c>
      <c r="I168" s="4" t="s">
        <v>13</v>
      </c>
      <c r="J168" s="4">
        <v>5</v>
      </c>
      <c r="K168" s="5" t="str">
        <f t="shared" si="2"/>
        <v>long</v>
      </c>
    </row>
    <row r="169" spans="1:11" x14ac:dyDescent="0.3">
      <c r="A169" s="3">
        <v>169</v>
      </c>
      <c r="B169" s="4">
        <v>78</v>
      </c>
      <c r="C169" s="4" t="s">
        <v>14</v>
      </c>
      <c r="D169" s="4" t="s">
        <v>21</v>
      </c>
      <c r="E169" s="4" t="s">
        <v>22</v>
      </c>
      <c r="F169" s="4">
        <v>10000</v>
      </c>
      <c r="G169" s="4">
        <v>18</v>
      </c>
      <c r="H169" s="4" t="s">
        <v>12</v>
      </c>
      <c r="I169" s="4" t="s">
        <v>18</v>
      </c>
      <c r="J169" s="4">
        <v>2</v>
      </c>
      <c r="K169" s="5" t="str">
        <f t="shared" si="2"/>
        <v>long</v>
      </c>
    </row>
    <row r="170" spans="1:11" x14ac:dyDescent="0.3">
      <c r="A170" s="3">
        <v>170</v>
      </c>
      <c r="B170" s="4">
        <v>53</v>
      </c>
      <c r="C170" s="4" t="s">
        <v>9</v>
      </c>
      <c r="D170" s="4" t="s">
        <v>23</v>
      </c>
      <c r="E170" s="4" t="s">
        <v>24</v>
      </c>
      <c r="F170" s="4">
        <v>25000</v>
      </c>
      <c r="G170" s="4">
        <v>21</v>
      </c>
      <c r="H170" s="4" t="s">
        <v>17</v>
      </c>
      <c r="I170" s="4" t="s">
        <v>13</v>
      </c>
      <c r="J170" s="4">
        <v>4</v>
      </c>
      <c r="K170" s="5" t="str">
        <f t="shared" si="2"/>
        <v>long</v>
      </c>
    </row>
    <row r="171" spans="1:11" x14ac:dyDescent="0.3">
      <c r="A171" s="3">
        <v>171</v>
      </c>
      <c r="B171" s="4">
        <v>72</v>
      </c>
      <c r="C171" s="4" t="s">
        <v>14</v>
      </c>
      <c r="D171" s="4" t="s">
        <v>25</v>
      </c>
      <c r="E171" s="4" t="s">
        <v>26</v>
      </c>
      <c r="F171" s="4">
        <v>1000</v>
      </c>
      <c r="G171" s="4">
        <v>13</v>
      </c>
      <c r="H171" s="4" t="s">
        <v>12</v>
      </c>
      <c r="I171" s="4" t="s">
        <v>18</v>
      </c>
      <c r="J171" s="4">
        <v>4</v>
      </c>
      <c r="K171" s="5" t="str">
        <f t="shared" si="2"/>
        <v>long</v>
      </c>
    </row>
    <row r="172" spans="1:11" x14ac:dyDescent="0.3">
      <c r="A172" s="3">
        <v>172</v>
      </c>
      <c r="B172" s="4">
        <v>60</v>
      </c>
      <c r="C172" s="4" t="s">
        <v>9</v>
      </c>
      <c r="D172" s="4" t="s">
        <v>27</v>
      </c>
      <c r="E172" s="4" t="s">
        <v>28</v>
      </c>
      <c r="F172" s="4">
        <v>8000</v>
      </c>
      <c r="G172" s="4">
        <v>15</v>
      </c>
      <c r="H172" s="4" t="s">
        <v>17</v>
      </c>
      <c r="I172" s="4" t="s">
        <v>13</v>
      </c>
      <c r="J172" s="4">
        <v>3</v>
      </c>
      <c r="K172" s="5" t="str">
        <f t="shared" si="2"/>
        <v>long</v>
      </c>
    </row>
    <row r="173" spans="1:11" x14ac:dyDescent="0.3">
      <c r="A173" s="3">
        <v>173</v>
      </c>
      <c r="B173" s="4">
        <v>45</v>
      </c>
      <c r="C173" s="4" t="s">
        <v>14</v>
      </c>
      <c r="D173" s="4" t="s">
        <v>29</v>
      </c>
      <c r="E173" s="4" t="s">
        <v>30</v>
      </c>
      <c r="F173" s="4">
        <v>3000</v>
      </c>
      <c r="G173" s="4">
        <v>17</v>
      </c>
      <c r="H173" s="4" t="s">
        <v>12</v>
      </c>
      <c r="I173" s="4" t="s">
        <v>13</v>
      </c>
      <c r="J173" s="4">
        <v>4</v>
      </c>
      <c r="K173" s="5" t="str">
        <f t="shared" si="2"/>
        <v>long</v>
      </c>
    </row>
    <row r="174" spans="1:11" x14ac:dyDescent="0.3">
      <c r="A174" s="3">
        <v>174</v>
      </c>
      <c r="B174" s="4">
        <v>75</v>
      </c>
      <c r="C174" s="4" t="s">
        <v>9</v>
      </c>
      <c r="D174" s="4" t="s">
        <v>31</v>
      </c>
      <c r="E174" s="4" t="s">
        <v>32</v>
      </c>
      <c r="F174" s="4">
        <v>18000</v>
      </c>
      <c r="G174" s="4">
        <v>19</v>
      </c>
      <c r="H174" s="4" t="s">
        <v>17</v>
      </c>
      <c r="I174" s="4" t="s">
        <v>18</v>
      </c>
      <c r="J174" s="4">
        <v>2</v>
      </c>
      <c r="K174" s="5" t="str">
        <f t="shared" si="2"/>
        <v>long</v>
      </c>
    </row>
    <row r="175" spans="1:11" x14ac:dyDescent="0.3">
      <c r="A175" s="3">
        <v>175</v>
      </c>
      <c r="B175" s="4">
        <v>28</v>
      </c>
      <c r="C175" s="4" t="s">
        <v>14</v>
      </c>
      <c r="D175" s="4" t="s">
        <v>33</v>
      </c>
      <c r="E175" s="4" t="s">
        <v>34</v>
      </c>
      <c r="F175" s="4">
        <v>100</v>
      </c>
      <c r="G175" s="4">
        <v>12</v>
      </c>
      <c r="H175" s="4" t="s">
        <v>12</v>
      </c>
      <c r="I175" s="4" t="s">
        <v>13</v>
      </c>
      <c r="J175" s="4">
        <v>5</v>
      </c>
      <c r="K175" s="5" t="str">
        <f t="shared" si="2"/>
        <v>long</v>
      </c>
    </row>
    <row r="176" spans="1:11" x14ac:dyDescent="0.3">
      <c r="A176" s="3">
        <v>176</v>
      </c>
      <c r="B176" s="4">
        <v>52</v>
      </c>
      <c r="C176" s="4" t="s">
        <v>9</v>
      </c>
      <c r="D176" s="4" t="s">
        <v>35</v>
      </c>
      <c r="E176" s="4" t="s">
        <v>36</v>
      </c>
      <c r="F176" s="4">
        <v>800</v>
      </c>
      <c r="G176" s="4">
        <v>13</v>
      </c>
      <c r="H176" s="4" t="s">
        <v>12</v>
      </c>
      <c r="I176" s="4" t="s">
        <v>18</v>
      </c>
      <c r="J176" s="4">
        <v>4</v>
      </c>
      <c r="K176" s="5" t="str">
        <f t="shared" si="2"/>
        <v>long</v>
      </c>
    </row>
    <row r="177" spans="1:11" x14ac:dyDescent="0.3">
      <c r="A177" s="3">
        <v>177</v>
      </c>
      <c r="B177" s="4">
        <v>67</v>
      </c>
      <c r="C177" s="4" t="s">
        <v>14</v>
      </c>
      <c r="D177" s="4" t="s">
        <v>37</v>
      </c>
      <c r="E177" s="4" t="s">
        <v>38</v>
      </c>
      <c r="F177" s="4">
        <v>20000</v>
      </c>
      <c r="G177" s="4">
        <v>20</v>
      </c>
      <c r="H177" s="4" t="s">
        <v>12</v>
      </c>
      <c r="I177" s="4" t="s">
        <v>13</v>
      </c>
      <c r="J177" s="4">
        <v>3</v>
      </c>
      <c r="K177" s="5" t="str">
        <f t="shared" si="2"/>
        <v>long</v>
      </c>
    </row>
    <row r="178" spans="1:11" x14ac:dyDescent="0.3">
      <c r="A178" s="3">
        <v>178</v>
      </c>
      <c r="B178" s="4">
        <v>35</v>
      </c>
      <c r="C178" s="4" t="s">
        <v>9</v>
      </c>
      <c r="D178" s="4" t="s">
        <v>39</v>
      </c>
      <c r="E178" s="4" t="s">
        <v>40</v>
      </c>
      <c r="F178" s="4">
        <v>12000</v>
      </c>
      <c r="G178" s="4">
        <v>14</v>
      </c>
      <c r="H178" s="4" t="s">
        <v>12</v>
      </c>
      <c r="I178" s="4" t="s">
        <v>13</v>
      </c>
      <c r="J178" s="4">
        <v>4</v>
      </c>
      <c r="K178" s="5" t="str">
        <f t="shared" si="2"/>
        <v>long</v>
      </c>
    </row>
    <row r="179" spans="1:11" x14ac:dyDescent="0.3">
      <c r="A179" s="3">
        <v>179</v>
      </c>
      <c r="B179" s="4">
        <v>50</v>
      </c>
      <c r="C179" s="4" t="s">
        <v>14</v>
      </c>
      <c r="D179" s="4" t="s">
        <v>41</v>
      </c>
      <c r="E179" s="4" t="s">
        <v>42</v>
      </c>
      <c r="F179" s="4">
        <v>6000</v>
      </c>
      <c r="G179" s="4">
        <v>15</v>
      </c>
      <c r="H179" s="4" t="s">
        <v>12</v>
      </c>
      <c r="I179" s="4" t="s">
        <v>13</v>
      </c>
      <c r="J179" s="4">
        <v>3</v>
      </c>
      <c r="K179" s="5" t="str">
        <f t="shared" si="2"/>
        <v>long</v>
      </c>
    </row>
    <row r="180" spans="1:11" x14ac:dyDescent="0.3">
      <c r="A180" s="3">
        <v>180</v>
      </c>
      <c r="B180" s="4">
        <v>60</v>
      </c>
      <c r="C180" s="4" t="s">
        <v>9</v>
      </c>
      <c r="D180" s="4" t="s">
        <v>43</v>
      </c>
      <c r="E180" s="4" t="s">
        <v>44</v>
      </c>
      <c r="F180" s="4">
        <v>4000</v>
      </c>
      <c r="G180" s="4">
        <v>16</v>
      </c>
      <c r="H180" s="4" t="s">
        <v>12</v>
      </c>
      <c r="I180" s="4" t="s">
        <v>18</v>
      </c>
      <c r="J180" s="4">
        <v>4</v>
      </c>
      <c r="K180" s="5" t="str">
        <f t="shared" si="2"/>
        <v>long</v>
      </c>
    </row>
    <row r="181" spans="1:11" x14ac:dyDescent="0.3">
      <c r="A181" s="3">
        <v>181</v>
      </c>
      <c r="B181" s="4">
        <v>48</v>
      </c>
      <c r="C181" s="4" t="s">
        <v>9</v>
      </c>
      <c r="D181" s="4" t="s">
        <v>10</v>
      </c>
      <c r="E181" s="4" t="s">
        <v>11</v>
      </c>
      <c r="F181" s="4">
        <v>15000</v>
      </c>
      <c r="G181" s="4">
        <v>17</v>
      </c>
      <c r="H181" s="4" t="s">
        <v>17</v>
      </c>
      <c r="I181" s="4" t="s">
        <v>13</v>
      </c>
      <c r="J181" s="4">
        <v>4</v>
      </c>
      <c r="K181" s="5" t="str">
        <f t="shared" si="2"/>
        <v>long</v>
      </c>
    </row>
    <row r="182" spans="1:11" x14ac:dyDescent="0.3">
      <c r="A182" s="3">
        <v>183</v>
      </c>
      <c r="B182" s="4">
        <v>30</v>
      </c>
      <c r="C182" s="4" t="s">
        <v>9</v>
      </c>
      <c r="D182" s="4" t="s">
        <v>19</v>
      </c>
      <c r="E182" s="4" t="s">
        <v>20</v>
      </c>
      <c r="F182" s="4">
        <v>500</v>
      </c>
      <c r="G182" s="4">
        <v>13</v>
      </c>
      <c r="H182" s="4" t="s">
        <v>12</v>
      </c>
      <c r="I182" s="4" t="s">
        <v>13</v>
      </c>
      <c r="J182" s="4">
        <v>5</v>
      </c>
      <c r="K182" s="5" t="str">
        <f t="shared" si="2"/>
        <v>long</v>
      </c>
    </row>
    <row r="183" spans="1:11" x14ac:dyDescent="0.3">
      <c r="A183" s="3">
        <v>184</v>
      </c>
      <c r="B183" s="4">
        <v>70</v>
      </c>
      <c r="C183" s="4" t="s">
        <v>14</v>
      </c>
      <c r="D183" s="4" t="s">
        <v>21</v>
      </c>
      <c r="E183" s="4" t="s">
        <v>22</v>
      </c>
      <c r="F183" s="4">
        <v>10000</v>
      </c>
      <c r="G183" s="4">
        <v>19</v>
      </c>
      <c r="H183" s="4" t="s">
        <v>17</v>
      </c>
      <c r="I183" s="4" t="s">
        <v>18</v>
      </c>
      <c r="J183" s="4">
        <v>2</v>
      </c>
      <c r="K183" s="5" t="str">
        <f t="shared" si="2"/>
        <v>long</v>
      </c>
    </row>
    <row r="184" spans="1:11" x14ac:dyDescent="0.3">
      <c r="A184" s="3">
        <v>185</v>
      </c>
      <c r="B184" s="4">
        <v>55</v>
      </c>
      <c r="C184" s="4" t="s">
        <v>9</v>
      </c>
      <c r="D184" s="4" t="s">
        <v>23</v>
      </c>
      <c r="E184" s="4" t="s">
        <v>24</v>
      </c>
      <c r="F184" s="4">
        <v>25000</v>
      </c>
      <c r="G184" s="4">
        <v>22</v>
      </c>
      <c r="H184" s="4" t="s">
        <v>12</v>
      </c>
      <c r="I184" s="4" t="s">
        <v>13</v>
      </c>
      <c r="J184" s="4">
        <v>4</v>
      </c>
      <c r="K184" s="5" t="str">
        <f t="shared" si="2"/>
        <v>long</v>
      </c>
    </row>
    <row r="185" spans="1:11" x14ac:dyDescent="0.3">
      <c r="A185" s="3">
        <v>186</v>
      </c>
      <c r="B185" s="4">
        <v>68</v>
      </c>
      <c r="C185" s="4" t="s">
        <v>14</v>
      </c>
      <c r="D185" s="4" t="s">
        <v>25</v>
      </c>
      <c r="E185" s="4" t="s">
        <v>26</v>
      </c>
      <c r="F185" s="4">
        <v>1000</v>
      </c>
      <c r="G185" s="4">
        <v>14</v>
      </c>
      <c r="H185" s="4" t="s">
        <v>12</v>
      </c>
      <c r="I185" s="4" t="s">
        <v>18</v>
      </c>
      <c r="J185" s="4">
        <v>4</v>
      </c>
      <c r="K185" s="5" t="str">
        <f t="shared" si="2"/>
        <v>long</v>
      </c>
    </row>
    <row r="186" spans="1:11" x14ac:dyDescent="0.3">
      <c r="A186" s="3">
        <v>187</v>
      </c>
      <c r="B186" s="4">
        <v>45</v>
      </c>
      <c r="C186" s="4" t="s">
        <v>9</v>
      </c>
      <c r="D186" s="4" t="s">
        <v>27</v>
      </c>
      <c r="E186" s="4" t="s">
        <v>28</v>
      </c>
      <c r="F186" s="4">
        <v>8000</v>
      </c>
      <c r="G186" s="4">
        <v>16</v>
      </c>
      <c r="H186" s="4" t="s">
        <v>12</v>
      </c>
      <c r="I186" s="4" t="s">
        <v>13</v>
      </c>
      <c r="J186" s="4">
        <v>3</v>
      </c>
      <c r="K186" s="5" t="str">
        <f t="shared" si="2"/>
        <v>long</v>
      </c>
    </row>
    <row r="187" spans="1:11" x14ac:dyDescent="0.3">
      <c r="A187" s="3">
        <v>188</v>
      </c>
      <c r="B187" s="4">
        <v>40</v>
      </c>
      <c r="C187" s="4" t="s">
        <v>14</v>
      </c>
      <c r="D187" s="4" t="s">
        <v>29</v>
      </c>
      <c r="E187" s="4" t="s">
        <v>30</v>
      </c>
      <c r="F187" s="4">
        <v>3000</v>
      </c>
      <c r="G187" s="4">
        <v>18</v>
      </c>
      <c r="H187" s="4" t="s">
        <v>12</v>
      </c>
      <c r="I187" s="4" t="s">
        <v>13</v>
      </c>
      <c r="J187" s="4">
        <v>4</v>
      </c>
      <c r="K187" s="5" t="str">
        <f t="shared" si="2"/>
        <v>long</v>
      </c>
    </row>
    <row r="188" spans="1:11" x14ac:dyDescent="0.3">
      <c r="A188" s="3">
        <v>189</v>
      </c>
      <c r="B188" s="4">
        <v>78</v>
      </c>
      <c r="C188" s="4" t="s">
        <v>9</v>
      </c>
      <c r="D188" s="4" t="s">
        <v>31</v>
      </c>
      <c r="E188" s="4" t="s">
        <v>32</v>
      </c>
      <c r="F188" s="4">
        <v>18000</v>
      </c>
      <c r="G188" s="4">
        <v>20</v>
      </c>
      <c r="H188" s="4" t="s">
        <v>17</v>
      </c>
      <c r="I188" s="4" t="s">
        <v>18</v>
      </c>
      <c r="J188" s="4">
        <v>2</v>
      </c>
      <c r="K188" s="5" t="str">
        <f t="shared" si="2"/>
        <v>long</v>
      </c>
    </row>
    <row r="189" spans="1:11" x14ac:dyDescent="0.3">
      <c r="A189" s="3">
        <v>190</v>
      </c>
      <c r="B189" s="4">
        <v>25</v>
      </c>
      <c r="C189" s="4" t="s">
        <v>14</v>
      </c>
      <c r="D189" s="4" t="s">
        <v>33</v>
      </c>
      <c r="E189" s="4" t="s">
        <v>34</v>
      </c>
      <c r="F189" s="4">
        <v>100</v>
      </c>
      <c r="G189" s="4">
        <v>13</v>
      </c>
      <c r="H189" s="4" t="s">
        <v>12</v>
      </c>
      <c r="I189" s="4" t="s">
        <v>13</v>
      </c>
      <c r="J189" s="4">
        <v>5</v>
      </c>
      <c r="K189" s="5" t="str">
        <f t="shared" si="2"/>
        <v>long</v>
      </c>
    </row>
    <row r="190" spans="1:11" x14ac:dyDescent="0.3">
      <c r="A190" s="3">
        <v>191</v>
      </c>
      <c r="B190" s="4">
        <v>52</v>
      </c>
      <c r="C190" s="4" t="s">
        <v>9</v>
      </c>
      <c r="D190" s="4" t="s">
        <v>35</v>
      </c>
      <c r="E190" s="4" t="s">
        <v>36</v>
      </c>
      <c r="F190" s="4">
        <v>800</v>
      </c>
      <c r="G190" s="4">
        <v>14</v>
      </c>
      <c r="H190" s="4" t="s">
        <v>12</v>
      </c>
      <c r="I190" s="4" t="s">
        <v>18</v>
      </c>
      <c r="J190" s="4">
        <v>4</v>
      </c>
      <c r="K190" s="5" t="str">
        <f t="shared" si="2"/>
        <v>long</v>
      </c>
    </row>
    <row r="191" spans="1:11" x14ac:dyDescent="0.3">
      <c r="A191" s="3">
        <v>192</v>
      </c>
      <c r="B191" s="4">
        <v>58</v>
      </c>
      <c r="C191" s="4" t="s">
        <v>14</v>
      </c>
      <c r="D191" s="4" t="s">
        <v>37</v>
      </c>
      <c r="E191" s="4" t="s">
        <v>38</v>
      </c>
      <c r="F191" s="4">
        <v>20000</v>
      </c>
      <c r="G191" s="4">
        <v>21</v>
      </c>
      <c r="H191" s="4" t="s">
        <v>12</v>
      </c>
      <c r="I191" s="4" t="s">
        <v>13</v>
      </c>
      <c r="J191" s="4">
        <v>3</v>
      </c>
      <c r="K191" s="5" t="str">
        <f t="shared" si="2"/>
        <v>long</v>
      </c>
    </row>
    <row r="192" spans="1:11" x14ac:dyDescent="0.3">
      <c r="A192" s="3">
        <v>193</v>
      </c>
      <c r="B192" s="4">
        <v>32</v>
      </c>
      <c r="C192" s="4" t="s">
        <v>9</v>
      </c>
      <c r="D192" s="4" t="s">
        <v>39</v>
      </c>
      <c r="E192" s="4" t="s">
        <v>40</v>
      </c>
      <c r="F192" s="4">
        <v>12000</v>
      </c>
      <c r="G192" s="4">
        <v>15</v>
      </c>
      <c r="H192" s="4" t="s">
        <v>12</v>
      </c>
      <c r="I192" s="4" t="s">
        <v>13</v>
      </c>
      <c r="J192" s="4">
        <v>4</v>
      </c>
      <c r="K192" s="5" t="str">
        <f t="shared" si="2"/>
        <v>long</v>
      </c>
    </row>
    <row r="193" spans="1:11" x14ac:dyDescent="0.3">
      <c r="A193" s="3">
        <v>194</v>
      </c>
      <c r="B193" s="4">
        <v>55</v>
      </c>
      <c r="C193" s="4" t="s">
        <v>14</v>
      </c>
      <c r="D193" s="4" t="s">
        <v>41</v>
      </c>
      <c r="E193" s="4" t="s">
        <v>42</v>
      </c>
      <c r="F193" s="4">
        <v>6000</v>
      </c>
      <c r="G193" s="4">
        <v>16</v>
      </c>
      <c r="H193" s="4" t="s">
        <v>12</v>
      </c>
      <c r="I193" s="4" t="s">
        <v>13</v>
      </c>
      <c r="J193" s="4">
        <v>3</v>
      </c>
      <c r="K193" s="5" t="str">
        <f t="shared" si="2"/>
        <v>long</v>
      </c>
    </row>
    <row r="194" spans="1:11" x14ac:dyDescent="0.3">
      <c r="A194" s="3">
        <v>195</v>
      </c>
      <c r="B194" s="4">
        <v>65</v>
      </c>
      <c r="C194" s="4" t="s">
        <v>9</v>
      </c>
      <c r="D194" s="4" t="s">
        <v>43</v>
      </c>
      <c r="E194" s="4" t="s">
        <v>44</v>
      </c>
      <c r="F194" s="4">
        <v>4000</v>
      </c>
      <c r="G194" s="4">
        <v>17</v>
      </c>
      <c r="H194" s="4" t="s">
        <v>12</v>
      </c>
      <c r="I194" s="4" t="s">
        <v>18</v>
      </c>
      <c r="J194" s="4">
        <v>4</v>
      </c>
      <c r="K194" s="5" t="str">
        <f t="shared" si="2"/>
        <v>long</v>
      </c>
    </row>
    <row r="195" spans="1:11" x14ac:dyDescent="0.3">
      <c r="A195" s="3">
        <v>196</v>
      </c>
      <c r="B195" s="4">
        <v>55</v>
      </c>
      <c r="C195" s="4" t="s">
        <v>9</v>
      </c>
      <c r="D195" s="4" t="s">
        <v>10</v>
      </c>
      <c r="E195" s="4" t="s">
        <v>11</v>
      </c>
      <c r="F195" s="4">
        <v>15000</v>
      </c>
      <c r="G195" s="4">
        <v>18</v>
      </c>
      <c r="H195" s="4" t="s">
        <v>17</v>
      </c>
      <c r="I195" s="4" t="s">
        <v>13</v>
      </c>
      <c r="J195" s="4">
        <v>3</v>
      </c>
      <c r="K195" s="5" t="str">
        <f t="shared" si="2"/>
        <v>long</v>
      </c>
    </row>
    <row r="196" spans="1:11" x14ac:dyDescent="0.3">
      <c r="A196" s="3">
        <v>197</v>
      </c>
      <c r="B196" s="4">
        <v>62</v>
      </c>
      <c r="C196" s="4" t="s">
        <v>14</v>
      </c>
      <c r="D196" s="4" t="s">
        <v>15</v>
      </c>
      <c r="E196" s="4" t="s">
        <v>16</v>
      </c>
      <c r="F196" s="4">
        <v>2000</v>
      </c>
      <c r="G196" s="4">
        <v>16</v>
      </c>
      <c r="H196" s="4" t="s">
        <v>12</v>
      </c>
      <c r="I196" s="4" t="s">
        <v>18</v>
      </c>
      <c r="J196" s="4">
        <v>4</v>
      </c>
      <c r="K196" s="5" t="str">
        <f t="shared" ref="K196:K259" si="3">IF(G196&lt;=3,"short",IF(G196&lt;=7,"medium","long"))</f>
        <v>long</v>
      </c>
    </row>
    <row r="197" spans="1:11" x14ac:dyDescent="0.3">
      <c r="A197" s="3">
        <v>198</v>
      </c>
      <c r="B197" s="4">
        <v>35</v>
      </c>
      <c r="C197" s="4" t="s">
        <v>9</v>
      </c>
      <c r="D197" s="4" t="s">
        <v>19</v>
      </c>
      <c r="E197" s="4" t="s">
        <v>20</v>
      </c>
      <c r="F197" s="4">
        <v>500</v>
      </c>
      <c r="G197" s="4">
        <v>14</v>
      </c>
      <c r="H197" s="4" t="s">
        <v>17</v>
      </c>
      <c r="I197" s="4" t="s">
        <v>13</v>
      </c>
      <c r="J197" s="4">
        <v>5</v>
      </c>
      <c r="K197" s="5" t="str">
        <f t="shared" si="3"/>
        <v>long</v>
      </c>
    </row>
    <row r="198" spans="1:11" x14ac:dyDescent="0.3">
      <c r="A198" s="3">
        <v>199</v>
      </c>
      <c r="B198" s="4">
        <v>78</v>
      </c>
      <c r="C198" s="4" t="s">
        <v>14</v>
      </c>
      <c r="D198" s="4" t="s">
        <v>21</v>
      </c>
      <c r="E198" s="4" t="s">
        <v>22</v>
      </c>
      <c r="F198" s="4">
        <v>10000</v>
      </c>
      <c r="G198" s="4">
        <v>20</v>
      </c>
      <c r="H198" s="4" t="s">
        <v>12</v>
      </c>
      <c r="I198" s="4" t="s">
        <v>18</v>
      </c>
      <c r="J198" s="4">
        <v>2</v>
      </c>
      <c r="K198" s="5" t="str">
        <f t="shared" si="3"/>
        <v>long</v>
      </c>
    </row>
    <row r="199" spans="1:11" x14ac:dyDescent="0.3">
      <c r="A199" s="3">
        <v>200</v>
      </c>
      <c r="B199" s="4">
        <v>53</v>
      </c>
      <c r="C199" s="4" t="s">
        <v>9</v>
      </c>
      <c r="D199" s="4" t="s">
        <v>23</v>
      </c>
      <c r="E199" s="4" t="s">
        <v>24</v>
      </c>
      <c r="F199" s="4">
        <v>25000</v>
      </c>
      <c r="G199" s="4">
        <v>23</v>
      </c>
      <c r="H199" s="4" t="s">
        <v>17</v>
      </c>
      <c r="I199" s="4" t="s">
        <v>13</v>
      </c>
      <c r="J199" s="4">
        <v>4</v>
      </c>
      <c r="K199" s="5" t="str">
        <f t="shared" si="3"/>
        <v>long</v>
      </c>
    </row>
    <row r="200" spans="1:11" x14ac:dyDescent="0.3">
      <c r="A200" s="3">
        <v>201</v>
      </c>
      <c r="B200" s="4">
        <v>72</v>
      </c>
      <c r="C200" s="4" t="s">
        <v>14</v>
      </c>
      <c r="D200" s="4" t="s">
        <v>25</v>
      </c>
      <c r="E200" s="4" t="s">
        <v>26</v>
      </c>
      <c r="F200" s="4">
        <v>1000</v>
      </c>
      <c r="G200" s="4">
        <v>15</v>
      </c>
      <c r="H200" s="4" t="s">
        <v>12</v>
      </c>
      <c r="I200" s="4" t="s">
        <v>18</v>
      </c>
      <c r="J200" s="4">
        <v>4</v>
      </c>
      <c r="K200" s="5" t="str">
        <f t="shared" si="3"/>
        <v>long</v>
      </c>
    </row>
    <row r="201" spans="1:11" x14ac:dyDescent="0.3">
      <c r="A201" s="3">
        <v>202</v>
      </c>
      <c r="B201" s="4">
        <v>60</v>
      </c>
      <c r="C201" s="4" t="s">
        <v>9</v>
      </c>
      <c r="D201" s="4" t="s">
        <v>27</v>
      </c>
      <c r="E201" s="4" t="s">
        <v>28</v>
      </c>
      <c r="F201" s="4">
        <v>8000</v>
      </c>
      <c r="G201" s="4">
        <v>17</v>
      </c>
      <c r="H201" s="4" t="s">
        <v>17</v>
      </c>
      <c r="I201" s="4" t="s">
        <v>13</v>
      </c>
      <c r="J201" s="4">
        <v>3</v>
      </c>
      <c r="K201" s="5" t="str">
        <f t="shared" si="3"/>
        <v>long</v>
      </c>
    </row>
    <row r="202" spans="1:11" x14ac:dyDescent="0.3">
      <c r="A202" s="3">
        <v>203</v>
      </c>
      <c r="B202" s="4">
        <v>45</v>
      </c>
      <c r="C202" s="4" t="s">
        <v>14</v>
      </c>
      <c r="D202" s="4" t="s">
        <v>29</v>
      </c>
      <c r="E202" s="4" t="s">
        <v>30</v>
      </c>
      <c r="F202" s="4">
        <v>3000</v>
      </c>
      <c r="G202" s="4">
        <v>19</v>
      </c>
      <c r="H202" s="4" t="s">
        <v>12</v>
      </c>
      <c r="I202" s="4" t="s">
        <v>13</v>
      </c>
      <c r="J202" s="4">
        <v>4</v>
      </c>
      <c r="K202" s="5" t="str">
        <f t="shared" si="3"/>
        <v>long</v>
      </c>
    </row>
    <row r="203" spans="1:11" x14ac:dyDescent="0.3">
      <c r="A203" s="3">
        <v>204</v>
      </c>
      <c r="B203" s="4">
        <v>75</v>
      </c>
      <c r="C203" s="4" t="s">
        <v>9</v>
      </c>
      <c r="D203" s="4" t="s">
        <v>31</v>
      </c>
      <c r="E203" s="4" t="s">
        <v>32</v>
      </c>
      <c r="F203" s="4">
        <v>18000</v>
      </c>
      <c r="G203" s="4">
        <v>21</v>
      </c>
      <c r="H203" s="4" t="s">
        <v>17</v>
      </c>
      <c r="I203" s="4" t="s">
        <v>18</v>
      </c>
      <c r="J203" s="4">
        <v>2</v>
      </c>
      <c r="K203" s="5" t="str">
        <f t="shared" si="3"/>
        <v>long</v>
      </c>
    </row>
    <row r="204" spans="1:11" x14ac:dyDescent="0.3">
      <c r="A204" s="3">
        <v>205</v>
      </c>
      <c r="B204" s="4">
        <v>28</v>
      </c>
      <c r="C204" s="4" t="s">
        <v>14</v>
      </c>
      <c r="D204" s="4" t="s">
        <v>33</v>
      </c>
      <c r="E204" s="4" t="s">
        <v>34</v>
      </c>
      <c r="F204" s="4">
        <v>100</v>
      </c>
      <c r="G204" s="4">
        <v>14</v>
      </c>
      <c r="H204" s="4" t="s">
        <v>12</v>
      </c>
      <c r="I204" s="4" t="s">
        <v>13</v>
      </c>
      <c r="J204" s="4">
        <v>5</v>
      </c>
      <c r="K204" s="5" t="str">
        <f t="shared" si="3"/>
        <v>long</v>
      </c>
    </row>
    <row r="205" spans="1:11" x14ac:dyDescent="0.3">
      <c r="A205" s="3">
        <v>206</v>
      </c>
      <c r="B205" s="4">
        <v>52</v>
      </c>
      <c r="C205" s="4" t="s">
        <v>9</v>
      </c>
      <c r="D205" s="4" t="s">
        <v>35</v>
      </c>
      <c r="E205" s="4" t="s">
        <v>36</v>
      </c>
      <c r="F205" s="4">
        <v>800</v>
      </c>
      <c r="G205" s="4">
        <v>15</v>
      </c>
      <c r="H205" s="4" t="s">
        <v>12</v>
      </c>
      <c r="I205" s="4" t="s">
        <v>18</v>
      </c>
      <c r="J205" s="4">
        <v>4</v>
      </c>
      <c r="K205" s="5" t="str">
        <f t="shared" si="3"/>
        <v>long</v>
      </c>
    </row>
    <row r="206" spans="1:11" x14ac:dyDescent="0.3">
      <c r="A206" s="3">
        <v>207</v>
      </c>
      <c r="B206" s="4">
        <v>67</v>
      </c>
      <c r="C206" s="4" t="s">
        <v>14</v>
      </c>
      <c r="D206" s="4" t="s">
        <v>37</v>
      </c>
      <c r="E206" s="4" t="s">
        <v>38</v>
      </c>
      <c r="F206" s="4">
        <v>20000</v>
      </c>
      <c r="G206" s="4">
        <v>22</v>
      </c>
      <c r="H206" s="4" t="s">
        <v>12</v>
      </c>
      <c r="I206" s="4" t="s">
        <v>13</v>
      </c>
      <c r="J206" s="4">
        <v>3</v>
      </c>
      <c r="K206" s="5" t="str">
        <f t="shared" si="3"/>
        <v>long</v>
      </c>
    </row>
    <row r="207" spans="1:11" x14ac:dyDescent="0.3">
      <c r="A207" s="3">
        <v>208</v>
      </c>
      <c r="B207" s="4">
        <v>35</v>
      </c>
      <c r="C207" s="4" t="s">
        <v>9</v>
      </c>
      <c r="D207" s="4" t="s">
        <v>39</v>
      </c>
      <c r="E207" s="4" t="s">
        <v>40</v>
      </c>
      <c r="F207" s="4">
        <v>12000</v>
      </c>
      <c r="G207" s="4">
        <v>16</v>
      </c>
      <c r="H207" s="4" t="s">
        <v>12</v>
      </c>
      <c r="I207" s="4" t="s">
        <v>13</v>
      </c>
      <c r="J207" s="4">
        <v>4</v>
      </c>
      <c r="K207" s="5" t="str">
        <f t="shared" si="3"/>
        <v>long</v>
      </c>
    </row>
    <row r="208" spans="1:11" x14ac:dyDescent="0.3">
      <c r="A208" s="3">
        <v>209</v>
      </c>
      <c r="B208" s="4">
        <v>50</v>
      </c>
      <c r="C208" s="4" t="s">
        <v>14</v>
      </c>
      <c r="D208" s="4" t="s">
        <v>41</v>
      </c>
      <c r="E208" s="4" t="s">
        <v>42</v>
      </c>
      <c r="F208" s="4">
        <v>6000</v>
      </c>
      <c r="G208" s="4">
        <v>17</v>
      </c>
      <c r="H208" s="4" t="s">
        <v>12</v>
      </c>
      <c r="I208" s="4" t="s">
        <v>13</v>
      </c>
      <c r="J208" s="4">
        <v>3</v>
      </c>
      <c r="K208" s="5" t="str">
        <f t="shared" si="3"/>
        <v>long</v>
      </c>
    </row>
    <row r="209" spans="1:11" x14ac:dyDescent="0.3">
      <c r="A209" s="3">
        <v>210</v>
      </c>
      <c r="B209" s="4">
        <v>60</v>
      </c>
      <c r="C209" s="4" t="s">
        <v>9</v>
      </c>
      <c r="D209" s="4" t="s">
        <v>43</v>
      </c>
      <c r="E209" s="4" t="s">
        <v>44</v>
      </c>
      <c r="F209" s="4">
        <v>4000</v>
      </c>
      <c r="G209" s="4">
        <v>18</v>
      </c>
      <c r="H209" s="4" t="s">
        <v>12</v>
      </c>
      <c r="I209" s="4" t="s">
        <v>18</v>
      </c>
      <c r="J209" s="4">
        <v>4</v>
      </c>
      <c r="K209" s="5" t="str">
        <f t="shared" si="3"/>
        <v>long</v>
      </c>
    </row>
    <row r="210" spans="1:11" x14ac:dyDescent="0.3">
      <c r="A210" s="3">
        <v>211</v>
      </c>
      <c r="B210" s="4">
        <v>48</v>
      </c>
      <c r="C210" s="4" t="s">
        <v>9</v>
      </c>
      <c r="D210" s="4" t="s">
        <v>10</v>
      </c>
      <c r="E210" s="4" t="s">
        <v>11</v>
      </c>
      <c r="F210" s="4">
        <v>15000</v>
      </c>
      <c r="G210" s="4">
        <v>19</v>
      </c>
      <c r="H210" s="4" t="s">
        <v>17</v>
      </c>
      <c r="I210" s="4" t="s">
        <v>13</v>
      </c>
      <c r="J210" s="4">
        <v>4</v>
      </c>
      <c r="K210" s="5" t="str">
        <f t="shared" si="3"/>
        <v>long</v>
      </c>
    </row>
    <row r="211" spans="1:11" x14ac:dyDescent="0.3">
      <c r="A211" s="3">
        <v>212</v>
      </c>
      <c r="B211" s="4">
        <v>65</v>
      </c>
      <c r="C211" s="4" t="s">
        <v>14</v>
      </c>
      <c r="D211" s="4" t="s">
        <v>15</v>
      </c>
      <c r="E211" s="4" t="s">
        <v>16</v>
      </c>
      <c r="F211" s="4">
        <v>2000</v>
      </c>
      <c r="G211" s="4">
        <v>17</v>
      </c>
      <c r="H211" s="4" t="s">
        <v>12</v>
      </c>
      <c r="I211" s="4" t="s">
        <v>18</v>
      </c>
      <c r="J211" s="4">
        <v>3</v>
      </c>
      <c r="K211" s="5" t="str">
        <f t="shared" si="3"/>
        <v>long</v>
      </c>
    </row>
    <row r="212" spans="1:11" x14ac:dyDescent="0.3">
      <c r="A212" s="3">
        <v>213</v>
      </c>
      <c r="B212" s="4">
        <v>30</v>
      </c>
      <c r="C212" s="4" t="s">
        <v>9</v>
      </c>
      <c r="D212" s="4" t="s">
        <v>19</v>
      </c>
      <c r="E212" s="4" t="s">
        <v>20</v>
      </c>
      <c r="F212" s="4">
        <v>500</v>
      </c>
      <c r="G212" s="4">
        <v>15</v>
      </c>
      <c r="H212" s="4" t="s">
        <v>12</v>
      </c>
      <c r="I212" s="4" t="s">
        <v>13</v>
      </c>
      <c r="J212" s="4">
        <v>5</v>
      </c>
      <c r="K212" s="5" t="str">
        <f t="shared" si="3"/>
        <v>long</v>
      </c>
    </row>
    <row r="213" spans="1:11" x14ac:dyDescent="0.3">
      <c r="A213" s="3">
        <v>214</v>
      </c>
      <c r="B213" s="4">
        <v>70</v>
      </c>
      <c r="C213" s="4" t="s">
        <v>14</v>
      </c>
      <c r="D213" s="4" t="s">
        <v>21</v>
      </c>
      <c r="E213" s="4" t="s">
        <v>22</v>
      </c>
      <c r="F213" s="4">
        <v>10000</v>
      </c>
      <c r="G213" s="4">
        <v>21</v>
      </c>
      <c r="H213" s="4" t="s">
        <v>17</v>
      </c>
      <c r="I213" s="4" t="s">
        <v>18</v>
      </c>
      <c r="J213" s="4">
        <v>2</v>
      </c>
      <c r="K213" s="5" t="str">
        <f t="shared" si="3"/>
        <v>long</v>
      </c>
    </row>
    <row r="214" spans="1:11" x14ac:dyDescent="0.3">
      <c r="A214" s="3">
        <v>215</v>
      </c>
      <c r="B214" s="4">
        <v>55</v>
      </c>
      <c r="C214" s="4" t="s">
        <v>9</v>
      </c>
      <c r="D214" s="4" t="s">
        <v>23</v>
      </c>
      <c r="E214" s="4" t="s">
        <v>24</v>
      </c>
      <c r="F214" s="4">
        <v>25000</v>
      </c>
      <c r="G214" s="4">
        <v>24</v>
      </c>
      <c r="H214" s="4" t="s">
        <v>12</v>
      </c>
      <c r="I214" s="4" t="s">
        <v>13</v>
      </c>
      <c r="J214" s="4">
        <v>4</v>
      </c>
      <c r="K214" s="5" t="str">
        <f t="shared" si="3"/>
        <v>long</v>
      </c>
    </row>
    <row r="215" spans="1:11" x14ac:dyDescent="0.3">
      <c r="A215" s="3">
        <v>216</v>
      </c>
      <c r="B215" s="4">
        <v>68</v>
      </c>
      <c r="C215" s="4" t="s">
        <v>14</v>
      </c>
      <c r="D215" s="4" t="s">
        <v>25</v>
      </c>
      <c r="E215" s="4" t="s">
        <v>26</v>
      </c>
      <c r="F215" s="4">
        <v>1000</v>
      </c>
      <c r="G215" s="4">
        <v>16</v>
      </c>
      <c r="H215" s="4" t="s">
        <v>12</v>
      </c>
      <c r="I215" s="4" t="s">
        <v>18</v>
      </c>
      <c r="J215" s="4">
        <v>4</v>
      </c>
      <c r="K215" s="5" t="str">
        <f t="shared" si="3"/>
        <v>long</v>
      </c>
    </row>
    <row r="216" spans="1:11" x14ac:dyDescent="0.3">
      <c r="A216" s="3">
        <v>217</v>
      </c>
      <c r="B216" s="4">
        <v>45</v>
      </c>
      <c r="C216" s="4" t="s">
        <v>9</v>
      </c>
      <c r="D216" s="4" t="s">
        <v>27</v>
      </c>
      <c r="E216" s="4" t="s">
        <v>28</v>
      </c>
      <c r="F216" s="4">
        <v>8000</v>
      </c>
      <c r="G216" s="4">
        <v>18</v>
      </c>
      <c r="H216" s="4" t="s">
        <v>12</v>
      </c>
      <c r="I216" s="4" t="s">
        <v>13</v>
      </c>
      <c r="J216" s="4">
        <v>3</v>
      </c>
      <c r="K216" s="5" t="str">
        <f t="shared" si="3"/>
        <v>long</v>
      </c>
    </row>
    <row r="217" spans="1:11" x14ac:dyDescent="0.3">
      <c r="A217" s="3">
        <v>218</v>
      </c>
      <c r="B217" s="4">
        <v>40</v>
      </c>
      <c r="C217" s="4" t="s">
        <v>14</v>
      </c>
      <c r="D217" s="4" t="s">
        <v>29</v>
      </c>
      <c r="E217" s="4" t="s">
        <v>30</v>
      </c>
      <c r="F217" s="4">
        <v>3000</v>
      </c>
      <c r="G217" s="4">
        <v>20</v>
      </c>
      <c r="H217" s="4" t="s">
        <v>12</v>
      </c>
      <c r="I217" s="4" t="s">
        <v>13</v>
      </c>
      <c r="J217" s="4">
        <v>4</v>
      </c>
      <c r="K217" s="5" t="str">
        <f t="shared" si="3"/>
        <v>long</v>
      </c>
    </row>
    <row r="218" spans="1:11" x14ac:dyDescent="0.3">
      <c r="A218" s="3">
        <v>219</v>
      </c>
      <c r="B218" s="4">
        <v>78</v>
      </c>
      <c r="C218" s="4" t="s">
        <v>9</v>
      </c>
      <c r="D218" s="4" t="s">
        <v>31</v>
      </c>
      <c r="E218" s="4" t="s">
        <v>32</v>
      </c>
      <c r="F218" s="4">
        <v>18000</v>
      </c>
      <c r="G218" s="4">
        <v>22</v>
      </c>
      <c r="H218" s="4" t="s">
        <v>17</v>
      </c>
      <c r="I218" s="4" t="s">
        <v>18</v>
      </c>
      <c r="J218" s="4">
        <v>2</v>
      </c>
      <c r="K218" s="5" t="str">
        <f t="shared" si="3"/>
        <v>long</v>
      </c>
    </row>
    <row r="219" spans="1:11" x14ac:dyDescent="0.3">
      <c r="A219" s="3">
        <v>220</v>
      </c>
      <c r="B219" s="4">
        <v>25</v>
      </c>
      <c r="C219" s="4" t="s">
        <v>14</v>
      </c>
      <c r="D219" s="4" t="s">
        <v>33</v>
      </c>
      <c r="E219" s="4" t="s">
        <v>34</v>
      </c>
      <c r="F219" s="4">
        <v>100</v>
      </c>
      <c r="G219" s="4">
        <v>15</v>
      </c>
      <c r="H219" s="4" t="s">
        <v>12</v>
      </c>
      <c r="I219" s="4" t="s">
        <v>13</v>
      </c>
      <c r="J219" s="4">
        <v>5</v>
      </c>
      <c r="K219" s="5" t="str">
        <f t="shared" si="3"/>
        <v>long</v>
      </c>
    </row>
    <row r="220" spans="1:11" x14ac:dyDescent="0.3">
      <c r="A220" s="3">
        <v>221</v>
      </c>
      <c r="B220" s="4">
        <v>52</v>
      </c>
      <c r="C220" s="4" t="s">
        <v>9</v>
      </c>
      <c r="D220" s="4" t="s">
        <v>35</v>
      </c>
      <c r="E220" s="4" t="s">
        <v>36</v>
      </c>
      <c r="F220" s="4">
        <v>800</v>
      </c>
      <c r="G220" s="4">
        <v>16</v>
      </c>
      <c r="H220" s="4" t="s">
        <v>12</v>
      </c>
      <c r="I220" s="4" t="s">
        <v>18</v>
      </c>
      <c r="J220" s="4">
        <v>4</v>
      </c>
      <c r="K220" s="5" t="str">
        <f t="shared" si="3"/>
        <v>long</v>
      </c>
    </row>
    <row r="221" spans="1:11" x14ac:dyDescent="0.3">
      <c r="A221" s="3">
        <v>222</v>
      </c>
      <c r="B221" s="4">
        <v>58</v>
      </c>
      <c r="C221" s="4" t="s">
        <v>14</v>
      </c>
      <c r="D221" s="4" t="s">
        <v>37</v>
      </c>
      <c r="E221" s="4" t="s">
        <v>38</v>
      </c>
      <c r="F221" s="4">
        <v>20000</v>
      </c>
      <c r="G221" s="4">
        <v>23</v>
      </c>
      <c r="H221" s="4" t="s">
        <v>12</v>
      </c>
      <c r="I221" s="4" t="s">
        <v>13</v>
      </c>
      <c r="J221" s="4">
        <v>3</v>
      </c>
      <c r="K221" s="5" t="str">
        <f t="shared" si="3"/>
        <v>long</v>
      </c>
    </row>
    <row r="222" spans="1:11" x14ac:dyDescent="0.3">
      <c r="A222" s="3">
        <v>223</v>
      </c>
      <c r="B222" s="4">
        <v>32</v>
      </c>
      <c r="C222" s="4" t="s">
        <v>9</v>
      </c>
      <c r="D222" s="4" t="s">
        <v>39</v>
      </c>
      <c r="E222" s="4" t="s">
        <v>40</v>
      </c>
      <c r="F222" s="4">
        <v>12000</v>
      </c>
      <c r="G222" s="4">
        <v>17</v>
      </c>
      <c r="H222" s="4" t="s">
        <v>12</v>
      </c>
      <c r="I222" s="4" t="s">
        <v>13</v>
      </c>
      <c r="J222" s="4">
        <v>4</v>
      </c>
      <c r="K222" s="5" t="str">
        <f t="shared" si="3"/>
        <v>long</v>
      </c>
    </row>
    <row r="223" spans="1:11" x14ac:dyDescent="0.3">
      <c r="A223" s="3">
        <v>224</v>
      </c>
      <c r="B223" s="4">
        <v>55</v>
      </c>
      <c r="C223" s="4" t="s">
        <v>14</v>
      </c>
      <c r="D223" s="4" t="s">
        <v>41</v>
      </c>
      <c r="E223" s="4" t="s">
        <v>42</v>
      </c>
      <c r="F223" s="4">
        <v>6000</v>
      </c>
      <c r="G223" s="4">
        <v>18</v>
      </c>
      <c r="H223" s="4" t="s">
        <v>12</v>
      </c>
      <c r="I223" s="4" t="s">
        <v>13</v>
      </c>
      <c r="J223" s="4">
        <v>3</v>
      </c>
      <c r="K223" s="5" t="str">
        <f t="shared" si="3"/>
        <v>long</v>
      </c>
    </row>
    <row r="224" spans="1:11" x14ac:dyDescent="0.3">
      <c r="A224" s="3">
        <v>225</v>
      </c>
      <c r="B224" s="4">
        <v>65</v>
      </c>
      <c r="C224" s="4" t="s">
        <v>9</v>
      </c>
      <c r="D224" s="4" t="s">
        <v>43</v>
      </c>
      <c r="E224" s="4" t="s">
        <v>44</v>
      </c>
      <c r="F224" s="4">
        <v>4000</v>
      </c>
      <c r="G224" s="4">
        <v>19</v>
      </c>
      <c r="H224" s="4" t="s">
        <v>12</v>
      </c>
      <c r="I224" s="4" t="s">
        <v>18</v>
      </c>
      <c r="J224" s="4">
        <v>4</v>
      </c>
      <c r="K224" s="5" t="str">
        <f t="shared" si="3"/>
        <v>long</v>
      </c>
    </row>
    <row r="225" spans="1:11" x14ac:dyDescent="0.3">
      <c r="A225" s="3">
        <v>226</v>
      </c>
      <c r="B225" s="4">
        <v>55</v>
      </c>
      <c r="C225" s="4" t="s">
        <v>9</v>
      </c>
      <c r="D225" s="4" t="s">
        <v>10</v>
      </c>
      <c r="E225" s="4" t="s">
        <v>11</v>
      </c>
      <c r="F225" s="4">
        <v>15000</v>
      </c>
      <c r="G225" s="4">
        <v>20</v>
      </c>
      <c r="H225" s="4" t="s">
        <v>17</v>
      </c>
      <c r="I225" s="4" t="s">
        <v>13</v>
      </c>
      <c r="J225" s="4">
        <v>3</v>
      </c>
      <c r="K225" s="5" t="str">
        <f t="shared" si="3"/>
        <v>long</v>
      </c>
    </row>
    <row r="226" spans="1:11" x14ac:dyDescent="0.3">
      <c r="A226" s="3">
        <v>227</v>
      </c>
      <c r="B226" s="4">
        <v>62</v>
      </c>
      <c r="C226" s="4" t="s">
        <v>14</v>
      </c>
      <c r="D226" s="4" t="s">
        <v>15</v>
      </c>
      <c r="E226" s="4" t="s">
        <v>16</v>
      </c>
      <c r="F226" s="4">
        <v>2000</v>
      </c>
      <c r="G226" s="4">
        <v>18</v>
      </c>
      <c r="H226" s="4" t="s">
        <v>12</v>
      </c>
      <c r="I226" s="4" t="s">
        <v>18</v>
      </c>
      <c r="J226" s="4">
        <v>4</v>
      </c>
      <c r="K226" s="5" t="str">
        <f t="shared" si="3"/>
        <v>long</v>
      </c>
    </row>
    <row r="227" spans="1:11" x14ac:dyDescent="0.3">
      <c r="A227" s="3">
        <v>228</v>
      </c>
      <c r="B227" s="4">
        <v>35</v>
      </c>
      <c r="C227" s="4" t="s">
        <v>9</v>
      </c>
      <c r="D227" s="4" t="s">
        <v>19</v>
      </c>
      <c r="E227" s="4" t="s">
        <v>20</v>
      </c>
      <c r="F227" s="4">
        <v>500</v>
      </c>
      <c r="G227" s="4">
        <v>16</v>
      </c>
      <c r="H227" s="4" t="s">
        <v>17</v>
      </c>
      <c r="I227" s="4" t="s">
        <v>13</v>
      </c>
      <c r="J227" s="4">
        <v>5</v>
      </c>
      <c r="K227" s="5" t="str">
        <f t="shared" si="3"/>
        <v>long</v>
      </c>
    </row>
    <row r="228" spans="1:11" x14ac:dyDescent="0.3">
      <c r="A228" s="3">
        <v>229</v>
      </c>
      <c r="B228" s="4">
        <v>78</v>
      </c>
      <c r="C228" s="4" t="s">
        <v>14</v>
      </c>
      <c r="D228" s="4" t="s">
        <v>21</v>
      </c>
      <c r="E228" s="4" t="s">
        <v>22</v>
      </c>
      <c r="F228" s="4">
        <v>10000</v>
      </c>
      <c r="G228" s="4">
        <v>22</v>
      </c>
      <c r="H228" s="4" t="s">
        <v>12</v>
      </c>
      <c r="I228" s="4" t="s">
        <v>18</v>
      </c>
      <c r="J228" s="4">
        <v>2</v>
      </c>
      <c r="K228" s="5" t="str">
        <f t="shared" si="3"/>
        <v>long</v>
      </c>
    </row>
    <row r="229" spans="1:11" x14ac:dyDescent="0.3">
      <c r="A229" s="3">
        <v>230</v>
      </c>
      <c r="B229" s="4">
        <v>53</v>
      </c>
      <c r="C229" s="4" t="s">
        <v>9</v>
      </c>
      <c r="D229" s="4" t="s">
        <v>23</v>
      </c>
      <c r="E229" s="4" t="s">
        <v>24</v>
      </c>
      <c r="F229" s="4">
        <v>25000</v>
      </c>
      <c r="G229" s="4">
        <v>25</v>
      </c>
      <c r="H229" s="4" t="s">
        <v>17</v>
      </c>
      <c r="I229" s="4" t="s">
        <v>13</v>
      </c>
      <c r="J229" s="4">
        <v>4</v>
      </c>
      <c r="K229" s="5" t="str">
        <f t="shared" si="3"/>
        <v>long</v>
      </c>
    </row>
    <row r="230" spans="1:11" x14ac:dyDescent="0.3">
      <c r="A230" s="3">
        <v>231</v>
      </c>
      <c r="B230" s="4">
        <v>72</v>
      </c>
      <c r="C230" s="4" t="s">
        <v>14</v>
      </c>
      <c r="D230" s="4" t="s">
        <v>25</v>
      </c>
      <c r="E230" s="4" t="s">
        <v>26</v>
      </c>
      <c r="F230" s="4">
        <v>1000</v>
      </c>
      <c r="G230" s="4">
        <v>17</v>
      </c>
      <c r="H230" s="4" t="s">
        <v>12</v>
      </c>
      <c r="I230" s="4" t="s">
        <v>18</v>
      </c>
      <c r="J230" s="4">
        <v>4</v>
      </c>
      <c r="K230" s="5" t="str">
        <f t="shared" si="3"/>
        <v>long</v>
      </c>
    </row>
    <row r="231" spans="1:11" x14ac:dyDescent="0.3">
      <c r="A231" s="3">
        <v>232</v>
      </c>
      <c r="B231" s="4">
        <v>60</v>
      </c>
      <c r="C231" s="4" t="s">
        <v>9</v>
      </c>
      <c r="D231" s="4" t="s">
        <v>27</v>
      </c>
      <c r="E231" s="4" t="s">
        <v>28</v>
      </c>
      <c r="F231" s="4">
        <v>8000</v>
      </c>
      <c r="G231" s="4">
        <v>19</v>
      </c>
      <c r="H231" s="4" t="s">
        <v>17</v>
      </c>
      <c r="I231" s="4" t="s">
        <v>13</v>
      </c>
      <c r="J231" s="4">
        <v>3</v>
      </c>
      <c r="K231" s="5" t="str">
        <f t="shared" si="3"/>
        <v>long</v>
      </c>
    </row>
    <row r="232" spans="1:11" x14ac:dyDescent="0.3">
      <c r="A232" s="3">
        <v>233</v>
      </c>
      <c r="B232" s="4">
        <v>45</v>
      </c>
      <c r="C232" s="4" t="s">
        <v>14</v>
      </c>
      <c r="D232" s="4" t="s">
        <v>29</v>
      </c>
      <c r="E232" s="4" t="s">
        <v>30</v>
      </c>
      <c r="F232" s="4">
        <v>3000</v>
      </c>
      <c r="G232" s="4">
        <v>21</v>
      </c>
      <c r="H232" s="4" t="s">
        <v>12</v>
      </c>
      <c r="I232" s="4" t="s">
        <v>13</v>
      </c>
      <c r="J232" s="4">
        <v>4</v>
      </c>
      <c r="K232" s="5" t="str">
        <f t="shared" si="3"/>
        <v>long</v>
      </c>
    </row>
    <row r="233" spans="1:11" x14ac:dyDescent="0.3">
      <c r="A233" s="3">
        <v>234</v>
      </c>
      <c r="B233" s="4">
        <v>75</v>
      </c>
      <c r="C233" s="4" t="s">
        <v>9</v>
      </c>
      <c r="D233" s="4" t="s">
        <v>31</v>
      </c>
      <c r="E233" s="4" t="s">
        <v>32</v>
      </c>
      <c r="F233" s="4">
        <v>18000</v>
      </c>
      <c r="G233" s="4">
        <v>23</v>
      </c>
      <c r="H233" s="4" t="s">
        <v>17</v>
      </c>
      <c r="I233" s="4" t="s">
        <v>18</v>
      </c>
      <c r="J233" s="4">
        <v>2</v>
      </c>
      <c r="K233" s="5" t="str">
        <f t="shared" si="3"/>
        <v>long</v>
      </c>
    </row>
    <row r="234" spans="1:11" x14ac:dyDescent="0.3">
      <c r="A234" s="3">
        <v>235</v>
      </c>
      <c r="B234" s="4">
        <v>28</v>
      </c>
      <c r="C234" s="4" t="s">
        <v>14</v>
      </c>
      <c r="D234" s="4" t="s">
        <v>33</v>
      </c>
      <c r="E234" s="4" t="s">
        <v>34</v>
      </c>
      <c r="F234" s="4">
        <v>100</v>
      </c>
      <c r="G234" s="4">
        <v>16</v>
      </c>
      <c r="H234" s="4" t="s">
        <v>12</v>
      </c>
      <c r="I234" s="4" t="s">
        <v>13</v>
      </c>
      <c r="J234" s="4">
        <v>5</v>
      </c>
      <c r="K234" s="5" t="str">
        <f t="shared" si="3"/>
        <v>long</v>
      </c>
    </row>
    <row r="235" spans="1:11" x14ac:dyDescent="0.3">
      <c r="A235" s="3">
        <v>236</v>
      </c>
      <c r="B235" s="4">
        <v>52</v>
      </c>
      <c r="C235" s="4" t="s">
        <v>9</v>
      </c>
      <c r="D235" s="4" t="s">
        <v>35</v>
      </c>
      <c r="E235" s="4" t="s">
        <v>36</v>
      </c>
      <c r="F235" s="4">
        <v>800</v>
      </c>
      <c r="G235" s="4">
        <v>17</v>
      </c>
      <c r="H235" s="4" t="s">
        <v>12</v>
      </c>
      <c r="I235" s="4" t="s">
        <v>18</v>
      </c>
      <c r="J235" s="4">
        <v>4</v>
      </c>
      <c r="K235" s="5" t="str">
        <f t="shared" si="3"/>
        <v>long</v>
      </c>
    </row>
    <row r="236" spans="1:11" x14ac:dyDescent="0.3">
      <c r="A236" s="3">
        <v>237</v>
      </c>
      <c r="B236" s="4">
        <v>67</v>
      </c>
      <c r="C236" s="4" t="s">
        <v>14</v>
      </c>
      <c r="D236" s="4" t="s">
        <v>37</v>
      </c>
      <c r="E236" s="4" t="s">
        <v>38</v>
      </c>
      <c r="F236" s="4">
        <v>20000</v>
      </c>
      <c r="G236" s="4">
        <v>24</v>
      </c>
      <c r="H236" s="4" t="s">
        <v>12</v>
      </c>
      <c r="I236" s="4" t="s">
        <v>13</v>
      </c>
      <c r="J236" s="4">
        <v>3</v>
      </c>
      <c r="K236" s="5" t="str">
        <f t="shared" si="3"/>
        <v>long</v>
      </c>
    </row>
    <row r="237" spans="1:11" x14ac:dyDescent="0.3">
      <c r="A237" s="3">
        <v>238</v>
      </c>
      <c r="B237" s="4">
        <v>35</v>
      </c>
      <c r="C237" s="4" t="s">
        <v>9</v>
      </c>
      <c r="D237" s="4" t="s">
        <v>39</v>
      </c>
      <c r="E237" s="4" t="s">
        <v>40</v>
      </c>
      <c r="F237" s="4">
        <v>12000</v>
      </c>
      <c r="G237" s="4">
        <v>18</v>
      </c>
      <c r="H237" s="4" t="s">
        <v>12</v>
      </c>
      <c r="I237" s="4" t="s">
        <v>13</v>
      </c>
      <c r="J237" s="4">
        <v>4</v>
      </c>
      <c r="K237" s="5" t="str">
        <f t="shared" si="3"/>
        <v>long</v>
      </c>
    </row>
    <row r="238" spans="1:11" x14ac:dyDescent="0.3">
      <c r="A238" s="3">
        <v>239</v>
      </c>
      <c r="B238" s="4">
        <v>50</v>
      </c>
      <c r="C238" s="4" t="s">
        <v>14</v>
      </c>
      <c r="D238" s="4" t="s">
        <v>41</v>
      </c>
      <c r="E238" s="4" t="s">
        <v>42</v>
      </c>
      <c r="F238" s="4">
        <v>6000</v>
      </c>
      <c r="G238" s="4">
        <v>19</v>
      </c>
      <c r="H238" s="4" t="s">
        <v>12</v>
      </c>
      <c r="I238" s="4" t="s">
        <v>13</v>
      </c>
      <c r="J238" s="4">
        <v>3</v>
      </c>
      <c r="K238" s="5" t="str">
        <f t="shared" si="3"/>
        <v>long</v>
      </c>
    </row>
    <row r="239" spans="1:11" x14ac:dyDescent="0.3">
      <c r="A239" s="3">
        <v>240</v>
      </c>
      <c r="B239" s="4">
        <v>60</v>
      </c>
      <c r="C239" s="4" t="s">
        <v>9</v>
      </c>
      <c r="D239" s="4" t="s">
        <v>43</v>
      </c>
      <c r="E239" s="4" t="s">
        <v>44</v>
      </c>
      <c r="F239" s="4">
        <v>4000</v>
      </c>
      <c r="G239" s="4">
        <v>20</v>
      </c>
      <c r="H239" s="4" t="s">
        <v>12</v>
      </c>
      <c r="I239" s="4" t="s">
        <v>18</v>
      </c>
      <c r="J239" s="4">
        <v>4</v>
      </c>
      <c r="K239" s="5" t="str">
        <f t="shared" si="3"/>
        <v>long</v>
      </c>
    </row>
    <row r="240" spans="1:11" x14ac:dyDescent="0.3">
      <c r="A240" s="3">
        <v>241</v>
      </c>
      <c r="B240" s="4">
        <v>48</v>
      </c>
      <c r="C240" s="4" t="s">
        <v>9</v>
      </c>
      <c r="D240" s="4" t="s">
        <v>10</v>
      </c>
      <c r="E240" s="4" t="s">
        <v>11</v>
      </c>
      <c r="F240" s="4">
        <v>15000</v>
      </c>
      <c r="G240" s="4">
        <v>21</v>
      </c>
      <c r="H240" s="4" t="s">
        <v>17</v>
      </c>
      <c r="I240" s="4" t="s">
        <v>13</v>
      </c>
      <c r="J240" s="4">
        <v>4</v>
      </c>
      <c r="K240" s="5" t="str">
        <f t="shared" si="3"/>
        <v>long</v>
      </c>
    </row>
    <row r="241" spans="1:11" x14ac:dyDescent="0.3">
      <c r="A241" s="3">
        <v>242</v>
      </c>
      <c r="B241" s="4">
        <v>65</v>
      </c>
      <c r="C241" s="4" t="s">
        <v>14</v>
      </c>
      <c r="D241" s="4" t="s">
        <v>15</v>
      </c>
      <c r="E241" s="4" t="s">
        <v>16</v>
      </c>
      <c r="F241" s="4">
        <v>2000</v>
      </c>
      <c r="G241" s="4">
        <v>19</v>
      </c>
      <c r="H241" s="4" t="s">
        <v>12</v>
      </c>
      <c r="I241" s="4" t="s">
        <v>18</v>
      </c>
      <c r="J241" s="4">
        <v>3</v>
      </c>
      <c r="K241" s="5" t="str">
        <f t="shared" si="3"/>
        <v>long</v>
      </c>
    </row>
    <row r="242" spans="1:11" x14ac:dyDescent="0.3">
      <c r="A242" s="3">
        <v>244</v>
      </c>
      <c r="B242" s="4">
        <v>70</v>
      </c>
      <c r="C242" s="4" t="s">
        <v>14</v>
      </c>
      <c r="D242" s="4" t="s">
        <v>21</v>
      </c>
      <c r="E242" s="4" t="s">
        <v>22</v>
      </c>
      <c r="F242" s="4">
        <v>10000</v>
      </c>
      <c r="G242" s="4">
        <v>23</v>
      </c>
      <c r="H242" s="4" t="s">
        <v>17</v>
      </c>
      <c r="I242" s="4" t="s">
        <v>18</v>
      </c>
      <c r="J242" s="4">
        <v>2</v>
      </c>
      <c r="K242" s="5" t="str">
        <f t="shared" si="3"/>
        <v>long</v>
      </c>
    </row>
    <row r="243" spans="1:11" x14ac:dyDescent="0.3">
      <c r="A243" s="3">
        <v>245</v>
      </c>
      <c r="B243" s="4">
        <v>55</v>
      </c>
      <c r="C243" s="4" t="s">
        <v>9</v>
      </c>
      <c r="D243" s="4" t="s">
        <v>23</v>
      </c>
      <c r="E243" s="4" t="s">
        <v>24</v>
      </c>
      <c r="F243" s="4">
        <v>25000</v>
      </c>
      <c r="G243" s="4">
        <v>26</v>
      </c>
      <c r="H243" s="4" t="s">
        <v>12</v>
      </c>
      <c r="I243" s="4" t="s">
        <v>13</v>
      </c>
      <c r="J243" s="4">
        <v>4</v>
      </c>
      <c r="K243" s="5" t="str">
        <f t="shared" si="3"/>
        <v>long</v>
      </c>
    </row>
    <row r="244" spans="1:11" x14ac:dyDescent="0.3">
      <c r="A244" s="3">
        <v>246</v>
      </c>
      <c r="B244" s="4">
        <v>68</v>
      </c>
      <c r="C244" s="4" t="s">
        <v>14</v>
      </c>
      <c r="D244" s="4" t="s">
        <v>25</v>
      </c>
      <c r="E244" s="4" t="s">
        <v>26</v>
      </c>
      <c r="F244" s="4">
        <v>1000</v>
      </c>
      <c r="G244" s="4">
        <v>18</v>
      </c>
      <c r="H244" s="4" t="s">
        <v>12</v>
      </c>
      <c r="I244" s="4" t="s">
        <v>18</v>
      </c>
      <c r="J244" s="4">
        <v>4</v>
      </c>
      <c r="K244" s="5" t="str">
        <f t="shared" si="3"/>
        <v>long</v>
      </c>
    </row>
    <row r="245" spans="1:11" x14ac:dyDescent="0.3">
      <c r="A245" s="3">
        <v>247</v>
      </c>
      <c r="B245" s="4">
        <v>45</v>
      </c>
      <c r="C245" s="4" t="s">
        <v>9</v>
      </c>
      <c r="D245" s="4" t="s">
        <v>27</v>
      </c>
      <c r="E245" s="4" t="s">
        <v>28</v>
      </c>
      <c r="F245" s="4">
        <v>8000</v>
      </c>
      <c r="G245" s="4">
        <v>20</v>
      </c>
      <c r="H245" s="4" t="s">
        <v>12</v>
      </c>
      <c r="I245" s="4" t="s">
        <v>13</v>
      </c>
      <c r="J245" s="4">
        <v>3</v>
      </c>
      <c r="K245" s="5" t="str">
        <f t="shared" si="3"/>
        <v>long</v>
      </c>
    </row>
    <row r="246" spans="1:11" x14ac:dyDescent="0.3">
      <c r="A246" s="3">
        <v>248</v>
      </c>
      <c r="B246" s="4">
        <v>40</v>
      </c>
      <c r="C246" s="4" t="s">
        <v>14</v>
      </c>
      <c r="D246" s="4" t="s">
        <v>29</v>
      </c>
      <c r="E246" s="4" t="s">
        <v>30</v>
      </c>
      <c r="F246" s="4">
        <v>3000</v>
      </c>
      <c r="G246" s="4">
        <v>22</v>
      </c>
      <c r="H246" s="4" t="s">
        <v>12</v>
      </c>
      <c r="I246" s="4" t="s">
        <v>13</v>
      </c>
      <c r="J246" s="4">
        <v>4</v>
      </c>
      <c r="K246" s="5" t="str">
        <f t="shared" si="3"/>
        <v>long</v>
      </c>
    </row>
    <row r="247" spans="1:11" x14ac:dyDescent="0.3">
      <c r="A247" s="3">
        <v>249</v>
      </c>
      <c r="B247" s="4">
        <v>78</v>
      </c>
      <c r="C247" s="4" t="s">
        <v>9</v>
      </c>
      <c r="D247" s="4" t="s">
        <v>31</v>
      </c>
      <c r="E247" s="4" t="s">
        <v>32</v>
      </c>
      <c r="F247" s="4">
        <v>18000</v>
      </c>
      <c r="G247" s="4">
        <v>24</v>
      </c>
      <c r="H247" s="4" t="s">
        <v>17</v>
      </c>
      <c r="I247" s="4" t="s">
        <v>18</v>
      </c>
      <c r="J247" s="4">
        <v>2</v>
      </c>
      <c r="K247" s="5" t="str">
        <f t="shared" si="3"/>
        <v>long</v>
      </c>
    </row>
    <row r="248" spans="1:11" x14ac:dyDescent="0.3">
      <c r="A248" s="3">
        <v>250</v>
      </c>
      <c r="B248" s="4">
        <v>25</v>
      </c>
      <c r="C248" s="4" t="s">
        <v>14</v>
      </c>
      <c r="D248" s="4" t="s">
        <v>33</v>
      </c>
      <c r="E248" s="4" t="s">
        <v>34</v>
      </c>
      <c r="F248" s="4">
        <v>100</v>
      </c>
      <c r="G248" s="4">
        <v>17</v>
      </c>
      <c r="H248" s="4" t="s">
        <v>12</v>
      </c>
      <c r="I248" s="4" t="s">
        <v>13</v>
      </c>
      <c r="J248" s="4">
        <v>5</v>
      </c>
      <c r="K248" s="5" t="str">
        <f t="shared" si="3"/>
        <v>long</v>
      </c>
    </row>
    <row r="249" spans="1:11" x14ac:dyDescent="0.3">
      <c r="A249" s="3">
        <v>251</v>
      </c>
      <c r="B249" s="4">
        <v>52</v>
      </c>
      <c r="C249" s="4" t="s">
        <v>9</v>
      </c>
      <c r="D249" s="4" t="s">
        <v>35</v>
      </c>
      <c r="E249" s="4" t="s">
        <v>36</v>
      </c>
      <c r="F249" s="4">
        <v>800</v>
      </c>
      <c r="G249" s="4">
        <v>18</v>
      </c>
      <c r="H249" s="4" t="s">
        <v>12</v>
      </c>
      <c r="I249" s="4" t="s">
        <v>18</v>
      </c>
      <c r="J249" s="4">
        <v>4</v>
      </c>
      <c r="K249" s="5" t="str">
        <f t="shared" si="3"/>
        <v>long</v>
      </c>
    </row>
    <row r="250" spans="1:11" x14ac:dyDescent="0.3">
      <c r="A250" s="3">
        <v>252</v>
      </c>
      <c r="B250" s="4">
        <v>58</v>
      </c>
      <c r="C250" s="4" t="s">
        <v>14</v>
      </c>
      <c r="D250" s="4" t="s">
        <v>37</v>
      </c>
      <c r="E250" s="4" t="s">
        <v>38</v>
      </c>
      <c r="F250" s="4">
        <v>20000</v>
      </c>
      <c r="G250" s="4">
        <v>25</v>
      </c>
      <c r="H250" s="4" t="s">
        <v>12</v>
      </c>
      <c r="I250" s="4" t="s">
        <v>13</v>
      </c>
      <c r="J250" s="4">
        <v>3</v>
      </c>
      <c r="K250" s="5" t="str">
        <f t="shared" si="3"/>
        <v>long</v>
      </c>
    </row>
    <row r="251" spans="1:11" x14ac:dyDescent="0.3">
      <c r="A251" s="3">
        <v>253</v>
      </c>
      <c r="B251" s="4">
        <v>32</v>
      </c>
      <c r="C251" s="4" t="s">
        <v>9</v>
      </c>
      <c r="D251" s="4" t="s">
        <v>39</v>
      </c>
      <c r="E251" s="4" t="s">
        <v>40</v>
      </c>
      <c r="F251" s="4">
        <v>12000</v>
      </c>
      <c r="G251" s="4">
        <v>19</v>
      </c>
      <c r="H251" s="4" t="s">
        <v>12</v>
      </c>
      <c r="I251" s="4" t="s">
        <v>13</v>
      </c>
      <c r="J251" s="4">
        <v>4</v>
      </c>
      <c r="K251" s="5" t="str">
        <f t="shared" si="3"/>
        <v>long</v>
      </c>
    </row>
    <row r="252" spans="1:11" x14ac:dyDescent="0.3">
      <c r="A252" s="3">
        <v>254</v>
      </c>
      <c r="B252" s="4">
        <v>55</v>
      </c>
      <c r="C252" s="4" t="s">
        <v>14</v>
      </c>
      <c r="D252" s="4" t="s">
        <v>41</v>
      </c>
      <c r="E252" s="4" t="s">
        <v>42</v>
      </c>
      <c r="F252" s="4">
        <v>6000</v>
      </c>
      <c r="G252" s="4">
        <v>20</v>
      </c>
      <c r="H252" s="4" t="s">
        <v>12</v>
      </c>
      <c r="I252" s="4" t="s">
        <v>13</v>
      </c>
      <c r="J252" s="4">
        <v>3</v>
      </c>
      <c r="K252" s="5" t="str">
        <f t="shared" si="3"/>
        <v>long</v>
      </c>
    </row>
    <row r="253" spans="1:11" x14ac:dyDescent="0.3">
      <c r="A253" s="3">
        <v>255</v>
      </c>
      <c r="B253" s="4">
        <v>65</v>
      </c>
      <c r="C253" s="4" t="s">
        <v>9</v>
      </c>
      <c r="D253" s="4" t="s">
        <v>43</v>
      </c>
      <c r="E253" s="4" t="s">
        <v>44</v>
      </c>
      <c r="F253" s="4">
        <v>4000</v>
      </c>
      <c r="G253" s="4">
        <v>21</v>
      </c>
      <c r="H253" s="4" t="s">
        <v>12</v>
      </c>
      <c r="I253" s="4" t="s">
        <v>18</v>
      </c>
      <c r="J253" s="4">
        <v>4</v>
      </c>
      <c r="K253" s="5" t="str">
        <f t="shared" si="3"/>
        <v>long</v>
      </c>
    </row>
    <row r="254" spans="1:11" x14ac:dyDescent="0.3">
      <c r="A254" s="3">
        <v>256</v>
      </c>
      <c r="B254" s="4">
        <v>55</v>
      </c>
      <c r="C254" s="4" t="s">
        <v>9</v>
      </c>
      <c r="D254" s="4" t="s">
        <v>10</v>
      </c>
      <c r="E254" s="4" t="s">
        <v>11</v>
      </c>
      <c r="F254" s="4">
        <v>15000</v>
      </c>
      <c r="G254" s="4">
        <v>22</v>
      </c>
      <c r="H254" s="4" t="s">
        <v>17</v>
      </c>
      <c r="I254" s="4" t="s">
        <v>13</v>
      </c>
      <c r="J254" s="4">
        <v>3</v>
      </c>
      <c r="K254" s="5" t="str">
        <f t="shared" si="3"/>
        <v>long</v>
      </c>
    </row>
    <row r="255" spans="1:11" x14ac:dyDescent="0.3">
      <c r="A255" s="3">
        <v>257</v>
      </c>
      <c r="B255" s="4">
        <v>62</v>
      </c>
      <c r="C255" s="4" t="s">
        <v>14</v>
      </c>
      <c r="D255" s="4" t="s">
        <v>15</v>
      </c>
      <c r="E255" s="4" t="s">
        <v>16</v>
      </c>
      <c r="F255" s="4">
        <v>2000</v>
      </c>
      <c r="G255" s="4">
        <v>20</v>
      </c>
      <c r="H255" s="4" t="s">
        <v>12</v>
      </c>
      <c r="I255" s="4" t="s">
        <v>18</v>
      </c>
      <c r="J255" s="4">
        <v>4</v>
      </c>
      <c r="K255" s="5" t="str">
        <f t="shared" si="3"/>
        <v>long</v>
      </c>
    </row>
    <row r="256" spans="1:11" x14ac:dyDescent="0.3">
      <c r="A256" s="3">
        <v>258</v>
      </c>
      <c r="B256" s="4">
        <v>35</v>
      </c>
      <c r="C256" s="4" t="s">
        <v>9</v>
      </c>
      <c r="D256" s="4" t="s">
        <v>19</v>
      </c>
      <c r="E256" s="4" t="s">
        <v>20</v>
      </c>
      <c r="F256" s="4">
        <v>500</v>
      </c>
      <c r="G256" s="4">
        <v>18</v>
      </c>
      <c r="H256" s="4" t="s">
        <v>17</v>
      </c>
      <c r="I256" s="4" t="s">
        <v>13</v>
      </c>
      <c r="J256" s="4">
        <v>5</v>
      </c>
      <c r="K256" s="5" t="str">
        <f t="shared" si="3"/>
        <v>long</v>
      </c>
    </row>
    <row r="257" spans="1:11" x14ac:dyDescent="0.3">
      <c r="A257" s="3">
        <v>259</v>
      </c>
      <c r="B257" s="4">
        <v>78</v>
      </c>
      <c r="C257" s="4" t="s">
        <v>14</v>
      </c>
      <c r="D257" s="4" t="s">
        <v>21</v>
      </c>
      <c r="E257" s="4" t="s">
        <v>22</v>
      </c>
      <c r="F257" s="4">
        <v>10000</v>
      </c>
      <c r="G257" s="4">
        <v>24</v>
      </c>
      <c r="H257" s="4" t="s">
        <v>12</v>
      </c>
      <c r="I257" s="4" t="s">
        <v>18</v>
      </c>
      <c r="J257" s="4">
        <v>2</v>
      </c>
      <c r="K257" s="5" t="str">
        <f t="shared" si="3"/>
        <v>long</v>
      </c>
    </row>
    <row r="258" spans="1:11" x14ac:dyDescent="0.3">
      <c r="A258" s="3">
        <v>260</v>
      </c>
      <c r="B258" s="4">
        <v>53</v>
      </c>
      <c r="C258" s="4" t="s">
        <v>9</v>
      </c>
      <c r="D258" s="4" t="s">
        <v>23</v>
      </c>
      <c r="E258" s="4" t="s">
        <v>24</v>
      </c>
      <c r="F258" s="4">
        <v>25000</v>
      </c>
      <c r="G258" s="4">
        <v>27</v>
      </c>
      <c r="H258" s="4" t="s">
        <v>17</v>
      </c>
      <c r="I258" s="4" t="s">
        <v>13</v>
      </c>
      <c r="J258" s="4">
        <v>4</v>
      </c>
      <c r="K258" s="5" t="str">
        <f t="shared" si="3"/>
        <v>long</v>
      </c>
    </row>
    <row r="259" spans="1:11" x14ac:dyDescent="0.3">
      <c r="A259" s="3">
        <v>261</v>
      </c>
      <c r="B259" s="4">
        <v>72</v>
      </c>
      <c r="C259" s="4" t="s">
        <v>14</v>
      </c>
      <c r="D259" s="4" t="s">
        <v>25</v>
      </c>
      <c r="E259" s="4" t="s">
        <v>26</v>
      </c>
      <c r="F259" s="4">
        <v>1000</v>
      </c>
      <c r="G259" s="4">
        <v>19</v>
      </c>
      <c r="H259" s="4" t="s">
        <v>12</v>
      </c>
      <c r="I259" s="4" t="s">
        <v>18</v>
      </c>
      <c r="J259" s="4">
        <v>4</v>
      </c>
      <c r="K259" s="5" t="str">
        <f t="shared" si="3"/>
        <v>long</v>
      </c>
    </row>
    <row r="260" spans="1:11" x14ac:dyDescent="0.3">
      <c r="A260" s="3">
        <v>262</v>
      </c>
      <c r="B260" s="4">
        <v>60</v>
      </c>
      <c r="C260" s="4" t="s">
        <v>9</v>
      </c>
      <c r="D260" s="4" t="s">
        <v>27</v>
      </c>
      <c r="E260" s="4" t="s">
        <v>28</v>
      </c>
      <c r="F260" s="4">
        <v>8000</v>
      </c>
      <c r="G260" s="4">
        <v>21</v>
      </c>
      <c r="H260" s="4" t="s">
        <v>17</v>
      </c>
      <c r="I260" s="4" t="s">
        <v>13</v>
      </c>
      <c r="J260" s="4">
        <v>3</v>
      </c>
      <c r="K260" s="5" t="str">
        <f t="shared" ref="K260:K323" si="4">IF(G260&lt;=3,"short",IF(G260&lt;=7,"medium","long"))</f>
        <v>long</v>
      </c>
    </row>
    <row r="261" spans="1:11" x14ac:dyDescent="0.3">
      <c r="A261" s="3">
        <v>263</v>
      </c>
      <c r="B261" s="4">
        <v>45</v>
      </c>
      <c r="C261" s="4" t="s">
        <v>14</v>
      </c>
      <c r="D261" s="4" t="s">
        <v>29</v>
      </c>
      <c r="E261" s="4" t="s">
        <v>30</v>
      </c>
      <c r="F261" s="4">
        <v>3000</v>
      </c>
      <c r="G261" s="4">
        <v>23</v>
      </c>
      <c r="H261" s="4" t="s">
        <v>12</v>
      </c>
      <c r="I261" s="4" t="s">
        <v>13</v>
      </c>
      <c r="J261" s="4">
        <v>4</v>
      </c>
      <c r="K261" s="5" t="str">
        <f t="shared" si="4"/>
        <v>long</v>
      </c>
    </row>
    <row r="262" spans="1:11" x14ac:dyDescent="0.3">
      <c r="A262" s="3">
        <v>264</v>
      </c>
      <c r="B262" s="4">
        <v>75</v>
      </c>
      <c r="C262" s="4" t="s">
        <v>9</v>
      </c>
      <c r="D262" s="4" t="s">
        <v>31</v>
      </c>
      <c r="E262" s="4" t="s">
        <v>32</v>
      </c>
      <c r="F262" s="4">
        <v>18000</v>
      </c>
      <c r="G262" s="4">
        <v>25</v>
      </c>
      <c r="H262" s="4" t="s">
        <v>17</v>
      </c>
      <c r="I262" s="4" t="s">
        <v>18</v>
      </c>
      <c r="J262" s="4">
        <v>2</v>
      </c>
      <c r="K262" s="5" t="str">
        <f t="shared" si="4"/>
        <v>long</v>
      </c>
    </row>
    <row r="263" spans="1:11" x14ac:dyDescent="0.3">
      <c r="A263" s="3">
        <v>265</v>
      </c>
      <c r="B263" s="4">
        <v>28</v>
      </c>
      <c r="C263" s="4" t="s">
        <v>14</v>
      </c>
      <c r="D263" s="4" t="s">
        <v>33</v>
      </c>
      <c r="E263" s="4" t="s">
        <v>34</v>
      </c>
      <c r="F263" s="4">
        <v>100</v>
      </c>
      <c r="G263" s="4">
        <v>18</v>
      </c>
      <c r="H263" s="4" t="s">
        <v>12</v>
      </c>
      <c r="I263" s="4" t="s">
        <v>13</v>
      </c>
      <c r="J263" s="4">
        <v>5</v>
      </c>
      <c r="K263" s="5" t="str">
        <f t="shared" si="4"/>
        <v>long</v>
      </c>
    </row>
    <row r="264" spans="1:11" x14ac:dyDescent="0.3">
      <c r="A264" s="3">
        <v>266</v>
      </c>
      <c r="B264" s="4">
        <v>52</v>
      </c>
      <c r="C264" s="4" t="s">
        <v>9</v>
      </c>
      <c r="D264" s="4" t="s">
        <v>35</v>
      </c>
      <c r="E264" s="4" t="s">
        <v>36</v>
      </c>
      <c r="F264" s="4">
        <v>800</v>
      </c>
      <c r="G264" s="4">
        <v>19</v>
      </c>
      <c r="H264" s="4" t="s">
        <v>12</v>
      </c>
      <c r="I264" s="4" t="s">
        <v>18</v>
      </c>
      <c r="J264" s="4">
        <v>4</v>
      </c>
      <c r="K264" s="5" t="str">
        <f t="shared" si="4"/>
        <v>long</v>
      </c>
    </row>
    <row r="265" spans="1:11" x14ac:dyDescent="0.3">
      <c r="A265" s="3">
        <v>267</v>
      </c>
      <c r="B265" s="4">
        <v>67</v>
      </c>
      <c r="C265" s="4" t="s">
        <v>14</v>
      </c>
      <c r="D265" s="4" t="s">
        <v>37</v>
      </c>
      <c r="E265" s="4" t="s">
        <v>38</v>
      </c>
      <c r="F265" s="4">
        <v>20000</v>
      </c>
      <c r="G265" s="4">
        <v>26</v>
      </c>
      <c r="H265" s="4" t="s">
        <v>12</v>
      </c>
      <c r="I265" s="4" t="s">
        <v>13</v>
      </c>
      <c r="J265" s="4">
        <v>3</v>
      </c>
      <c r="K265" s="5" t="str">
        <f t="shared" si="4"/>
        <v>long</v>
      </c>
    </row>
    <row r="266" spans="1:11" x14ac:dyDescent="0.3">
      <c r="A266" s="3">
        <v>268</v>
      </c>
      <c r="B266" s="4">
        <v>35</v>
      </c>
      <c r="C266" s="4" t="s">
        <v>9</v>
      </c>
      <c r="D266" s="4" t="s">
        <v>39</v>
      </c>
      <c r="E266" s="4" t="s">
        <v>40</v>
      </c>
      <c r="F266" s="4">
        <v>12000</v>
      </c>
      <c r="G266" s="4">
        <v>20</v>
      </c>
      <c r="H266" s="4" t="s">
        <v>12</v>
      </c>
      <c r="I266" s="4" t="s">
        <v>13</v>
      </c>
      <c r="J266" s="4">
        <v>4</v>
      </c>
      <c r="K266" s="5" t="str">
        <f t="shared" si="4"/>
        <v>long</v>
      </c>
    </row>
    <row r="267" spans="1:11" x14ac:dyDescent="0.3">
      <c r="A267" s="3">
        <v>269</v>
      </c>
      <c r="B267" s="4">
        <v>50</v>
      </c>
      <c r="C267" s="4" t="s">
        <v>14</v>
      </c>
      <c r="D267" s="4" t="s">
        <v>41</v>
      </c>
      <c r="E267" s="4" t="s">
        <v>42</v>
      </c>
      <c r="F267" s="4">
        <v>6000</v>
      </c>
      <c r="G267" s="4">
        <v>21</v>
      </c>
      <c r="H267" s="4" t="s">
        <v>12</v>
      </c>
      <c r="I267" s="4" t="s">
        <v>13</v>
      </c>
      <c r="J267" s="4">
        <v>3</v>
      </c>
      <c r="K267" s="5" t="str">
        <f t="shared" si="4"/>
        <v>long</v>
      </c>
    </row>
    <row r="268" spans="1:11" x14ac:dyDescent="0.3">
      <c r="A268" s="3">
        <v>270</v>
      </c>
      <c r="B268" s="4">
        <v>60</v>
      </c>
      <c r="C268" s="4" t="s">
        <v>9</v>
      </c>
      <c r="D268" s="4" t="s">
        <v>43</v>
      </c>
      <c r="E268" s="4" t="s">
        <v>44</v>
      </c>
      <c r="F268" s="4">
        <v>4000</v>
      </c>
      <c r="G268" s="4">
        <v>22</v>
      </c>
      <c r="H268" s="4" t="s">
        <v>12</v>
      </c>
      <c r="I268" s="4" t="s">
        <v>18</v>
      </c>
      <c r="J268" s="4">
        <v>4</v>
      </c>
      <c r="K268" s="5" t="str">
        <f t="shared" si="4"/>
        <v>long</v>
      </c>
    </row>
    <row r="269" spans="1:11" x14ac:dyDescent="0.3">
      <c r="A269" s="3">
        <v>271</v>
      </c>
      <c r="B269" s="4">
        <v>48</v>
      </c>
      <c r="C269" s="4" t="s">
        <v>9</v>
      </c>
      <c r="D269" s="4" t="s">
        <v>10</v>
      </c>
      <c r="E269" s="4" t="s">
        <v>11</v>
      </c>
      <c r="F269" s="4">
        <v>15000</v>
      </c>
      <c r="G269" s="4">
        <v>23</v>
      </c>
      <c r="H269" s="4" t="s">
        <v>17</v>
      </c>
      <c r="I269" s="4" t="s">
        <v>13</v>
      </c>
      <c r="J269" s="4">
        <v>4</v>
      </c>
      <c r="K269" s="5" t="str">
        <f t="shared" si="4"/>
        <v>long</v>
      </c>
    </row>
    <row r="270" spans="1:11" x14ac:dyDescent="0.3">
      <c r="A270" s="3">
        <v>272</v>
      </c>
      <c r="B270" s="4">
        <v>65</v>
      </c>
      <c r="C270" s="4" t="s">
        <v>14</v>
      </c>
      <c r="D270" s="4" t="s">
        <v>15</v>
      </c>
      <c r="E270" s="4" t="s">
        <v>16</v>
      </c>
      <c r="F270" s="4">
        <v>2000</v>
      </c>
      <c r="G270" s="4">
        <v>21</v>
      </c>
      <c r="H270" s="4" t="s">
        <v>12</v>
      </c>
      <c r="I270" s="4" t="s">
        <v>18</v>
      </c>
      <c r="J270" s="4">
        <v>3</v>
      </c>
      <c r="K270" s="5" t="str">
        <f t="shared" si="4"/>
        <v>long</v>
      </c>
    </row>
    <row r="271" spans="1:11" x14ac:dyDescent="0.3">
      <c r="A271" s="3">
        <v>273</v>
      </c>
      <c r="B271" s="4">
        <v>30</v>
      </c>
      <c r="C271" s="4" t="s">
        <v>9</v>
      </c>
      <c r="D271" s="4" t="s">
        <v>19</v>
      </c>
      <c r="E271" s="4" t="s">
        <v>20</v>
      </c>
      <c r="F271" s="4">
        <v>500</v>
      </c>
      <c r="G271" s="4">
        <v>19</v>
      </c>
      <c r="H271" s="4" t="s">
        <v>12</v>
      </c>
      <c r="I271" s="4" t="s">
        <v>13</v>
      </c>
      <c r="J271" s="4">
        <v>5</v>
      </c>
      <c r="K271" s="5" t="str">
        <f t="shared" si="4"/>
        <v>long</v>
      </c>
    </row>
    <row r="272" spans="1:11" x14ac:dyDescent="0.3">
      <c r="A272" s="3">
        <v>274</v>
      </c>
      <c r="B272" s="4">
        <v>70</v>
      </c>
      <c r="C272" s="4" t="s">
        <v>14</v>
      </c>
      <c r="D272" s="4" t="s">
        <v>21</v>
      </c>
      <c r="E272" s="4" t="s">
        <v>22</v>
      </c>
      <c r="F272" s="4">
        <v>10000</v>
      </c>
      <c r="G272" s="4">
        <v>25</v>
      </c>
      <c r="H272" s="4" t="s">
        <v>17</v>
      </c>
      <c r="I272" s="4" t="s">
        <v>18</v>
      </c>
      <c r="J272" s="4">
        <v>2</v>
      </c>
      <c r="K272" s="5" t="str">
        <f t="shared" si="4"/>
        <v>long</v>
      </c>
    </row>
    <row r="273" spans="1:11" x14ac:dyDescent="0.3">
      <c r="A273" s="3">
        <v>275</v>
      </c>
      <c r="B273" s="4">
        <v>55</v>
      </c>
      <c r="C273" s="4" t="s">
        <v>9</v>
      </c>
      <c r="D273" s="4" t="s">
        <v>23</v>
      </c>
      <c r="E273" s="4" t="s">
        <v>24</v>
      </c>
      <c r="F273" s="4">
        <v>25000</v>
      </c>
      <c r="G273" s="4">
        <v>28</v>
      </c>
      <c r="H273" s="4" t="s">
        <v>12</v>
      </c>
      <c r="I273" s="4" t="s">
        <v>13</v>
      </c>
      <c r="J273" s="4">
        <v>4</v>
      </c>
      <c r="K273" s="5" t="str">
        <f t="shared" si="4"/>
        <v>long</v>
      </c>
    </row>
    <row r="274" spans="1:11" x14ac:dyDescent="0.3">
      <c r="A274" s="3">
        <v>276</v>
      </c>
      <c r="B274" s="4">
        <v>68</v>
      </c>
      <c r="C274" s="4" t="s">
        <v>14</v>
      </c>
      <c r="D274" s="4" t="s">
        <v>25</v>
      </c>
      <c r="E274" s="4" t="s">
        <v>26</v>
      </c>
      <c r="F274" s="4">
        <v>1000</v>
      </c>
      <c r="G274" s="4">
        <v>20</v>
      </c>
      <c r="H274" s="4" t="s">
        <v>12</v>
      </c>
      <c r="I274" s="4" t="s">
        <v>18</v>
      </c>
      <c r="J274" s="4">
        <v>4</v>
      </c>
      <c r="K274" s="5" t="str">
        <f t="shared" si="4"/>
        <v>long</v>
      </c>
    </row>
    <row r="275" spans="1:11" x14ac:dyDescent="0.3">
      <c r="A275" s="3">
        <v>277</v>
      </c>
      <c r="B275" s="4">
        <v>45</v>
      </c>
      <c r="C275" s="4" t="s">
        <v>9</v>
      </c>
      <c r="D275" s="4" t="s">
        <v>27</v>
      </c>
      <c r="E275" s="4" t="s">
        <v>28</v>
      </c>
      <c r="F275" s="4">
        <v>8000</v>
      </c>
      <c r="G275" s="4">
        <v>22</v>
      </c>
      <c r="H275" s="4" t="s">
        <v>12</v>
      </c>
      <c r="I275" s="4" t="s">
        <v>13</v>
      </c>
      <c r="J275" s="4">
        <v>3</v>
      </c>
      <c r="K275" s="5" t="str">
        <f t="shared" si="4"/>
        <v>long</v>
      </c>
    </row>
    <row r="276" spans="1:11" x14ac:dyDescent="0.3">
      <c r="A276" s="3">
        <v>278</v>
      </c>
      <c r="B276" s="4">
        <v>40</v>
      </c>
      <c r="C276" s="4" t="s">
        <v>14</v>
      </c>
      <c r="D276" s="4" t="s">
        <v>29</v>
      </c>
      <c r="E276" s="4" t="s">
        <v>30</v>
      </c>
      <c r="F276" s="4">
        <v>3000</v>
      </c>
      <c r="G276" s="4">
        <v>24</v>
      </c>
      <c r="H276" s="4" t="s">
        <v>12</v>
      </c>
      <c r="I276" s="4" t="s">
        <v>13</v>
      </c>
      <c r="J276" s="4">
        <v>4</v>
      </c>
      <c r="K276" s="5" t="str">
        <f t="shared" si="4"/>
        <v>long</v>
      </c>
    </row>
    <row r="277" spans="1:11" x14ac:dyDescent="0.3">
      <c r="A277" s="3">
        <v>279</v>
      </c>
      <c r="B277" s="4">
        <v>78</v>
      </c>
      <c r="C277" s="4" t="s">
        <v>9</v>
      </c>
      <c r="D277" s="4" t="s">
        <v>31</v>
      </c>
      <c r="E277" s="4" t="s">
        <v>32</v>
      </c>
      <c r="F277" s="4">
        <v>18000</v>
      </c>
      <c r="G277" s="4">
        <v>26</v>
      </c>
      <c r="H277" s="4" t="s">
        <v>17</v>
      </c>
      <c r="I277" s="4" t="s">
        <v>18</v>
      </c>
      <c r="J277" s="4">
        <v>2</v>
      </c>
      <c r="K277" s="5" t="str">
        <f t="shared" si="4"/>
        <v>long</v>
      </c>
    </row>
    <row r="278" spans="1:11" x14ac:dyDescent="0.3">
      <c r="A278" s="3">
        <v>280</v>
      </c>
      <c r="B278" s="4">
        <v>25</v>
      </c>
      <c r="C278" s="4" t="s">
        <v>14</v>
      </c>
      <c r="D278" s="4" t="s">
        <v>33</v>
      </c>
      <c r="E278" s="4" t="s">
        <v>34</v>
      </c>
      <c r="F278" s="4">
        <v>100</v>
      </c>
      <c r="G278" s="4">
        <v>19</v>
      </c>
      <c r="H278" s="4" t="s">
        <v>12</v>
      </c>
      <c r="I278" s="4" t="s">
        <v>13</v>
      </c>
      <c r="J278" s="4">
        <v>5</v>
      </c>
      <c r="K278" s="5" t="str">
        <f t="shared" si="4"/>
        <v>long</v>
      </c>
    </row>
    <row r="279" spans="1:11" x14ac:dyDescent="0.3">
      <c r="A279" s="3">
        <v>281</v>
      </c>
      <c r="B279" s="4">
        <v>52</v>
      </c>
      <c r="C279" s="4" t="s">
        <v>9</v>
      </c>
      <c r="D279" s="4" t="s">
        <v>35</v>
      </c>
      <c r="E279" s="4" t="s">
        <v>36</v>
      </c>
      <c r="F279" s="4">
        <v>800</v>
      </c>
      <c r="G279" s="4">
        <v>20</v>
      </c>
      <c r="H279" s="4" t="s">
        <v>12</v>
      </c>
      <c r="I279" s="4" t="s">
        <v>18</v>
      </c>
      <c r="J279" s="4">
        <v>4</v>
      </c>
      <c r="K279" s="5" t="str">
        <f t="shared" si="4"/>
        <v>long</v>
      </c>
    </row>
    <row r="280" spans="1:11" x14ac:dyDescent="0.3">
      <c r="A280" s="3">
        <v>282</v>
      </c>
      <c r="B280" s="4">
        <v>58</v>
      </c>
      <c r="C280" s="4" t="s">
        <v>14</v>
      </c>
      <c r="D280" s="4" t="s">
        <v>37</v>
      </c>
      <c r="E280" s="4" t="s">
        <v>38</v>
      </c>
      <c r="F280" s="4">
        <v>20000</v>
      </c>
      <c r="G280" s="4">
        <v>27</v>
      </c>
      <c r="H280" s="4" t="s">
        <v>12</v>
      </c>
      <c r="I280" s="4" t="s">
        <v>13</v>
      </c>
      <c r="J280" s="4">
        <v>3</v>
      </c>
      <c r="K280" s="5" t="str">
        <f t="shared" si="4"/>
        <v>long</v>
      </c>
    </row>
    <row r="281" spans="1:11" x14ac:dyDescent="0.3">
      <c r="A281" s="3">
        <v>283</v>
      </c>
      <c r="B281" s="4">
        <v>32</v>
      </c>
      <c r="C281" s="4" t="s">
        <v>9</v>
      </c>
      <c r="D281" s="4" t="s">
        <v>39</v>
      </c>
      <c r="E281" s="4" t="s">
        <v>40</v>
      </c>
      <c r="F281" s="4">
        <v>12000</v>
      </c>
      <c r="G281" s="4">
        <v>21</v>
      </c>
      <c r="H281" s="4" t="s">
        <v>12</v>
      </c>
      <c r="I281" s="4" t="s">
        <v>13</v>
      </c>
      <c r="J281" s="4">
        <v>4</v>
      </c>
      <c r="K281" s="5" t="str">
        <f t="shared" si="4"/>
        <v>long</v>
      </c>
    </row>
    <row r="282" spans="1:11" x14ac:dyDescent="0.3">
      <c r="A282" s="3">
        <v>284</v>
      </c>
      <c r="B282" s="4">
        <v>55</v>
      </c>
      <c r="C282" s="4" t="s">
        <v>14</v>
      </c>
      <c r="D282" s="4" t="s">
        <v>41</v>
      </c>
      <c r="E282" s="4" t="s">
        <v>42</v>
      </c>
      <c r="F282" s="4">
        <v>6000</v>
      </c>
      <c r="G282" s="4">
        <v>22</v>
      </c>
      <c r="H282" s="4" t="s">
        <v>12</v>
      </c>
      <c r="I282" s="4" t="s">
        <v>13</v>
      </c>
      <c r="J282" s="4">
        <v>3</v>
      </c>
      <c r="K282" s="5" t="str">
        <f t="shared" si="4"/>
        <v>long</v>
      </c>
    </row>
    <row r="283" spans="1:11" x14ac:dyDescent="0.3">
      <c r="A283" s="3">
        <v>285</v>
      </c>
      <c r="B283" s="4">
        <v>65</v>
      </c>
      <c r="C283" s="4" t="s">
        <v>9</v>
      </c>
      <c r="D283" s="4" t="s">
        <v>43</v>
      </c>
      <c r="E283" s="4" t="s">
        <v>44</v>
      </c>
      <c r="F283" s="4">
        <v>4000</v>
      </c>
      <c r="G283" s="4">
        <v>23</v>
      </c>
      <c r="H283" s="4" t="s">
        <v>12</v>
      </c>
      <c r="I283" s="4" t="s">
        <v>18</v>
      </c>
      <c r="J283" s="4">
        <v>4</v>
      </c>
      <c r="K283" s="5" t="str">
        <f t="shared" si="4"/>
        <v>long</v>
      </c>
    </row>
    <row r="284" spans="1:11" x14ac:dyDescent="0.3">
      <c r="A284" s="3">
        <v>286</v>
      </c>
      <c r="B284" s="4">
        <v>55</v>
      </c>
      <c r="C284" s="4" t="s">
        <v>9</v>
      </c>
      <c r="D284" s="4" t="s">
        <v>10</v>
      </c>
      <c r="E284" s="4" t="s">
        <v>11</v>
      </c>
      <c r="F284" s="4">
        <v>15000</v>
      </c>
      <c r="G284" s="4">
        <v>24</v>
      </c>
      <c r="H284" s="4" t="s">
        <v>17</v>
      </c>
      <c r="I284" s="4" t="s">
        <v>13</v>
      </c>
      <c r="J284" s="4">
        <v>3</v>
      </c>
      <c r="K284" s="5" t="str">
        <f t="shared" si="4"/>
        <v>long</v>
      </c>
    </row>
    <row r="285" spans="1:11" x14ac:dyDescent="0.3">
      <c r="A285" s="3">
        <v>287</v>
      </c>
      <c r="B285" s="4">
        <v>62</v>
      </c>
      <c r="C285" s="4" t="s">
        <v>14</v>
      </c>
      <c r="D285" s="4" t="s">
        <v>15</v>
      </c>
      <c r="E285" s="4" t="s">
        <v>16</v>
      </c>
      <c r="F285" s="4">
        <v>2000</v>
      </c>
      <c r="G285" s="4">
        <v>22</v>
      </c>
      <c r="H285" s="4" t="s">
        <v>12</v>
      </c>
      <c r="I285" s="4" t="s">
        <v>18</v>
      </c>
      <c r="J285" s="4">
        <v>4</v>
      </c>
      <c r="K285" s="5" t="str">
        <f t="shared" si="4"/>
        <v>long</v>
      </c>
    </row>
    <row r="286" spans="1:11" x14ac:dyDescent="0.3">
      <c r="A286" s="3">
        <v>288</v>
      </c>
      <c r="B286" s="4">
        <v>35</v>
      </c>
      <c r="C286" s="4" t="s">
        <v>9</v>
      </c>
      <c r="D286" s="4" t="s">
        <v>19</v>
      </c>
      <c r="E286" s="4" t="s">
        <v>20</v>
      </c>
      <c r="F286" s="4">
        <v>500</v>
      </c>
      <c r="G286" s="4">
        <v>20</v>
      </c>
      <c r="H286" s="4" t="s">
        <v>17</v>
      </c>
      <c r="I286" s="4" t="s">
        <v>13</v>
      </c>
      <c r="J286" s="4">
        <v>5</v>
      </c>
      <c r="K286" s="5" t="str">
        <f t="shared" si="4"/>
        <v>long</v>
      </c>
    </row>
    <row r="287" spans="1:11" x14ac:dyDescent="0.3">
      <c r="A287" s="3">
        <v>289</v>
      </c>
      <c r="B287" s="4">
        <v>78</v>
      </c>
      <c r="C287" s="4" t="s">
        <v>14</v>
      </c>
      <c r="D287" s="4" t="s">
        <v>21</v>
      </c>
      <c r="E287" s="4" t="s">
        <v>22</v>
      </c>
      <c r="F287" s="4">
        <v>10000</v>
      </c>
      <c r="G287" s="4">
        <v>26</v>
      </c>
      <c r="H287" s="4" t="s">
        <v>12</v>
      </c>
      <c r="I287" s="4" t="s">
        <v>18</v>
      </c>
      <c r="J287" s="4">
        <v>2</v>
      </c>
      <c r="K287" s="5" t="str">
        <f t="shared" si="4"/>
        <v>long</v>
      </c>
    </row>
    <row r="288" spans="1:11" x14ac:dyDescent="0.3">
      <c r="A288" s="3">
        <v>290</v>
      </c>
      <c r="B288" s="4">
        <v>53</v>
      </c>
      <c r="C288" s="4" t="s">
        <v>9</v>
      </c>
      <c r="D288" s="4" t="s">
        <v>23</v>
      </c>
      <c r="E288" s="4" t="s">
        <v>24</v>
      </c>
      <c r="F288" s="4">
        <v>25000</v>
      </c>
      <c r="G288" s="4">
        <v>29</v>
      </c>
      <c r="H288" s="4" t="s">
        <v>17</v>
      </c>
      <c r="I288" s="4" t="s">
        <v>13</v>
      </c>
      <c r="J288" s="4">
        <v>4</v>
      </c>
      <c r="K288" s="5" t="str">
        <f t="shared" si="4"/>
        <v>long</v>
      </c>
    </row>
    <row r="289" spans="1:11" x14ac:dyDescent="0.3">
      <c r="A289" s="3">
        <v>291</v>
      </c>
      <c r="B289" s="4">
        <v>72</v>
      </c>
      <c r="C289" s="4" t="s">
        <v>14</v>
      </c>
      <c r="D289" s="4" t="s">
        <v>25</v>
      </c>
      <c r="E289" s="4" t="s">
        <v>26</v>
      </c>
      <c r="F289" s="4">
        <v>1000</v>
      </c>
      <c r="G289" s="4">
        <v>21</v>
      </c>
      <c r="H289" s="4" t="s">
        <v>12</v>
      </c>
      <c r="I289" s="4" t="s">
        <v>18</v>
      </c>
      <c r="J289" s="4">
        <v>4</v>
      </c>
      <c r="K289" s="5" t="str">
        <f t="shared" si="4"/>
        <v>long</v>
      </c>
    </row>
    <row r="290" spans="1:11" x14ac:dyDescent="0.3">
      <c r="A290" s="3">
        <v>292</v>
      </c>
      <c r="B290" s="4">
        <v>60</v>
      </c>
      <c r="C290" s="4" t="s">
        <v>9</v>
      </c>
      <c r="D290" s="4" t="s">
        <v>27</v>
      </c>
      <c r="E290" s="4" t="s">
        <v>28</v>
      </c>
      <c r="F290" s="4">
        <v>8000</v>
      </c>
      <c r="G290" s="4">
        <v>23</v>
      </c>
      <c r="H290" s="4" t="s">
        <v>17</v>
      </c>
      <c r="I290" s="4" t="s">
        <v>13</v>
      </c>
      <c r="J290" s="4">
        <v>3</v>
      </c>
      <c r="K290" s="5" t="str">
        <f t="shared" si="4"/>
        <v>long</v>
      </c>
    </row>
    <row r="291" spans="1:11" x14ac:dyDescent="0.3">
      <c r="A291" s="3">
        <v>293</v>
      </c>
      <c r="B291" s="4">
        <v>45</v>
      </c>
      <c r="C291" s="4" t="s">
        <v>14</v>
      </c>
      <c r="D291" s="4" t="s">
        <v>29</v>
      </c>
      <c r="E291" s="4" t="s">
        <v>30</v>
      </c>
      <c r="F291" s="4">
        <v>3000</v>
      </c>
      <c r="G291" s="4">
        <v>25</v>
      </c>
      <c r="H291" s="4" t="s">
        <v>12</v>
      </c>
      <c r="I291" s="4" t="s">
        <v>13</v>
      </c>
      <c r="J291" s="4">
        <v>4</v>
      </c>
      <c r="K291" s="5" t="str">
        <f t="shared" si="4"/>
        <v>long</v>
      </c>
    </row>
    <row r="292" spans="1:11" x14ac:dyDescent="0.3">
      <c r="A292" s="3">
        <v>294</v>
      </c>
      <c r="B292" s="4">
        <v>75</v>
      </c>
      <c r="C292" s="4" t="s">
        <v>9</v>
      </c>
      <c r="D292" s="4" t="s">
        <v>31</v>
      </c>
      <c r="E292" s="4" t="s">
        <v>32</v>
      </c>
      <c r="F292" s="4">
        <v>18000</v>
      </c>
      <c r="G292" s="4">
        <v>27</v>
      </c>
      <c r="H292" s="4" t="s">
        <v>17</v>
      </c>
      <c r="I292" s="4" t="s">
        <v>18</v>
      </c>
      <c r="J292" s="4">
        <v>2</v>
      </c>
      <c r="K292" s="5" t="str">
        <f t="shared" si="4"/>
        <v>long</v>
      </c>
    </row>
    <row r="293" spans="1:11" x14ac:dyDescent="0.3">
      <c r="A293" s="3">
        <v>296</v>
      </c>
      <c r="B293" s="4">
        <v>52</v>
      </c>
      <c r="C293" s="4" t="s">
        <v>9</v>
      </c>
      <c r="D293" s="4" t="s">
        <v>35</v>
      </c>
      <c r="E293" s="4" t="s">
        <v>36</v>
      </c>
      <c r="F293" s="4">
        <v>800</v>
      </c>
      <c r="G293" s="4">
        <v>21</v>
      </c>
      <c r="H293" s="4" t="s">
        <v>12</v>
      </c>
      <c r="I293" s="4" t="s">
        <v>18</v>
      </c>
      <c r="J293" s="4">
        <v>4</v>
      </c>
      <c r="K293" s="5" t="str">
        <f t="shared" si="4"/>
        <v>long</v>
      </c>
    </row>
    <row r="294" spans="1:11" x14ac:dyDescent="0.3">
      <c r="A294" s="3">
        <v>297</v>
      </c>
      <c r="B294" s="4">
        <v>67</v>
      </c>
      <c r="C294" s="4" t="s">
        <v>14</v>
      </c>
      <c r="D294" s="4" t="s">
        <v>37</v>
      </c>
      <c r="E294" s="4" t="s">
        <v>38</v>
      </c>
      <c r="F294" s="4">
        <v>20000</v>
      </c>
      <c r="G294" s="4">
        <v>28</v>
      </c>
      <c r="H294" s="4" t="s">
        <v>12</v>
      </c>
      <c r="I294" s="4" t="s">
        <v>13</v>
      </c>
      <c r="J294" s="4">
        <v>3</v>
      </c>
      <c r="K294" s="5" t="str">
        <f t="shared" si="4"/>
        <v>long</v>
      </c>
    </row>
    <row r="295" spans="1:11" x14ac:dyDescent="0.3">
      <c r="A295" s="3">
        <v>298</v>
      </c>
      <c r="B295" s="4">
        <v>35</v>
      </c>
      <c r="C295" s="4" t="s">
        <v>9</v>
      </c>
      <c r="D295" s="4" t="s">
        <v>39</v>
      </c>
      <c r="E295" s="4" t="s">
        <v>40</v>
      </c>
      <c r="F295" s="4">
        <v>12000</v>
      </c>
      <c r="G295" s="4">
        <v>22</v>
      </c>
      <c r="H295" s="4" t="s">
        <v>12</v>
      </c>
      <c r="I295" s="4" t="s">
        <v>13</v>
      </c>
      <c r="J295" s="4">
        <v>4</v>
      </c>
      <c r="K295" s="5" t="str">
        <f t="shared" si="4"/>
        <v>long</v>
      </c>
    </row>
    <row r="296" spans="1:11" x14ac:dyDescent="0.3">
      <c r="A296" s="3">
        <v>299</v>
      </c>
      <c r="B296" s="4">
        <v>50</v>
      </c>
      <c r="C296" s="4" t="s">
        <v>14</v>
      </c>
      <c r="D296" s="4" t="s">
        <v>41</v>
      </c>
      <c r="E296" s="4" t="s">
        <v>42</v>
      </c>
      <c r="F296" s="4">
        <v>6000</v>
      </c>
      <c r="G296" s="4">
        <v>23</v>
      </c>
      <c r="H296" s="4" t="s">
        <v>12</v>
      </c>
      <c r="I296" s="4" t="s">
        <v>13</v>
      </c>
      <c r="J296" s="4">
        <v>3</v>
      </c>
      <c r="K296" s="5" t="str">
        <f t="shared" si="4"/>
        <v>long</v>
      </c>
    </row>
    <row r="297" spans="1:11" x14ac:dyDescent="0.3">
      <c r="A297" s="3">
        <v>300</v>
      </c>
      <c r="B297" s="4">
        <v>60</v>
      </c>
      <c r="C297" s="4" t="s">
        <v>9</v>
      </c>
      <c r="D297" s="4" t="s">
        <v>43</v>
      </c>
      <c r="E297" s="4" t="s">
        <v>44</v>
      </c>
      <c r="F297" s="4">
        <v>4000</v>
      </c>
      <c r="G297" s="4">
        <v>24</v>
      </c>
      <c r="H297" s="4" t="s">
        <v>12</v>
      </c>
      <c r="I297" s="4" t="s">
        <v>18</v>
      </c>
      <c r="J297" s="4">
        <v>4</v>
      </c>
      <c r="K297" s="5" t="str">
        <f t="shared" si="4"/>
        <v>long</v>
      </c>
    </row>
    <row r="298" spans="1:11" x14ac:dyDescent="0.3">
      <c r="A298" s="3">
        <v>301</v>
      </c>
      <c r="B298" s="4">
        <v>48</v>
      </c>
      <c r="C298" s="4" t="s">
        <v>9</v>
      </c>
      <c r="D298" s="4" t="s">
        <v>10</v>
      </c>
      <c r="E298" s="4" t="s">
        <v>11</v>
      </c>
      <c r="F298" s="4">
        <v>15000</v>
      </c>
      <c r="G298" s="4">
        <v>25</v>
      </c>
      <c r="H298" s="4" t="s">
        <v>17</v>
      </c>
      <c r="I298" s="4" t="s">
        <v>13</v>
      </c>
      <c r="J298" s="4">
        <v>4</v>
      </c>
      <c r="K298" s="5" t="str">
        <f t="shared" si="4"/>
        <v>long</v>
      </c>
    </row>
    <row r="299" spans="1:11" x14ac:dyDescent="0.3">
      <c r="A299" s="3">
        <v>302</v>
      </c>
      <c r="B299" s="4">
        <v>65</v>
      </c>
      <c r="C299" s="4" t="s">
        <v>14</v>
      </c>
      <c r="D299" s="4" t="s">
        <v>15</v>
      </c>
      <c r="E299" s="4" t="s">
        <v>16</v>
      </c>
      <c r="F299" s="4">
        <v>2000</v>
      </c>
      <c r="G299" s="4">
        <v>23</v>
      </c>
      <c r="H299" s="4" t="s">
        <v>12</v>
      </c>
      <c r="I299" s="4" t="s">
        <v>18</v>
      </c>
      <c r="J299" s="4">
        <v>3</v>
      </c>
      <c r="K299" s="5" t="str">
        <f t="shared" si="4"/>
        <v>long</v>
      </c>
    </row>
    <row r="300" spans="1:11" x14ac:dyDescent="0.3">
      <c r="A300" s="3">
        <v>303</v>
      </c>
      <c r="B300" s="4">
        <v>30</v>
      </c>
      <c r="C300" s="4" t="s">
        <v>9</v>
      </c>
      <c r="D300" s="4" t="s">
        <v>19</v>
      </c>
      <c r="E300" s="4" t="s">
        <v>20</v>
      </c>
      <c r="F300" s="4">
        <v>500</v>
      </c>
      <c r="G300" s="4">
        <v>21</v>
      </c>
      <c r="H300" s="4" t="s">
        <v>12</v>
      </c>
      <c r="I300" s="4" t="s">
        <v>13</v>
      </c>
      <c r="J300" s="4">
        <v>5</v>
      </c>
      <c r="K300" s="5" t="str">
        <f t="shared" si="4"/>
        <v>long</v>
      </c>
    </row>
    <row r="301" spans="1:11" x14ac:dyDescent="0.3">
      <c r="A301" s="3">
        <v>304</v>
      </c>
      <c r="B301" s="4">
        <v>70</v>
      </c>
      <c r="C301" s="4" t="s">
        <v>14</v>
      </c>
      <c r="D301" s="4" t="s">
        <v>21</v>
      </c>
      <c r="E301" s="4" t="s">
        <v>22</v>
      </c>
      <c r="F301" s="4">
        <v>10000</v>
      </c>
      <c r="G301" s="4">
        <v>27</v>
      </c>
      <c r="H301" s="4" t="s">
        <v>17</v>
      </c>
      <c r="I301" s="4" t="s">
        <v>18</v>
      </c>
      <c r="J301" s="4">
        <v>2</v>
      </c>
      <c r="K301" s="5" t="str">
        <f t="shared" si="4"/>
        <v>long</v>
      </c>
    </row>
    <row r="302" spans="1:11" x14ac:dyDescent="0.3">
      <c r="A302" s="3">
        <v>305</v>
      </c>
      <c r="B302" s="4">
        <v>55</v>
      </c>
      <c r="C302" s="4" t="s">
        <v>9</v>
      </c>
      <c r="D302" s="4" t="s">
        <v>23</v>
      </c>
      <c r="E302" s="4" t="s">
        <v>24</v>
      </c>
      <c r="F302" s="4">
        <v>25000</v>
      </c>
      <c r="G302" s="4">
        <v>30</v>
      </c>
      <c r="H302" s="4" t="s">
        <v>12</v>
      </c>
      <c r="I302" s="4" t="s">
        <v>13</v>
      </c>
      <c r="J302" s="4">
        <v>4</v>
      </c>
      <c r="K302" s="5" t="str">
        <f t="shared" si="4"/>
        <v>long</v>
      </c>
    </row>
    <row r="303" spans="1:11" x14ac:dyDescent="0.3">
      <c r="A303" s="3">
        <v>306</v>
      </c>
      <c r="B303" s="4">
        <v>68</v>
      </c>
      <c r="C303" s="4" t="s">
        <v>14</v>
      </c>
      <c r="D303" s="4" t="s">
        <v>25</v>
      </c>
      <c r="E303" s="4" t="s">
        <v>26</v>
      </c>
      <c r="F303" s="4">
        <v>1000</v>
      </c>
      <c r="G303" s="4">
        <v>22</v>
      </c>
      <c r="H303" s="4" t="s">
        <v>12</v>
      </c>
      <c r="I303" s="4" t="s">
        <v>18</v>
      </c>
      <c r="J303" s="4">
        <v>4</v>
      </c>
      <c r="K303" s="5" t="str">
        <f t="shared" si="4"/>
        <v>long</v>
      </c>
    </row>
    <row r="304" spans="1:11" x14ac:dyDescent="0.3">
      <c r="A304" s="3">
        <v>307</v>
      </c>
      <c r="B304" s="4">
        <v>45</v>
      </c>
      <c r="C304" s="4" t="s">
        <v>9</v>
      </c>
      <c r="D304" s="4" t="s">
        <v>27</v>
      </c>
      <c r="E304" s="4" t="s">
        <v>28</v>
      </c>
      <c r="F304" s="4">
        <v>8000</v>
      </c>
      <c r="G304" s="4">
        <v>24</v>
      </c>
      <c r="H304" s="4" t="s">
        <v>12</v>
      </c>
      <c r="I304" s="4" t="s">
        <v>13</v>
      </c>
      <c r="J304" s="4">
        <v>3</v>
      </c>
      <c r="K304" s="5" t="str">
        <f t="shared" si="4"/>
        <v>long</v>
      </c>
    </row>
    <row r="305" spans="1:11" x14ac:dyDescent="0.3">
      <c r="A305" s="3">
        <v>308</v>
      </c>
      <c r="B305" s="4">
        <v>40</v>
      </c>
      <c r="C305" s="4" t="s">
        <v>14</v>
      </c>
      <c r="D305" s="4" t="s">
        <v>29</v>
      </c>
      <c r="E305" s="4" t="s">
        <v>30</v>
      </c>
      <c r="F305" s="4">
        <v>3000</v>
      </c>
      <c r="G305" s="4">
        <v>26</v>
      </c>
      <c r="H305" s="4" t="s">
        <v>12</v>
      </c>
      <c r="I305" s="4" t="s">
        <v>13</v>
      </c>
      <c r="J305" s="4">
        <v>4</v>
      </c>
      <c r="K305" s="5" t="str">
        <f t="shared" si="4"/>
        <v>long</v>
      </c>
    </row>
    <row r="306" spans="1:11" x14ac:dyDescent="0.3">
      <c r="A306" s="3">
        <v>309</v>
      </c>
      <c r="B306" s="4">
        <v>78</v>
      </c>
      <c r="C306" s="4" t="s">
        <v>9</v>
      </c>
      <c r="D306" s="4" t="s">
        <v>31</v>
      </c>
      <c r="E306" s="4" t="s">
        <v>32</v>
      </c>
      <c r="F306" s="4">
        <v>18000</v>
      </c>
      <c r="G306" s="4">
        <v>28</v>
      </c>
      <c r="H306" s="4" t="s">
        <v>17</v>
      </c>
      <c r="I306" s="4" t="s">
        <v>18</v>
      </c>
      <c r="J306" s="4">
        <v>2</v>
      </c>
      <c r="K306" s="5" t="str">
        <f t="shared" si="4"/>
        <v>long</v>
      </c>
    </row>
    <row r="307" spans="1:11" x14ac:dyDescent="0.3">
      <c r="A307" s="3">
        <v>310</v>
      </c>
      <c r="B307" s="4">
        <v>25</v>
      </c>
      <c r="C307" s="4" t="s">
        <v>14</v>
      </c>
      <c r="D307" s="4" t="s">
        <v>33</v>
      </c>
      <c r="E307" s="4" t="s">
        <v>34</v>
      </c>
      <c r="F307" s="4">
        <v>100</v>
      </c>
      <c r="G307" s="4">
        <v>21</v>
      </c>
      <c r="H307" s="4" t="s">
        <v>12</v>
      </c>
      <c r="I307" s="4" t="s">
        <v>13</v>
      </c>
      <c r="J307" s="4">
        <v>5</v>
      </c>
      <c r="K307" s="5" t="str">
        <f t="shared" si="4"/>
        <v>long</v>
      </c>
    </row>
    <row r="308" spans="1:11" x14ac:dyDescent="0.3">
      <c r="A308" s="3">
        <v>311</v>
      </c>
      <c r="B308" s="4">
        <v>52</v>
      </c>
      <c r="C308" s="4" t="s">
        <v>9</v>
      </c>
      <c r="D308" s="4" t="s">
        <v>35</v>
      </c>
      <c r="E308" s="4" t="s">
        <v>36</v>
      </c>
      <c r="F308" s="4">
        <v>800</v>
      </c>
      <c r="G308" s="4">
        <v>22</v>
      </c>
      <c r="H308" s="4" t="s">
        <v>12</v>
      </c>
      <c r="I308" s="4" t="s">
        <v>18</v>
      </c>
      <c r="J308" s="4">
        <v>4</v>
      </c>
      <c r="K308" s="5" t="str">
        <f t="shared" si="4"/>
        <v>long</v>
      </c>
    </row>
    <row r="309" spans="1:11" x14ac:dyDescent="0.3">
      <c r="A309" s="3">
        <v>312</v>
      </c>
      <c r="B309" s="4">
        <v>58</v>
      </c>
      <c r="C309" s="4" t="s">
        <v>14</v>
      </c>
      <c r="D309" s="4" t="s">
        <v>37</v>
      </c>
      <c r="E309" s="4" t="s">
        <v>38</v>
      </c>
      <c r="F309" s="4">
        <v>20000</v>
      </c>
      <c r="G309" s="4">
        <v>29</v>
      </c>
      <c r="H309" s="4" t="s">
        <v>12</v>
      </c>
      <c r="I309" s="4" t="s">
        <v>13</v>
      </c>
      <c r="J309" s="4">
        <v>3</v>
      </c>
      <c r="K309" s="5" t="str">
        <f t="shared" si="4"/>
        <v>long</v>
      </c>
    </row>
    <row r="310" spans="1:11" x14ac:dyDescent="0.3">
      <c r="A310" s="3">
        <v>313</v>
      </c>
      <c r="B310" s="4">
        <v>32</v>
      </c>
      <c r="C310" s="4" t="s">
        <v>9</v>
      </c>
      <c r="D310" s="4" t="s">
        <v>39</v>
      </c>
      <c r="E310" s="4" t="s">
        <v>40</v>
      </c>
      <c r="F310" s="4">
        <v>12000</v>
      </c>
      <c r="G310" s="4">
        <v>23</v>
      </c>
      <c r="H310" s="4" t="s">
        <v>12</v>
      </c>
      <c r="I310" s="4" t="s">
        <v>13</v>
      </c>
      <c r="J310" s="4">
        <v>4</v>
      </c>
      <c r="K310" s="5" t="str">
        <f t="shared" si="4"/>
        <v>long</v>
      </c>
    </row>
    <row r="311" spans="1:11" x14ac:dyDescent="0.3">
      <c r="A311" s="3">
        <v>314</v>
      </c>
      <c r="B311" s="4">
        <v>55</v>
      </c>
      <c r="C311" s="4" t="s">
        <v>14</v>
      </c>
      <c r="D311" s="4" t="s">
        <v>41</v>
      </c>
      <c r="E311" s="4" t="s">
        <v>42</v>
      </c>
      <c r="F311" s="4">
        <v>6000</v>
      </c>
      <c r="G311" s="4">
        <v>24</v>
      </c>
      <c r="H311" s="4" t="s">
        <v>12</v>
      </c>
      <c r="I311" s="4" t="s">
        <v>13</v>
      </c>
      <c r="J311" s="4">
        <v>3</v>
      </c>
      <c r="K311" s="5" t="str">
        <f t="shared" si="4"/>
        <v>long</v>
      </c>
    </row>
    <row r="312" spans="1:11" x14ac:dyDescent="0.3">
      <c r="A312" s="3">
        <v>315</v>
      </c>
      <c r="B312" s="4">
        <v>65</v>
      </c>
      <c r="C312" s="4" t="s">
        <v>9</v>
      </c>
      <c r="D312" s="4" t="s">
        <v>43</v>
      </c>
      <c r="E312" s="4" t="s">
        <v>44</v>
      </c>
      <c r="F312" s="4">
        <v>4000</v>
      </c>
      <c r="G312" s="4">
        <v>25</v>
      </c>
      <c r="H312" s="4" t="s">
        <v>12</v>
      </c>
      <c r="I312" s="4" t="s">
        <v>18</v>
      </c>
      <c r="J312" s="4">
        <v>4</v>
      </c>
      <c r="K312" s="5" t="str">
        <f t="shared" si="4"/>
        <v>long</v>
      </c>
    </row>
    <row r="313" spans="1:11" x14ac:dyDescent="0.3">
      <c r="A313" s="3">
        <v>316</v>
      </c>
      <c r="B313" s="4">
        <v>55</v>
      </c>
      <c r="C313" s="4" t="s">
        <v>9</v>
      </c>
      <c r="D313" s="4" t="s">
        <v>10</v>
      </c>
      <c r="E313" s="4" t="s">
        <v>11</v>
      </c>
      <c r="F313" s="4">
        <v>15000</v>
      </c>
      <c r="G313" s="4">
        <v>26</v>
      </c>
      <c r="H313" s="4" t="s">
        <v>17</v>
      </c>
      <c r="I313" s="4" t="s">
        <v>13</v>
      </c>
      <c r="J313" s="4">
        <v>3</v>
      </c>
      <c r="K313" s="5" t="str">
        <f t="shared" si="4"/>
        <v>long</v>
      </c>
    </row>
    <row r="314" spans="1:11" x14ac:dyDescent="0.3">
      <c r="A314" s="3">
        <v>317</v>
      </c>
      <c r="B314" s="4">
        <v>62</v>
      </c>
      <c r="C314" s="4" t="s">
        <v>14</v>
      </c>
      <c r="D314" s="4" t="s">
        <v>15</v>
      </c>
      <c r="E314" s="4" t="s">
        <v>16</v>
      </c>
      <c r="F314" s="4">
        <v>2000</v>
      </c>
      <c r="G314" s="4">
        <v>24</v>
      </c>
      <c r="H314" s="4" t="s">
        <v>12</v>
      </c>
      <c r="I314" s="4" t="s">
        <v>18</v>
      </c>
      <c r="J314" s="4">
        <v>4</v>
      </c>
      <c r="K314" s="5" t="str">
        <f t="shared" si="4"/>
        <v>long</v>
      </c>
    </row>
    <row r="315" spans="1:11" x14ac:dyDescent="0.3">
      <c r="A315" s="3">
        <v>318</v>
      </c>
      <c r="B315" s="4">
        <v>35</v>
      </c>
      <c r="C315" s="4" t="s">
        <v>9</v>
      </c>
      <c r="D315" s="4" t="s">
        <v>19</v>
      </c>
      <c r="E315" s="4" t="s">
        <v>20</v>
      </c>
      <c r="F315" s="4">
        <v>500</v>
      </c>
      <c r="G315" s="4">
        <v>22</v>
      </c>
      <c r="H315" s="4" t="s">
        <v>17</v>
      </c>
      <c r="I315" s="4" t="s">
        <v>13</v>
      </c>
      <c r="J315" s="4">
        <v>5</v>
      </c>
      <c r="K315" s="5" t="str">
        <f t="shared" si="4"/>
        <v>long</v>
      </c>
    </row>
    <row r="316" spans="1:11" x14ac:dyDescent="0.3">
      <c r="A316" s="3">
        <v>319</v>
      </c>
      <c r="B316" s="4">
        <v>78</v>
      </c>
      <c r="C316" s="4" t="s">
        <v>14</v>
      </c>
      <c r="D316" s="4" t="s">
        <v>21</v>
      </c>
      <c r="E316" s="4" t="s">
        <v>22</v>
      </c>
      <c r="F316" s="4">
        <v>10000</v>
      </c>
      <c r="G316" s="4">
        <v>28</v>
      </c>
      <c r="H316" s="4" t="s">
        <v>12</v>
      </c>
      <c r="I316" s="4" t="s">
        <v>18</v>
      </c>
      <c r="J316" s="4">
        <v>2</v>
      </c>
      <c r="K316" s="5" t="str">
        <f t="shared" si="4"/>
        <v>long</v>
      </c>
    </row>
    <row r="317" spans="1:11" x14ac:dyDescent="0.3">
      <c r="A317" s="3">
        <v>320</v>
      </c>
      <c r="B317" s="4">
        <v>53</v>
      </c>
      <c r="C317" s="4" t="s">
        <v>9</v>
      </c>
      <c r="D317" s="4" t="s">
        <v>23</v>
      </c>
      <c r="E317" s="4" t="s">
        <v>24</v>
      </c>
      <c r="F317" s="4">
        <v>25000</v>
      </c>
      <c r="G317" s="4">
        <v>31</v>
      </c>
      <c r="H317" s="4" t="s">
        <v>17</v>
      </c>
      <c r="I317" s="4" t="s">
        <v>13</v>
      </c>
      <c r="J317" s="4">
        <v>4</v>
      </c>
      <c r="K317" s="5" t="str">
        <f t="shared" si="4"/>
        <v>long</v>
      </c>
    </row>
    <row r="318" spans="1:11" x14ac:dyDescent="0.3">
      <c r="A318" s="3">
        <v>321</v>
      </c>
      <c r="B318" s="4">
        <v>72</v>
      </c>
      <c r="C318" s="4" t="s">
        <v>14</v>
      </c>
      <c r="D318" s="4" t="s">
        <v>25</v>
      </c>
      <c r="E318" s="4" t="s">
        <v>26</v>
      </c>
      <c r="F318" s="4">
        <v>1000</v>
      </c>
      <c r="G318" s="4">
        <v>23</v>
      </c>
      <c r="H318" s="4" t="s">
        <v>12</v>
      </c>
      <c r="I318" s="4" t="s">
        <v>18</v>
      </c>
      <c r="J318" s="4">
        <v>4</v>
      </c>
      <c r="K318" s="5" t="str">
        <f t="shared" si="4"/>
        <v>long</v>
      </c>
    </row>
    <row r="319" spans="1:11" x14ac:dyDescent="0.3">
      <c r="A319" s="3">
        <v>322</v>
      </c>
      <c r="B319" s="4">
        <v>60</v>
      </c>
      <c r="C319" s="4" t="s">
        <v>9</v>
      </c>
      <c r="D319" s="4" t="s">
        <v>27</v>
      </c>
      <c r="E319" s="4" t="s">
        <v>28</v>
      </c>
      <c r="F319" s="4">
        <v>8000</v>
      </c>
      <c r="G319" s="4">
        <v>25</v>
      </c>
      <c r="H319" s="4" t="s">
        <v>17</v>
      </c>
      <c r="I319" s="4" t="s">
        <v>13</v>
      </c>
      <c r="J319" s="4">
        <v>3</v>
      </c>
      <c r="K319" s="5" t="str">
        <f t="shared" si="4"/>
        <v>long</v>
      </c>
    </row>
    <row r="320" spans="1:11" x14ac:dyDescent="0.3">
      <c r="A320" s="3">
        <v>323</v>
      </c>
      <c r="B320" s="4">
        <v>45</v>
      </c>
      <c r="C320" s="4" t="s">
        <v>14</v>
      </c>
      <c r="D320" s="4" t="s">
        <v>29</v>
      </c>
      <c r="E320" s="4" t="s">
        <v>30</v>
      </c>
      <c r="F320" s="4">
        <v>3000</v>
      </c>
      <c r="G320" s="4">
        <v>27</v>
      </c>
      <c r="H320" s="4" t="s">
        <v>12</v>
      </c>
      <c r="I320" s="4" t="s">
        <v>13</v>
      </c>
      <c r="J320" s="4">
        <v>4</v>
      </c>
      <c r="K320" s="5" t="str">
        <f t="shared" si="4"/>
        <v>long</v>
      </c>
    </row>
    <row r="321" spans="1:11" x14ac:dyDescent="0.3">
      <c r="A321" s="3">
        <v>324</v>
      </c>
      <c r="B321" s="4">
        <v>75</v>
      </c>
      <c r="C321" s="4" t="s">
        <v>9</v>
      </c>
      <c r="D321" s="4" t="s">
        <v>31</v>
      </c>
      <c r="E321" s="4" t="s">
        <v>32</v>
      </c>
      <c r="F321" s="4">
        <v>18000</v>
      </c>
      <c r="G321" s="4">
        <v>29</v>
      </c>
      <c r="H321" s="4" t="s">
        <v>17</v>
      </c>
      <c r="I321" s="4" t="s">
        <v>18</v>
      </c>
      <c r="J321" s="4">
        <v>2</v>
      </c>
      <c r="K321" s="5" t="str">
        <f t="shared" si="4"/>
        <v>long</v>
      </c>
    </row>
    <row r="322" spans="1:11" x14ac:dyDescent="0.3">
      <c r="A322" s="3">
        <v>325</v>
      </c>
      <c r="B322" s="4">
        <v>28</v>
      </c>
      <c r="C322" s="4" t="s">
        <v>14</v>
      </c>
      <c r="D322" s="4" t="s">
        <v>33</v>
      </c>
      <c r="E322" s="4" t="s">
        <v>34</v>
      </c>
      <c r="F322" s="4">
        <v>100</v>
      </c>
      <c r="G322" s="4">
        <v>22</v>
      </c>
      <c r="H322" s="4" t="s">
        <v>12</v>
      </c>
      <c r="I322" s="4" t="s">
        <v>13</v>
      </c>
      <c r="J322" s="4">
        <v>5</v>
      </c>
      <c r="K322" s="5" t="str">
        <f t="shared" si="4"/>
        <v>long</v>
      </c>
    </row>
    <row r="323" spans="1:11" x14ac:dyDescent="0.3">
      <c r="A323" s="3">
        <v>326</v>
      </c>
      <c r="B323" s="4">
        <v>52</v>
      </c>
      <c r="C323" s="4" t="s">
        <v>9</v>
      </c>
      <c r="D323" s="4" t="s">
        <v>35</v>
      </c>
      <c r="E323" s="4" t="s">
        <v>36</v>
      </c>
      <c r="F323" s="4">
        <v>800</v>
      </c>
      <c r="G323" s="4">
        <v>23</v>
      </c>
      <c r="H323" s="4" t="s">
        <v>12</v>
      </c>
      <c r="I323" s="4" t="s">
        <v>18</v>
      </c>
      <c r="J323" s="4">
        <v>4</v>
      </c>
      <c r="K323" s="5" t="str">
        <f t="shared" si="4"/>
        <v>long</v>
      </c>
    </row>
    <row r="324" spans="1:11" x14ac:dyDescent="0.3">
      <c r="A324" s="3">
        <v>327</v>
      </c>
      <c r="B324" s="4">
        <v>67</v>
      </c>
      <c r="C324" s="4" t="s">
        <v>14</v>
      </c>
      <c r="D324" s="4" t="s">
        <v>37</v>
      </c>
      <c r="E324" s="4" t="s">
        <v>38</v>
      </c>
      <c r="F324" s="4">
        <v>20000</v>
      </c>
      <c r="G324" s="4">
        <v>30</v>
      </c>
      <c r="H324" s="4" t="s">
        <v>12</v>
      </c>
      <c r="I324" s="4" t="s">
        <v>13</v>
      </c>
      <c r="J324" s="4">
        <v>3</v>
      </c>
      <c r="K324" s="5" t="str">
        <f t="shared" ref="K324:K387" si="5">IF(G324&lt;=3,"short",IF(G324&lt;=7,"medium","long"))</f>
        <v>long</v>
      </c>
    </row>
    <row r="325" spans="1:11" x14ac:dyDescent="0.3">
      <c r="A325" s="3">
        <v>328</v>
      </c>
      <c r="B325" s="4">
        <v>35</v>
      </c>
      <c r="C325" s="4" t="s">
        <v>9</v>
      </c>
      <c r="D325" s="4" t="s">
        <v>39</v>
      </c>
      <c r="E325" s="4" t="s">
        <v>40</v>
      </c>
      <c r="F325" s="4">
        <v>12000</v>
      </c>
      <c r="G325" s="4">
        <v>24</v>
      </c>
      <c r="H325" s="4" t="s">
        <v>12</v>
      </c>
      <c r="I325" s="4" t="s">
        <v>13</v>
      </c>
      <c r="J325" s="4">
        <v>4</v>
      </c>
      <c r="K325" s="5" t="str">
        <f t="shared" si="5"/>
        <v>long</v>
      </c>
    </row>
    <row r="326" spans="1:11" x14ac:dyDescent="0.3">
      <c r="A326" s="3">
        <v>329</v>
      </c>
      <c r="B326" s="4">
        <v>50</v>
      </c>
      <c r="C326" s="4" t="s">
        <v>14</v>
      </c>
      <c r="D326" s="4" t="s">
        <v>41</v>
      </c>
      <c r="E326" s="4" t="s">
        <v>42</v>
      </c>
      <c r="F326" s="4">
        <v>6000</v>
      </c>
      <c r="G326" s="4">
        <v>25</v>
      </c>
      <c r="H326" s="4" t="s">
        <v>12</v>
      </c>
      <c r="I326" s="4" t="s">
        <v>13</v>
      </c>
      <c r="J326" s="4">
        <v>3</v>
      </c>
      <c r="K326" s="5" t="str">
        <f t="shared" si="5"/>
        <v>long</v>
      </c>
    </row>
    <row r="327" spans="1:11" x14ac:dyDescent="0.3">
      <c r="A327" s="3">
        <v>330</v>
      </c>
      <c r="B327" s="4">
        <v>60</v>
      </c>
      <c r="C327" s="4" t="s">
        <v>9</v>
      </c>
      <c r="D327" s="4" t="s">
        <v>43</v>
      </c>
      <c r="E327" s="4" t="s">
        <v>44</v>
      </c>
      <c r="F327" s="4">
        <v>4000</v>
      </c>
      <c r="G327" s="4">
        <v>26</v>
      </c>
      <c r="H327" s="4" t="s">
        <v>12</v>
      </c>
      <c r="I327" s="4" t="s">
        <v>18</v>
      </c>
      <c r="J327" s="4">
        <v>4</v>
      </c>
      <c r="K327" s="5" t="str">
        <f t="shared" si="5"/>
        <v>long</v>
      </c>
    </row>
    <row r="328" spans="1:11" x14ac:dyDescent="0.3">
      <c r="A328" s="3">
        <v>331</v>
      </c>
      <c r="B328" s="4">
        <v>48</v>
      </c>
      <c r="C328" s="4" t="s">
        <v>9</v>
      </c>
      <c r="D328" s="4" t="s">
        <v>10</v>
      </c>
      <c r="E328" s="4" t="s">
        <v>11</v>
      </c>
      <c r="F328" s="4">
        <v>15000</v>
      </c>
      <c r="G328" s="4">
        <v>27</v>
      </c>
      <c r="H328" s="4" t="s">
        <v>17</v>
      </c>
      <c r="I328" s="4" t="s">
        <v>13</v>
      </c>
      <c r="J328" s="4">
        <v>4</v>
      </c>
      <c r="K328" s="5" t="str">
        <f t="shared" si="5"/>
        <v>long</v>
      </c>
    </row>
    <row r="329" spans="1:11" x14ac:dyDescent="0.3">
      <c r="A329" s="3">
        <v>332</v>
      </c>
      <c r="B329" s="4">
        <v>65</v>
      </c>
      <c r="C329" s="4" t="s">
        <v>14</v>
      </c>
      <c r="D329" s="4" t="s">
        <v>15</v>
      </c>
      <c r="E329" s="4" t="s">
        <v>16</v>
      </c>
      <c r="F329" s="4">
        <v>2000</v>
      </c>
      <c r="G329" s="4">
        <v>25</v>
      </c>
      <c r="H329" s="4" t="s">
        <v>12</v>
      </c>
      <c r="I329" s="4" t="s">
        <v>18</v>
      </c>
      <c r="J329" s="4">
        <v>3</v>
      </c>
      <c r="K329" s="5" t="str">
        <f t="shared" si="5"/>
        <v>long</v>
      </c>
    </row>
    <row r="330" spans="1:11" x14ac:dyDescent="0.3">
      <c r="A330" s="3">
        <v>333</v>
      </c>
      <c r="B330" s="4">
        <v>30</v>
      </c>
      <c r="C330" s="4" t="s">
        <v>9</v>
      </c>
      <c r="D330" s="4" t="s">
        <v>19</v>
      </c>
      <c r="E330" s="4" t="s">
        <v>20</v>
      </c>
      <c r="F330" s="4">
        <v>500</v>
      </c>
      <c r="G330" s="4">
        <v>23</v>
      </c>
      <c r="H330" s="4" t="s">
        <v>12</v>
      </c>
      <c r="I330" s="4" t="s">
        <v>13</v>
      </c>
      <c r="J330" s="4">
        <v>5</v>
      </c>
      <c r="K330" s="5" t="str">
        <f t="shared" si="5"/>
        <v>long</v>
      </c>
    </row>
    <row r="331" spans="1:11" x14ac:dyDescent="0.3">
      <c r="A331" s="3">
        <v>334</v>
      </c>
      <c r="B331" s="4">
        <v>70</v>
      </c>
      <c r="C331" s="4" t="s">
        <v>14</v>
      </c>
      <c r="D331" s="4" t="s">
        <v>21</v>
      </c>
      <c r="E331" s="4" t="s">
        <v>22</v>
      </c>
      <c r="F331" s="4">
        <v>10000</v>
      </c>
      <c r="G331" s="4">
        <v>29</v>
      </c>
      <c r="H331" s="4" t="s">
        <v>17</v>
      </c>
      <c r="I331" s="4" t="s">
        <v>18</v>
      </c>
      <c r="J331" s="4">
        <v>2</v>
      </c>
      <c r="K331" s="5" t="str">
        <f t="shared" si="5"/>
        <v>long</v>
      </c>
    </row>
    <row r="332" spans="1:11" x14ac:dyDescent="0.3">
      <c r="A332" s="3">
        <v>335</v>
      </c>
      <c r="B332" s="4">
        <v>55</v>
      </c>
      <c r="C332" s="4" t="s">
        <v>9</v>
      </c>
      <c r="D332" s="4" t="s">
        <v>23</v>
      </c>
      <c r="E332" s="4" t="s">
        <v>24</v>
      </c>
      <c r="F332" s="4">
        <v>25000</v>
      </c>
      <c r="G332" s="4">
        <v>32</v>
      </c>
      <c r="H332" s="4" t="s">
        <v>12</v>
      </c>
      <c r="I332" s="4" t="s">
        <v>13</v>
      </c>
      <c r="J332" s="4">
        <v>4</v>
      </c>
      <c r="K332" s="5" t="str">
        <f t="shared" si="5"/>
        <v>long</v>
      </c>
    </row>
    <row r="333" spans="1:11" x14ac:dyDescent="0.3">
      <c r="A333" s="3">
        <v>336</v>
      </c>
      <c r="B333" s="4">
        <v>68</v>
      </c>
      <c r="C333" s="4" t="s">
        <v>14</v>
      </c>
      <c r="D333" s="4" t="s">
        <v>25</v>
      </c>
      <c r="E333" s="4" t="s">
        <v>26</v>
      </c>
      <c r="F333" s="4">
        <v>1000</v>
      </c>
      <c r="G333" s="4">
        <v>24</v>
      </c>
      <c r="H333" s="4" t="s">
        <v>12</v>
      </c>
      <c r="I333" s="4" t="s">
        <v>18</v>
      </c>
      <c r="J333" s="4">
        <v>4</v>
      </c>
      <c r="K333" s="5" t="str">
        <f t="shared" si="5"/>
        <v>long</v>
      </c>
    </row>
    <row r="334" spans="1:11" x14ac:dyDescent="0.3">
      <c r="A334" s="3">
        <v>337</v>
      </c>
      <c r="B334" s="4">
        <v>45</v>
      </c>
      <c r="C334" s="4" t="s">
        <v>9</v>
      </c>
      <c r="D334" s="4" t="s">
        <v>27</v>
      </c>
      <c r="E334" s="4" t="s">
        <v>28</v>
      </c>
      <c r="F334" s="4">
        <v>8000</v>
      </c>
      <c r="G334" s="4">
        <v>26</v>
      </c>
      <c r="H334" s="4" t="s">
        <v>12</v>
      </c>
      <c r="I334" s="4" t="s">
        <v>13</v>
      </c>
      <c r="J334" s="4">
        <v>3</v>
      </c>
      <c r="K334" s="5" t="str">
        <f t="shared" si="5"/>
        <v>long</v>
      </c>
    </row>
    <row r="335" spans="1:11" x14ac:dyDescent="0.3">
      <c r="A335" s="3">
        <v>338</v>
      </c>
      <c r="B335" s="4">
        <v>40</v>
      </c>
      <c r="C335" s="4" t="s">
        <v>14</v>
      </c>
      <c r="D335" s="4" t="s">
        <v>29</v>
      </c>
      <c r="E335" s="4" t="s">
        <v>30</v>
      </c>
      <c r="F335" s="4">
        <v>3000</v>
      </c>
      <c r="G335" s="4">
        <v>28</v>
      </c>
      <c r="H335" s="4" t="s">
        <v>12</v>
      </c>
      <c r="I335" s="4" t="s">
        <v>13</v>
      </c>
      <c r="J335" s="4">
        <v>4</v>
      </c>
      <c r="K335" s="5" t="str">
        <f t="shared" si="5"/>
        <v>long</v>
      </c>
    </row>
    <row r="336" spans="1:11" x14ac:dyDescent="0.3">
      <c r="A336" s="3">
        <v>339</v>
      </c>
      <c r="B336" s="4">
        <v>78</v>
      </c>
      <c r="C336" s="4" t="s">
        <v>9</v>
      </c>
      <c r="D336" s="4" t="s">
        <v>31</v>
      </c>
      <c r="E336" s="4" t="s">
        <v>32</v>
      </c>
      <c r="F336" s="4">
        <v>18000</v>
      </c>
      <c r="G336" s="4">
        <v>30</v>
      </c>
      <c r="H336" s="4" t="s">
        <v>17</v>
      </c>
      <c r="I336" s="4" t="s">
        <v>18</v>
      </c>
      <c r="J336" s="4">
        <v>2</v>
      </c>
      <c r="K336" s="5" t="str">
        <f t="shared" si="5"/>
        <v>long</v>
      </c>
    </row>
    <row r="337" spans="1:11" x14ac:dyDescent="0.3">
      <c r="A337" s="3">
        <v>340</v>
      </c>
      <c r="B337" s="4">
        <v>25</v>
      </c>
      <c r="C337" s="4" t="s">
        <v>14</v>
      </c>
      <c r="D337" s="4" t="s">
        <v>33</v>
      </c>
      <c r="E337" s="4" t="s">
        <v>34</v>
      </c>
      <c r="F337" s="4">
        <v>100</v>
      </c>
      <c r="G337" s="4">
        <v>23</v>
      </c>
      <c r="H337" s="4" t="s">
        <v>12</v>
      </c>
      <c r="I337" s="4" t="s">
        <v>13</v>
      </c>
      <c r="J337" s="4">
        <v>5</v>
      </c>
      <c r="K337" s="5" t="str">
        <f t="shared" si="5"/>
        <v>long</v>
      </c>
    </row>
    <row r="338" spans="1:11" x14ac:dyDescent="0.3">
      <c r="A338" s="3">
        <v>341</v>
      </c>
      <c r="B338" s="4">
        <v>52</v>
      </c>
      <c r="C338" s="4" t="s">
        <v>9</v>
      </c>
      <c r="D338" s="4" t="s">
        <v>35</v>
      </c>
      <c r="E338" s="4" t="s">
        <v>36</v>
      </c>
      <c r="F338" s="4">
        <v>800</v>
      </c>
      <c r="G338" s="4">
        <v>24</v>
      </c>
      <c r="H338" s="4" t="s">
        <v>12</v>
      </c>
      <c r="I338" s="4" t="s">
        <v>18</v>
      </c>
      <c r="J338" s="4">
        <v>4</v>
      </c>
      <c r="K338" s="5" t="str">
        <f t="shared" si="5"/>
        <v>long</v>
      </c>
    </row>
    <row r="339" spans="1:11" x14ac:dyDescent="0.3">
      <c r="A339" s="3">
        <v>342</v>
      </c>
      <c r="B339" s="4">
        <v>58</v>
      </c>
      <c r="C339" s="4" t="s">
        <v>14</v>
      </c>
      <c r="D339" s="4" t="s">
        <v>37</v>
      </c>
      <c r="E339" s="4" t="s">
        <v>38</v>
      </c>
      <c r="F339" s="4">
        <v>20000</v>
      </c>
      <c r="G339" s="4">
        <v>31</v>
      </c>
      <c r="H339" s="4" t="s">
        <v>12</v>
      </c>
      <c r="I339" s="4" t="s">
        <v>13</v>
      </c>
      <c r="J339" s="4">
        <v>3</v>
      </c>
      <c r="K339" s="5" t="str">
        <f t="shared" si="5"/>
        <v>long</v>
      </c>
    </row>
    <row r="340" spans="1:11" x14ac:dyDescent="0.3">
      <c r="A340" s="3">
        <v>343</v>
      </c>
      <c r="B340" s="4">
        <v>32</v>
      </c>
      <c r="C340" s="4" t="s">
        <v>9</v>
      </c>
      <c r="D340" s="4" t="s">
        <v>39</v>
      </c>
      <c r="E340" s="4" t="s">
        <v>40</v>
      </c>
      <c r="F340" s="4">
        <v>12000</v>
      </c>
      <c r="G340" s="4">
        <v>25</v>
      </c>
      <c r="H340" s="4" t="s">
        <v>12</v>
      </c>
      <c r="I340" s="4" t="s">
        <v>13</v>
      </c>
      <c r="J340" s="4">
        <v>4</v>
      </c>
      <c r="K340" s="5" t="str">
        <f t="shared" si="5"/>
        <v>long</v>
      </c>
    </row>
    <row r="341" spans="1:11" x14ac:dyDescent="0.3">
      <c r="A341" s="3">
        <v>344</v>
      </c>
      <c r="B341" s="4">
        <v>55</v>
      </c>
      <c r="C341" s="4" t="s">
        <v>14</v>
      </c>
      <c r="D341" s="4" t="s">
        <v>41</v>
      </c>
      <c r="E341" s="4" t="s">
        <v>42</v>
      </c>
      <c r="F341" s="4">
        <v>6000</v>
      </c>
      <c r="G341" s="4">
        <v>26</v>
      </c>
      <c r="H341" s="4" t="s">
        <v>12</v>
      </c>
      <c r="I341" s="4" t="s">
        <v>13</v>
      </c>
      <c r="J341" s="4">
        <v>3</v>
      </c>
      <c r="K341" s="5" t="str">
        <f t="shared" si="5"/>
        <v>long</v>
      </c>
    </row>
    <row r="342" spans="1:11" x14ac:dyDescent="0.3">
      <c r="A342" s="3">
        <v>345</v>
      </c>
      <c r="B342" s="4">
        <v>65</v>
      </c>
      <c r="C342" s="4" t="s">
        <v>9</v>
      </c>
      <c r="D342" s="4" t="s">
        <v>43</v>
      </c>
      <c r="E342" s="4" t="s">
        <v>44</v>
      </c>
      <c r="F342" s="4">
        <v>4000</v>
      </c>
      <c r="G342" s="4">
        <v>27</v>
      </c>
      <c r="H342" s="4" t="s">
        <v>12</v>
      </c>
      <c r="I342" s="4" t="s">
        <v>18</v>
      </c>
      <c r="J342" s="4">
        <v>4</v>
      </c>
      <c r="K342" s="5" t="str">
        <f t="shared" si="5"/>
        <v>long</v>
      </c>
    </row>
    <row r="343" spans="1:11" x14ac:dyDescent="0.3">
      <c r="A343" s="3">
        <v>346</v>
      </c>
      <c r="B343" s="4">
        <v>55</v>
      </c>
      <c r="C343" s="4" t="s">
        <v>9</v>
      </c>
      <c r="D343" s="4" t="s">
        <v>10</v>
      </c>
      <c r="E343" s="4" t="s">
        <v>11</v>
      </c>
      <c r="F343" s="4">
        <v>15000</v>
      </c>
      <c r="G343" s="4">
        <v>28</v>
      </c>
      <c r="H343" s="4" t="s">
        <v>17</v>
      </c>
      <c r="I343" s="4" t="s">
        <v>13</v>
      </c>
      <c r="J343" s="4">
        <v>3</v>
      </c>
      <c r="K343" s="5" t="str">
        <f t="shared" si="5"/>
        <v>long</v>
      </c>
    </row>
    <row r="344" spans="1:11" x14ac:dyDescent="0.3">
      <c r="A344" s="3">
        <v>347</v>
      </c>
      <c r="B344" s="4">
        <v>62</v>
      </c>
      <c r="C344" s="4" t="s">
        <v>14</v>
      </c>
      <c r="D344" s="4" t="s">
        <v>15</v>
      </c>
      <c r="E344" s="4" t="s">
        <v>16</v>
      </c>
      <c r="F344" s="4">
        <v>2000</v>
      </c>
      <c r="G344" s="4">
        <v>26</v>
      </c>
      <c r="H344" s="4" t="s">
        <v>12</v>
      </c>
      <c r="I344" s="4" t="s">
        <v>18</v>
      </c>
      <c r="J344" s="4">
        <v>4</v>
      </c>
      <c r="K344" s="5" t="str">
        <f t="shared" si="5"/>
        <v>long</v>
      </c>
    </row>
    <row r="345" spans="1:11" x14ac:dyDescent="0.3">
      <c r="A345" s="3">
        <v>348</v>
      </c>
      <c r="B345" s="4">
        <v>35</v>
      </c>
      <c r="C345" s="4" t="s">
        <v>9</v>
      </c>
      <c r="D345" s="4" t="s">
        <v>19</v>
      </c>
      <c r="E345" s="4" t="s">
        <v>20</v>
      </c>
      <c r="F345" s="4">
        <v>500</v>
      </c>
      <c r="G345" s="4">
        <v>24</v>
      </c>
      <c r="H345" s="4" t="s">
        <v>17</v>
      </c>
      <c r="I345" s="4" t="s">
        <v>13</v>
      </c>
      <c r="J345" s="4">
        <v>5</v>
      </c>
      <c r="K345" s="5" t="str">
        <f t="shared" si="5"/>
        <v>long</v>
      </c>
    </row>
    <row r="346" spans="1:11" x14ac:dyDescent="0.3">
      <c r="A346" s="3">
        <v>349</v>
      </c>
      <c r="B346" s="4">
        <v>78</v>
      </c>
      <c r="C346" s="4" t="s">
        <v>14</v>
      </c>
      <c r="D346" s="4" t="s">
        <v>21</v>
      </c>
      <c r="E346" s="4" t="s">
        <v>22</v>
      </c>
      <c r="F346" s="4">
        <v>10000</v>
      </c>
      <c r="G346" s="4">
        <v>30</v>
      </c>
      <c r="H346" s="4" t="s">
        <v>12</v>
      </c>
      <c r="I346" s="4" t="s">
        <v>18</v>
      </c>
      <c r="J346" s="4">
        <v>2</v>
      </c>
      <c r="K346" s="5" t="str">
        <f t="shared" si="5"/>
        <v>long</v>
      </c>
    </row>
    <row r="347" spans="1:11" x14ac:dyDescent="0.3">
      <c r="A347" s="3">
        <v>350</v>
      </c>
      <c r="B347" s="4">
        <v>53</v>
      </c>
      <c r="C347" s="4" t="s">
        <v>9</v>
      </c>
      <c r="D347" s="4" t="s">
        <v>23</v>
      </c>
      <c r="E347" s="4" t="s">
        <v>24</v>
      </c>
      <c r="F347" s="4">
        <v>25000</v>
      </c>
      <c r="G347" s="4">
        <v>33</v>
      </c>
      <c r="H347" s="4" t="s">
        <v>17</v>
      </c>
      <c r="I347" s="4" t="s">
        <v>13</v>
      </c>
      <c r="J347" s="4">
        <v>4</v>
      </c>
      <c r="K347" s="5" t="str">
        <f t="shared" si="5"/>
        <v>long</v>
      </c>
    </row>
    <row r="348" spans="1:11" x14ac:dyDescent="0.3">
      <c r="A348" s="3">
        <v>351</v>
      </c>
      <c r="B348" s="4">
        <v>72</v>
      </c>
      <c r="C348" s="4" t="s">
        <v>14</v>
      </c>
      <c r="D348" s="4" t="s">
        <v>25</v>
      </c>
      <c r="E348" s="4" t="s">
        <v>26</v>
      </c>
      <c r="F348" s="4">
        <v>1000</v>
      </c>
      <c r="G348" s="4">
        <v>25</v>
      </c>
      <c r="H348" s="4" t="s">
        <v>12</v>
      </c>
      <c r="I348" s="4" t="s">
        <v>18</v>
      </c>
      <c r="J348" s="4">
        <v>4</v>
      </c>
      <c r="K348" s="5" t="str">
        <f t="shared" si="5"/>
        <v>long</v>
      </c>
    </row>
    <row r="349" spans="1:11" x14ac:dyDescent="0.3">
      <c r="A349" s="3">
        <v>352</v>
      </c>
      <c r="B349" s="4">
        <v>60</v>
      </c>
      <c r="C349" s="4" t="s">
        <v>9</v>
      </c>
      <c r="D349" s="4" t="s">
        <v>27</v>
      </c>
      <c r="E349" s="4" t="s">
        <v>28</v>
      </c>
      <c r="F349" s="4">
        <v>8000</v>
      </c>
      <c r="G349" s="4">
        <v>27</v>
      </c>
      <c r="H349" s="4" t="s">
        <v>17</v>
      </c>
      <c r="I349" s="4" t="s">
        <v>13</v>
      </c>
      <c r="J349" s="4">
        <v>3</v>
      </c>
      <c r="K349" s="5" t="str">
        <f t="shared" si="5"/>
        <v>long</v>
      </c>
    </row>
    <row r="350" spans="1:11" x14ac:dyDescent="0.3">
      <c r="A350" s="3">
        <v>353</v>
      </c>
      <c r="B350" s="4">
        <v>45</v>
      </c>
      <c r="C350" s="4" t="s">
        <v>14</v>
      </c>
      <c r="D350" s="4" t="s">
        <v>29</v>
      </c>
      <c r="E350" s="4" t="s">
        <v>30</v>
      </c>
      <c r="F350" s="4">
        <v>3000</v>
      </c>
      <c r="G350" s="4">
        <v>29</v>
      </c>
      <c r="H350" s="4" t="s">
        <v>12</v>
      </c>
      <c r="I350" s="4" t="s">
        <v>13</v>
      </c>
      <c r="J350" s="4">
        <v>4</v>
      </c>
      <c r="K350" s="5" t="str">
        <f t="shared" si="5"/>
        <v>long</v>
      </c>
    </row>
    <row r="351" spans="1:11" x14ac:dyDescent="0.3">
      <c r="A351" s="3">
        <v>354</v>
      </c>
      <c r="B351" s="4">
        <v>75</v>
      </c>
      <c r="C351" s="4" t="s">
        <v>9</v>
      </c>
      <c r="D351" s="4" t="s">
        <v>31</v>
      </c>
      <c r="E351" s="4" t="s">
        <v>32</v>
      </c>
      <c r="F351" s="4">
        <v>18000</v>
      </c>
      <c r="G351" s="4">
        <v>31</v>
      </c>
      <c r="H351" s="4" t="s">
        <v>17</v>
      </c>
      <c r="I351" s="4" t="s">
        <v>18</v>
      </c>
      <c r="J351" s="4">
        <v>2</v>
      </c>
      <c r="K351" s="5" t="str">
        <f t="shared" si="5"/>
        <v>long</v>
      </c>
    </row>
    <row r="352" spans="1:11" x14ac:dyDescent="0.3">
      <c r="A352" s="3">
        <v>355</v>
      </c>
      <c r="B352" s="4">
        <v>28</v>
      </c>
      <c r="C352" s="4" t="s">
        <v>14</v>
      </c>
      <c r="D352" s="4" t="s">
        <v>33</v>
      </c>
      <c r="E352" s="4" t="s">
        <v>34</v>
      </c>
      <c r="F352" s="4">
        <v>100</v>
      </c>
      <c r="G352" s="4">
        <v>24</v>
      </c>
      <c r="H352" s="4" t="s">
        <v>12</v>
      </c>
      <c r="I352" s="4" t="s">
        <v>13</v>
      </c>
      <c r="J352" s="4">
        <v>5</v>
      </c>
      <c r="K352" s="5" t="str">
        <f t="shared" si="5"/>
        <v>long</v>
      </c>
    </row>
    <row r="353" spans="1:11" x14ac:dyDescent="0.3">
      <c r="A353" s="3">
        <v>357</v>
      </c>
      <c r="B353" s="4">
        <v>67</v>
      </c>
      <c r="C353" s="4" t="s">
        <v>14</v>
      </c>
      <c r="D353" s="4" t="s">
        <v>37</v>
      </c>
      <c r="E353" s="4" t="s">
        <v>38</v>
      </c>
      <c r="F353" s="4">
        <v>20000</v>
      </c>
      <c r="G353" s="4">
        <v>32</v>
      </c>
      <c r="H353" s="4" t="s">
        <v>12</v>
      </c>
      <c r="I353" s="4" t="s">
        <v>13</v>
      </c>
      <c r="J353" s="4">
        <v>3</v>
      </c>
      <c r="K353" s="5" t="str">
        <f t="shared" si="5"/>
        <v>long</v>
      </c>
    </row>
    <row r="354" spans="1:11" x14ac:dyDescent="0.3">
      <c r="A354" s="3">
        <v>358</v>
      </c>
      <c r="B354" s="4">
        <v>35</v>
      </c>
      <c r="C354" s="4" t="s">
        <v>9</v>
      </c>
      <c r="D354" s="4" t="s">
        <v>39</v>
      </c>
      <c r="E354" s="4" t="s">
        <v>40</v>
      </c>
      <c r="F354" s="4">
        <v>12000</v>
      </c>
      <c r="G354" s="4">
        <v>26</v>
      </c>
      <c r="H354" s="4" t="s">
        <v>12</v>
      </c>
      <c r="I354" s="4" t="s">
        <v>13</v>
      </c>
      <c r="J354" s="4">
        <v>4</v>
      </c>
      <c r="K354" s="5" t="str">
        <f t="shared" si="5"/>
        <v>long</v>
      </c>
    </row>
    <row r="355" spans="1:11" x14ac:dyDescent="0.3">
      <c r="A355" s="3">
        <v>359</v>
      </c>
      <c r="B355" s="4">
        <v>50</v>
      </c>
      <c r="C355" s="4" t="s">
        <v>14</v>
      </c>
      <c r="D355" s="4" t="s">
        <v>41</v>
      </c>
      <c r="E355" s="4" t="s">
        <v>42</v>
      </c>
      <c r="F355" s="4">
        <v>6000</v>
      </c>
      <c r="G355" s="4">
        <v>27</v>
      </c>
      <c r="H355" s="4" t="s">
        <v>12</v>
      </c>
      <c r="I355" s="4" t="s">
        <v>13</v>
      </c>
      <c r="J355" s="4">
        <v>3</v>
      </c>
      <c r="K355" s="5" t="str">
        <f t="shared" si="5"/>
        <v>long</v>
      </c>
    </row>
    <row r="356" spans="1:11" x14ac:dyDescent="0.3">
      <c r="A356" s="3">
        <v>360</v>
      </c>
      <c r="B356" s="4">
        <v>60</v>
      </c>
      <c r="C356" s="4" t="s">
        <v>9</v>
      </c>
      <c r="D356" s="4" t="s">
        <v>43</v>
      </c>
      <c r="E356" s="4" t="s">
        <v>44</v>
      </c>
      <c r="F356" s="4">
        <v>4000</v>
      </c>
      <c r="G356" s="4">
        <v>28</v>
      </c>
      <c r="H356" s="4" t="s">
        <v>12</v>
      </c>
      <c r="I356" s="4" t="s">
        <v>18</v>
      </c>
      <c r="J356" s="4">
        <v>4</v>
      </c>
      <c r="K356" s="5" t="str">
        <f t="shared" si="5"/>
        <v>long</v>
      </c>
    </row>
    <row r="357" spans="1:11" x14ac:dyDescent="0.3">
      <c r="A357" s="3">
        <v>361</v>
      </c>
      <c r="B357" s="4">
        <v>48</v>
      </c>
      <c r="C357" s="4" t="s">
        <v>9</v>
      </c>
      <c r="D357" s="4" t="s">
        <v>10</v>
      </c>
      <c r="E357" s="4" t="s">
        <v>11</v>
      </c>
      <c r="F357" s="4">
        <v>15000</v>
      </c>
      <c r="G357" s="4">
        <v>29</v>
      </c>
      <c r="H357" s="4" t="s">
        <v>17</v>
      </c>
      <c r="I357" s="4" t="s">
        <v>13</v>
      </c>
      <c r="J357" s="4">
        <v>4</v>
      </c>
      <c r="K357" s="5" t="str">
        <f t="shared" si="5"/>
        <v>long</v>
      </c>
    </row>
    <row r="358" spans="1:11" x14ac:dyDescent="0.3">
      <c r="A358" s="3">
        <v>362</v>
      </c>
      <c r="B358" s="4">
        <v>65</v>
      </c>
      <c r="C358" s="4" t="s">
        <v>14</v>
      </c>
      <c r="D358" s="4" t="s">
        <v>15</v>
      </c>
      <c r="E358" s="4" t="s">
        <v>16</v>
      </c>
      <c r="F358" s="4">
        <v>2000</v>
      </c>
      <c r="G358" s="4">
        <v>27</v>
      </c>
      <c r="H358" s="4" t="s">
        <v>12</v>
      </c>
      <c r="I358" s="4" t="s">
        <v>18</v>
      </c>
      <c r="J358" s="4">
        <v>3</v>
      </c>
      <c r="K358" s="5" t="str">
        <f t="shared" si="5"/>
        <v>long</v>
      </c>
    </row>
    <row r="359" spans="1:11" x14ac:dyDescent="0.3">
      <c r="A359" s="3">
        <v>363</v>
      </c>
      <c r="B359" s="4">
        <v>30</v>
      </c>
      <c r="C359" s="4" t="s">
        <v>9</v>
      </c>
      <c r="D359" s="4" t="s">
        <v>19</v>
      </c>
      <c r="E359" s="4" t="s">
        <v>20</v>
      </c>
      <c r="F359" s="4">
        <v>500</v>
      </c>
      <c r="G359" s="4">
        <v>25</v>
      </c>
      <c r="H359" s="4" t="s">
        <v>12</v>
      </c>
      <c r="I359" s="4" t="s">
        <v>13</v>
      </c>
      <c r="J359" s="4">
        <v>5</v>
      </c>
      <c r="K359" s="5" t="str">
        <f t="shared" si="5"/>
        <v>long</v>
      </c>
    </row>
    <row r="360" spans="1:11" x14ac:dyDescent="0.3">
      <c r="A360" s="3">
        <v>364</v>
      </c>
      <c r="B360" s="4">
        <v>70</v>
      </c>
      <c r="C360" s="4" t="s">
        <v>14</v>
      </c>
      <c r="D360" s="4" t="s">
        <v>21</v>
      </c>
      <c r="E360" s="4" t="s">
        <v>22</v>
      </c>
      <c r="F360" s="4">
        <v>10000</v>
      </c>
      <c r="G360" s="4">
        <v>31</v>
      </c>
      <c r="H360" s="4" t="s">
        <v>17</v>
      </c>
      <c r="I360" s="4" t="s">
        <v>18</v>
      </c>
      <c r="J360" s="4">
        <v>2</v>
      </c>
      <c r="K360" s="5" t="str">
        <f t="shared" si="5"/>
        <v>long</v>
      </c>
    </row>
    <row r="361" spans="1:11" x14ac:dyDescent="0.3">
      <c r="A361" s="3">
        <v>365</v>
      </c>
      <c r="B361" s="4">
        <v>55</v>
      </c>
      <c r="C361" s="4" t="s">
        <v>9</v>
      </c>
      <c r="D361" s="4" t="s">
        <v>23</v>
      </c>
      <c r="E361" s="4" t="s">
        <v>24</v>
      </c>
      <c r="F361" s="4">
        <v>25000</v>
      </c>
      <c r="G361" s="4">
        <v>34</v>
      </c>
      <c r="H361" s="4" t="s">
        <v>12</v>
      </c>
      <c r="I361" s="4" t="s">
        <v>13</v>
      </c>
      <c r="J361" s="4">
        <v>4</v>
      </c>
      <c r="K361" s="5" t="str">
        <f t="shared" si="5"/>
        <v>long</v>
      </c>
    </row>
    <row r="362" spans="1:11" x14ac:dyDescent="0.3">
      <c r="A362" s="3">
        <v>366</v>
      </c>
      <c r="B362" s="4">
        <v>68</v>
      </c>
      <c r="C362" s="4" t="s">
        <v>14</v>
      </c>
      <c r="D362" s="4" t="s">
        <v>25</v>
      </c>
      <c r="E362" s="4" t="s">
        <v>26</v>
      </c>
      <c r="F362" s="4">
        <v>1000</v>
      </c>
      <c r="G362" s="4">
        <v>26</v>
      </c>
      <c r="H362" s="4" t="s">
        <v>12</v>
      </c>
      <c r="I362" s="4" t="s">
        <v>18</v>
      </c>
      <c r="J362" s="4">
        <v>4</v>
      </c>
      <c r="K362" s="5" t="str">
        <f t="shared" si="5"/>
        <v>long</v>
      </c>
    </row>
    <row r="363" spans="1:11" x14ac:dyDescent="0.3">
      <c r="A363" s="3">
        <v>367</v>
      </c>
      <c r="B363" s="4">
        <v>45</v>
      </c>
      <c r="C363" s="4" t="s">
        <v>9</v>
      </c>
      <c r="D363" s="4" t="s">
        <v>27</v>
      </c>
      <c r="E363" s="4" t="s">
        <v>28</v>
      </c>
      <c r="F363" s="4">
        <v>8000</v>
      </c>
      <c r="G363" s="4">
        <v>28</v>
      </c>
      <c r="H363" s="4" t="s">
        <v>12</v>
      </c>
      <c r="I363" s="4" t="s">
        <v>13</v>
      </c>
      <c r="J363" s="4">
        <v>3</v>
      </c>
      <c r="K363" s="5" t="str">
        <f t="shared" si="5"/>
        <v>long</v>
      </c>
    </row>
    <row r="364" spans="1:11" x14ac:dyDescent="0.3">
      <c r="A364" s="3">
        <v>368</v>
      </c>
      <c r="B364" s="4">
        <v>40</v>
      </c>
      <c r="C364" s="4" t="s">
        <v>14</v>
      </c>
      <c r="D364" s="4" t="s">
        <v>29</v>
      </c>
      <c r="E364" s="4" t="s">
        <v>30</v>
      </c>
      <c r="F364" s="4">
        <v>3000</v>
      </c>
      <c r="G364" s="4">
        <v>30</v>
      </c>
      <c r="H364" s="4" t="s">
        <v>12</v>
      </c>
      <c r="I364" s="4" t="s">
        <v>13</v>
      </c>
      <c r="J364" s="4">
        <v>4</v>
      </c>
      <c r="K364" s="5" t="str">
        <f t="shared" si="5"/>
        <v>long</v>
      </c>
    </row>
    <row r="365" spans="1:11" x14ac:dyDescent="0.3">
      <c r="A365" s="3">
        <v>369</v>
      </c>
      <c r="B365" s="4">
        <v>78</v>
      </c>
      <c r="C365" s="4" t="s">
        <v>9</v>
      </c>
      <c r="D365" s="4" t="s">
        <v>31</v>
      </c>
      <c r="E365" s="4" t="s">
        <v>32</v>
      </c>
      <c r="F365" s="4">
        <v>18000</v>
      </c>
      <c r="G365" s="4">
        <v>32</v>
      </c>
      <c r="H365" s="4" t="s">
        <v>17</v>
      </c>
      <c r="I365" s="4" t="s">
        <v>18</v>
      </c>
      <c r="J365" s="4">
        <v>2</v>
      </c>
      <c r="K365" s="5" t="str">
        <f t="shared" si="5"/>
        <v>long</v>
      </c>
    </row>
    <row r="366" spans="1:11" x14ac:dyDescent="0.3">
      <c r="A366" s="3">
        <v>370</v>
      </c>
      <c r="B366" s="4">
        <v>25</v>
      </c>
      <c r="C366" s="4" t="s">
        <v>14</v>
      </c>
      <c r="D366" s="4" t="s">
        <v>33</v>
      </c>
      <c r="E366" s="4" t="s">
        <v>34</v>
      </c>
      <c r="F366" s="4">
        <v>100</v>
      </c>
      <c r="G366" s="4">
        <v>25</v>
      </c>
      <c r="H366" s="4" t="s">
        <v>12</v>
      </c>
      <c r="I366" s="4" t="s">
        <v>13</v>
      </c>
      <c r="J366" s="4">
        <v>5</v>
      </c>
      <c r="K366" s="5" t="str">
        <f t="shared" si="5"/>
        <v>long</v>
      </c>
    </row>
    <row r="367" spans="1:11" x14ac:dyDescent="0.3">
      <c r="A367" s="3">
        <v>371</v>
      </c>
      <c r="B367" s="4">
        <v>52</v>
      </c>
      <c r="C367" s="4" t="s">
        <v>9</v>
      </c>
      <c r="D367" s="4" t="s">
        <v>35</v>
      </c>
      <c r="E367" s="4" t="s">
        <v>36</v>
      </c>
      <c r="F367" s="4">
        <v>800</v>
      </c>
      <c r="G367" s="4">
        <v>26</v>
      </c>
      <c r="H367" s="4" t="s">
        <v>12</v>
      </c>
      <c r="I367" s="4" t="s">
        <v>18</v>
      </c>
      <c r="J367" s="4">
        <v>4</v>
      </c>
      <c r="K367" s="5" t="str">
        <f t="shared" si="5"/>
        <v>long</v>
      </c>
    </row>
    <row r="368" spans="1:11" x14ac:dyDescent="0.3">
      <c r="A368" s="3">
        <v>372</v>
      </c>
      <c r="B368" s="4">
        <v>58</v>
      </c>
      <c r="C368" s="4" t="s">
        <v>14</v>
      </c>
      <c r="D368" s="4" t="s">
        <v>37</v>
      </c>
      <c r="E368" s="4" t="s">
        <v>38</v>
      </c>
      <c r="F368" s="4">
        <v>20000</v>
      </c>
      <c r="G368" s="4">
        <v>33</v>
      </c>
      <c r="H368" s="4" t="s">
        <v>12</v>
      </c>
      <c r="I368" s="4" t="s">
        <v>13</v>
      </c>
      <c r="J368" s="4">
        <v>3</v>
      </c>
      <c r="K368" s="5" t="str">
        <f t="shared" si="5"/>
        <v>long</v>
      </c>
    </row>
    <row r="369" spans="1:11" x14ac:dyDescent="0.3">
      <c r="A369" s="3">
        <v>373</v>
      </c>
      <c r="B369" s="4">
        <v>32</v>
      </c>
      <c r="C369" s="4" t="s">
        <v>9</v>
      </c>
      <c r="D369" s="4" t="s">
        <v>39</v>
      </c>
      <c r="E369" s="4" t="s">
        <v>40</v>
      </c>
      <c r="F369" s="4">
        <v>12000</v>
      </c>
      <c r="G369" s="4">
        <v>27</v>
      </c>
      <c r="H369" s="4" t="s">
        <v>12</v>
      </c>
      <c r="I369" s="4" t="s">
        <v>13</v>
      </c>
      <c r="J369" s="4">
        <v>4</v>
      </c>
      <c r="K369" s="5" t="str">
        <f t="shared" si="5"/>
        <v>long</v>
      </c>
    </row>
    <row r="370" spans="1:11" x14ac:dyDescent="0.3">
      <c r="A370" s="3">
        <v>374</v>
      </c>
      <c r="B370" s="4">
        <v>55</v>
      </c>
      <c r="C370" s="4" t="s">
        <v>14</v>
      </c>
      <c r="D370" s="4" t="s">
        <v>41</v>
      </c>
      <c r="E370" s="4" t="s">
        <v>42</v>
      </c>
      <c r="F370" s="4">
        <v>6000</v>
      </c>
      <c r="G370" s="4">
        <v>28</v>
      </c>
      <c r="H370" s="4" t="s">
        <v>12</v>
      </c>
      <c r="I370" s="4" t="s">
        <v>13</v>
      </c>
      <c r="J370" s="4">
        <v>3</v>
      </c>
      <c r="K370" s="5" t="str">
        <f t="shared" si="5"/>
        <v>long</v>
      </c>
    </row>
    <row r="371" spans="1:11" x14ac:dyDescent="0.3">
      <c r="A371" s="3">
        <v>375</v>
      </c>
      <c r="B371" s="4">
        <v>65</v>
      </c>
      <c r="C371" s="4" t="s">
        <v>9</v>
      </c>
      <c r="D371" s="4" t="s">
        <v>43</v>
      </c>
      <c r="E371" s="4" t="s">
        <v>44</v>
      </c>
      <c r="F371" s="4">
        <v>4000</v>
      </c>
      <c r="G371" s="4">
        <v>29</v>
      </c>
      <c r="H371" s="4" t="s">
        <v>12</v>
      </c>
      <c r="I371" s="4" t="s">
        <v>18</v>
      </c>
      <c r="J371" s="4">
        <v>4</v>
      </c>
      <c r="K371" s="5" t="str">
        <f t="shared" si="5"/>
        <v>long</v>
      </c>
    </row>
    <row r="372" spans="1:11" x14ac:dyDescent="0.3">
      <c r="A372" s="3">
        <v>376</v>
      </c>
      <c r="B372" s="4">
        <v>55</v>
      </c>
      <c r="C372" s="4" t="s">
        <v>9</v>
      </c>
      <c r="D372" s="4" t="s">
        <v>10</v>
      </c>
      <c r="E372" s="4" t="s">
        <v>11</v>
      </c>
      <c r="F372" s="4">
        <v>15000</v>
      </c>
      <c r="G372" s="4">
        <v>30</v>
      </c>
      <c r="H372" s="4" t="s">
        <v>17</v>
      </c>
      <c r="I372" s="4" t="s">
        <v>13</v>
      </c>
      <c r="J372" s="4">
        <v>3</v>
      </c>
      <c r="K372" s="5" t="str">
        <f t="shared" si="5"/>
        <v>long</v>
      </c>
    </row>
    <row r="373" spans="1:11" x14ac:dyDescent="0.3">
      <c r="A373" s="3">
        <v>377</v>
      </c>
      <c r="B373" s="4">
        <v>62</v>
      </c>
      <c r="C373" s="4" t="s">
        <v>14</v>
      </c>
      <c r="D373" s="4" t="s">
        <v>15</v>
      </c>
      <c r="E373" s="4" t="s">
        <v>16</v>
      </c>
      <c r="F373" s="4">
        <v>2000</v>
      </c>
      <c r="G373" s="4">
        <v>28</v>
      </c>
      <c r="H373" s="4" t="s">
        <v>12</v>
      </c>
      <c r="I373" s="4" t="s">
        <v>18</v>
      </c>
      <c r="J373" s="4">
        <v>4</v>
      </c>
      <c r="K373" s="5" t="str">
        <f t="shared" si="5"/>
        <v>long</v>
      </c>
    </row>
    <row r="374" spans="1:11" x14ac:dyDescent="0.3">
      <c r="A374" s="3">
        <v>378</v>
      </c>
      <c r="B374" s="4">
        <v>35</v>
      </c>
      <c r="C374" s="4" t="s">
        <v>9</v>
      </c>
      <c r="D374" s="4" t="s">
        <v>19</v>
      </c>
      <c r="E374" s="4" t="s">
        <v>20</v>
      </c>
      <c r="F374" s="4">
        <v>500</v>
      </c>
      <c r="G374" s="4">
        <v>26</v>
      </c>
      <c r="H374" s="4" t="s">
        <v>17</v>
      </c>
      <c r="I374" s="4" t="s">
        <v>13</v>
      </c>
      <c r="J374" s="4">
        <v>5</v>
      </c>
      <c r="K374" s="5" t="str">
        <f t="shared" si="5"/>
        <v>long</v>
      </c>
    </row>
    <row r="375" spans="1:11" x14ac:dyDescent="0.3">
      <c r="A375" s="3">
        <v>379</v>
      </c>
      <c r="B375" s="4">
        <v>78</v>
      </c>
      <c r="C375" s="4" t="s">
        <v>14</v>
      </c>
      <c r="D375" s="4" t="s">
        <v>21</v>
      </c>
      <c r="E375" s="4" t="s">
        <v>22</v>
      </c>
      <c r="F375" s="4">
        <v>10000</v>
      </c>
      <c r="G375" s="4">
        <v>33</v>
      </c>
      <c r="H375" s="4" t="s">
        <v>12</v>
      </c>
      <c r="I375" s="4" t="s">
        <v>18</v>
      </c>
      <c r="J375" s="4">
        <v>2</v>
      </c>
      <c r="K375" s="5" t="str">
        <f t="shared" si="5"/>
        <v>long</v>
      </c>
    </row>
    <row r="376" spans="1:11" x14ac:dyDescent="0.3">
      <c r="A376" s="3">
        <v>380</v>
      </c>
      <c r="B376" s="4">
        <v>53</v>
      </c>
      <c r="C376" s="4" t="s">
        <v>9</v>
      </c>
      <c r="D376" s="4" t="s">
        <v>23</v>
      </c>
      <c r="E376" s="4" t="s">
        <v>24</v>
      </c>
      <c r="F376" s="4">
        <v>25000</v>
      </c>
      <c r="G376" s="4">
        <v>35</v>
      </c>
      <c r="H376" s="4" t="s">
        <v>17</v>
      </c>
      <c r="I376" s="4" t="s">
        <v>13</v>
      </c>
      <c r="J376" s="4">
        <v>4</v>
      </c>
      <c r="K376" s="5" t="str">
        <f t="shared" si="5"/>
        <v>long</v>
      </c>
    </row>
    <row r="377" spans="1:11" x14ac:dyDescent="0.3">
      <c r="A377" s="3">
        <v>381</v>
      </c>
      <c r="B377" s="4">
        <v>72</v>
      </c>
      <c r="C377" s="4" t="s">
        <v>14</v>
      </c>
      <c r="D377" s="4" t="s">
        <v>25</v>
      </c>
      <c r="E377" s="4" t="s">
        <v>26</v>
      </c>
      <c r="F377" s="4">
        <v>1000</v>
      </c>
      <c r="G377" s="4">
        <v>27</v>
      </c>
      <c r="H377" s="4" t="s">
        <v>12</v>
      </c>
      <c r="I377" s="4" t="s">
        <v>18</v>
      </c>
      <c r="J377" s="4">
        <v>4</v>
      </c>
      <c r="K377" s="5" t="str">
        <f t="shared" si="5"/>
        <v>long</v>
      </c>
    </row>
    <row r="378" spans="1:11" x14ac:dyDescent="0.3">
      <c r="A378" s="3">
        <v>382</v>
      </c>
      <c r="B378" s="4">
        <v>60</v>
      </c>
      <c r="C378" s="4" t="s">
        <v>9</v>
      </c>
      <c r="D378" s="4" t="s">
        <v>27</v>
      </c>
      <c r="E378" s="4" t="s">
        <v>28</v>
      </c>
      <c r="F378" s="4">
        <v>8000</v>
      </c>
      <c r="G378" s="4">
        <v>29</v>
      </c>
      <c r="H378" s="4" t="s">
        <v>17</v>
      </c>
      <c r="I378" s="4" t="s">
        <v>13</v>
      </c>
      <c r="J378" s="4">
        <v>3</v>
      </c>
      <c r="K378" s="5" t="str">
        <f t="shared" si="5"/>
        <v>long</v>
      </c>
    </row>
    <row r="379" spans="1:11" x14ac:dyDescent="0.3">
      <c r="A379" s="3">
        <v>383</v>
      </c>
      <c r="B379" s="4">
        <v>45</v>
      </c>
      <c r="C379" s="4" t="s">
        <v>14</v>
      </c>
      <c r="D379" s="4" t="s">
        <v>29</v>
      </c>
      <c r="E379" s="4" t="s">
        <v>30</v>
      </c>
      <c r="F379" s="4">
        <v>3000</v>
      </c>
      <c r="G379" s="4">
        <v>31</v>
      </c>
      <c r="H379" s="4" t="s">
        <v>12</v>
      </c>
      <c r="I379" s="4" t="s">
        <v>13</v>
      </c>
      <c r="J379" s="4">
        <v>4</v>
      </c>
      <c r="K379" s="5" t="str">
        <f t="shared" si="5"/>
        <v>long</v>
      </c>
    </row>
    <row r="380" spans="1:11" x14ac:dyDescent="0.3">
      <c r="A380" s="3">
        <v>384</v>
      </c>
      <c r="B380" s="4">
        <v>75</v>
      </c>
      <c r="C380" s="4" t="s">
        <v>9</v>
      </c>
      <c r="D380" s="4" t="s">
        <v>31</v>
      </c>
      <c r="E380" s="4" t="s">
        <v>32</v>
      </c>
      <c r="F380" s="4">
        <v>18000</v>
      </c>
      <c r="G380" s="4">
        <v>33</v>
      </c>
      <c r="H380" s="4" t="s">
        <v>17</v>
      </c>
      <c r="I380" s="4" t="s">
        <v>18</v>
      </c>
      <c r="J380" s="4">
        <v>2</v>
      </c>
      <c r="K380" s="5" t="str">
        <f t="shared" si="5"/>
        <v>long</v>
      </c>
    </row>
    <row r="381" spans="1:11" x14ac:dyDescent="0.3">
      <c r="A381" s="3">
        <v>385</v>
      </c>
      <c r="B381" s="4">
        <v>28</v>
      </c>
      <c r="C381" s="4" t="s">
        <v>14</v>
      </c>
      <c r="D381" s="4" t="s">
        <v>33</v>
      </c>
      <c r="E381" s="4" t="s">
        <v>34</v>
      </c>
      <c r="F381" s="4">
        <v>100</v>
      </c>
      <c r="G381" s="4">
        <v>26</v>
      </c>
      <c r="H381" s="4" t="s">
        <v>12</v>
      </c>
      <c r="I381" s="4" t="s">
        <v>13</v>
      </c>
      <c r="J381" s="4">
        <v>5</v>
      </c>
      <c r="K381" s="5" t="str">
        <f t="shared" si="5"/>
        <v>long</v>
      </c>
    </row>
    <row r="382" spans="1:11" x14ac:dyDescent="0.3">
      <c r="A382" s="3">
        <v>386</v>
      </c>
      <c r="B382" s="4">
        <v>52</v>
      </c>
      <c r="C382" s="4" t="s">
        <v>9</v>
      </c>
      <c r="D382" s="4" t="s">
        <v>35</v>
      </c>
      <c r="E382" s="4" t="s">
        <v>36</v>
      </c>
      <c r="F382" s="4">
        <v>800</v>
      </c>
      <c r="G382" s="4">
        <v>27</v>
      </c>
      <c r="H382" s="4" t="s">
        <v>12</v>
      </c>
      <c r="I382" s="4" t="s">
        <v>18</v>
      </c>
      <c r="J382" s="4">
        <v>4</v>
      </c>
      <c r="K382" s="5" t="str">
        <f t="shared" si="5"/>
        <v>long</v>
      </c>
    </row>
    <row r="383" spans="1:11" x14ac:dyDescent="0.3">
      <c r="A383" s="3">
        <v>387</v>
      </c>
      <c r="B383" s="4">
        <v>67</v>
      </c>
      <c r="C383" s="4" t="s">
        <v>14</v>
      </c>
      <c r="D383" s="4" t="s">
        <v>37</v>
      </c>
      <c r="E383" s="4" t="s">
        <v>38</v>
      </c>
      <c r="F383" s="4">
        <v>20000</v>
      </c>
      <c r="G383" s="4">
        <v>34</v>
      </c>
      <c r="H383" s="4" t="s">
        <v>12</v>
      </c>
      <c r="I383" s="4" t="s">
        <v>13</v>
      </c>
      <c r="J383" s="4">
        <v>3</v>
      </c>
      <c r="K383" s="5" t="str">
        <f t="shared" si="5"/>
        <v>long</v>
      </c>
    </row>
    <row r="384" spans="1:11" x14ac:dyDescent="0.3">
      <c r="A384" s="3">
        <v>388</v>
      </c>
      <c r="B384" s="4">
        <v>35</v>
      </c>
      <c r="C384" s="4" t="s">
        <v>9</v>
      </c>
      <c r="D384" s="4" t="s">
        <v>39</v>
      </c>
      <c r="E384" s="4" t="s">
        <v>40</v>
      </c>
      <c r="F384" s="4">
        <v>12000</v>
      </c>
      <c r="G384" s="4">
        <v>28</v>
      </c>
      <c r="H384" s="4" t="s">
        <v>12</v>
      </c>
      <c r="I384" s="4" t="s">
        <v>13</v>
      </c>
      <c r="J384" s="4">
        <v>4</v>
      </c>
      <c r="K384" s="5" t="str">
        <f t="shared" si="5"/>
        <v>long</v>
      </c>
    </row>
    <row r="385" spans="1:11" x14ac:dyDescent="0.3">
      <c r="A385" s="3">
        <v>389</v>
      </c>
      <c r="B385" s="4">
        <v>50</v>
      </c>
      <c r="C385" s="4" t="s">
        <v>14</v>
      </c>
      <c r="D385" s="4" t="s">
        <v>41</v>
      </c>
      <c r="E385" s="4" t="s">
        <v>42</v>
      </c>
      <c r="F385" s="4">
        <v>6000</v>
      </c>
      <c r="G385" s="4">
        <v>29</v>
      </c>
      <c r="H385" s="4" t="s">
        <v>12</v>
      </c>
      <c r="I385" s="4" t="s">
        <v>13</v>
      </c>
      <c r="J385" s="4">
        <v>3</v>
      </c>
      <c r="K385" s="5" t="str">
        <f t="shared" si="5"/>
        <v>long</v>
      </c>
    </row>
    <row r="386" spans="1:11" x14ac:dyDescent="0.3">
      <c r="A386" s="3">
        <v>390</v>
      </c>
      <c r="B386" s="4">
        <v>60</v>
      </c>
      <c r="C386" s="4" t="s">
        <v>9</v>
      </c>
      <c r="D386" s="4" t="s">
        <v>43</v>
      </c>
      <c r="E386" s="4" t="s">
        <v>44</v>
      </c>
      <c r="F386" s="4">
        <v>4000</v>
      </c>
      <c r="G386" s="4">
        <v>30</v>
      </c>
      <c r="H386" s="4" t="s">
        <v>12</v>
      </c>
      <c r="I386" s="4" t="s">
        <v>18</v>
      </c>
      <c r="J386" s="4">
        <v>4</v>
      </c>
      <c r="K386" s="5" t="str">
        <f t="shared" si="5"/>
        <v>long</v>
      </c>
    </row>
    <row r="387" spans="1:11" x14ac:dyDescent="0.3">
      <c r="A387" s="3">
        <v>391</v>
      </c>
      <c r="B387" s="4">
        <v>48</v>
      </c>
      <c r="C387" s="4" t="s">
        <v>9</v>
      </c>
      <c r="D387" s="4" t="s">
        <v>10</v>
      </c>
      <c r="E387" s="4" t="s">
        <v>11</v>
      </c>
      <c r="F387" s="4">
        <v>15000</v>
      </c>
      <c r="G387" s="4">
        <v>31</v>
      </c>
      <c r="H387" s="4" t="s">
        <v>17</v>
      </c>
      <c r="I387" s="4" t="s">
        <v>13</v>
      </c>
      <c r="J387" s="4">
        <v>4</v>
      </c>
      <c r="K387" s="5" t="str">
        <f t="shared" si="5"/>
        <v>long</v>
      </c>
    </row>
    <row r="388" spans="1:11" x14ac:dyDescent="0.3">
      <c r="A388" s="3">
        <v>392</v>
      </c>
      <c r="B388" s="4">
        <v>65</v>
      </c>
      <c r="C388" s="4" t="s">
        <v>14</v>
      </c>
      <c r="D388" s="4" t="s">
        <v>15</v>
      </c>
      <c r="E388" s="4" t="s">
        <v>16</v>
      </c>
      <c r="F388" s="4">
        <v>2000</v>
      </c>
      <c r="G388" s="4">
        <v>29</v>
      </c>
      <c r="H388" s="4" t="s">
        <v>12</v>
      </c>
      <c r="I388" s="4" t="s">
        <v>18</v>
      </c>
      <c r="J388" s="4">
        <v>3</v>
      </c>
      <c r="K388" s="5" t="str">
        <f t="shared" ref="K388:K451" si="6">IF(G388&lt;=3,"short",IF(G388&lt;=7,"medium","long"))</f>
        <v>long</v>
      </c>
    </row>
    <row r="389" spans="1:11" x14ac:dyDescent="0.3">
      <c r="A389" s="3">
        <v>393</v>
      </c>
      <c r="B389" s="4">
        <v>30</v>
      </c>
      <c r="C389" s="4" t="s">
        <v>9</v>
      </c>
      <c r="D389" s="4" t="s">
        <v>19</v>
      </c>
      <c r="E389" s="4" t="s">
        <v>20</v>
      </c>
      <c r="F389" s="4">
        <v>500</v>
      </c>
      <c r="G389" s="4">
        <v>27</v>
      </c>
      <c r="H389" s="4" t="s">
        <v>12</v>
      </c>
      <c r="I389" s="4" t="s">
        <v>13</v>
      </c>
      <c r="J389" s="4">
        <v>5</v>
      </c>
      <c r="K389" s="5" t="str">
        <f t="shared" si="6"/>
        <v>long</v>
      </c>
    </row>
    <row r="390" spans="1:11" x14ac:dyDescent="0.3">
      <c r="A390" s="3">
        <v>394</v>
      </c>
      <c r="B390" s="4">
        <v>70</v>
      </c>
      <c r="C390" s="4" t="s">
        <v>14</v>
      </c>
      <c r="D390" s="4" t="s">
        <v>21</v>
      </c>
      <c r="E390" s="4" t="s">
        <v>22</v>
      </c>
      <c r="F390" s="4">
        <v>10000</v>
      </c>
      <c r="G390" s="4">
        <v>34</v>
      </c>
      <c r="H390" s="4" t="s">
        <v>17</v>
      </c>
      <c r="I390" s="4" t="s">
        <v>18</v>
      </c>
      <c r="J390" s="4">
        <v>2</v>
      </c>
      <c r="K390" s="5" t="str">
        <f t="shared" si="6"/>
        <v>long</v>
      </c>
    </row>
    <row r="391" spans="1:11" x14ac:dyDescent="0.3">
      <c r="A391" s="3">
        <v>395</v>
      </c>
      <c r="B391" s="4">
        <v>55</v>
      </c>
      <c r="C391" s="4" t="s">
        <v>9</v>
      </c>
      <c r="D391" s="4" t="s">
        <v>23</v>
      </c>
      <c r="E391" s="4" t="s">
        <v>24</v>
      </c>
      <c r="F391" s="4">
        <v>25000</v>
      </c>
      <c r="G391" s="4">
        <v>36</v>
      </c>
      <c r="H391" s="4" t="s">
        <v>12</v>
      </c>
      <c r="I391" s="4" t="s">
        <v>13</v>
      </c>
      <c r="J391" s="4">
        <v>4</v>
      </c>
      <c r="K391" s="5" t="str">
        <f t="shared" si="6"/>
        <v>long</v>
      </c>
    </row>
    <row r="392" spans="1:11" x14ac:dyDescent="0.3">
      <c r="A392" s="3">
        <v>396</v>
      </c>
      <c r="B392" s="4">
        <v>68</v>
      </c>
      <c r="C392" s="4" t="s">
        <v>14</v>
      </c>
      <c r="D392" s="4" t="s">
        <v>25</v>
      </c>
      <c r="E392" s="4" t="s">
        <v>26</v>
      </c>
      <c r="F392" s="4">
        <v>1000</v>
      </c>
      <c r="G392" s="4">
        <v>28</v>
      </c>
      <c r="H392" s="4" t="s">
        <v>12</v>
      </c>
      <c r="I392" s="4" t="s">
        <v>18</v>
      </c>
      <c r="J392" s="4">
        <v>4</v>
      </c>
      <c r="K392" s="5" t="str">
        <f t="shared" si="6"/>
        <v>long</v>
      </c>
    </row>
    <row r="393" spans="1:11" x14ac:dyDescent="0.3">
      <c r="A393" s="3">
        <v>397</v>
      </c>
      <c r="B393" s="4">
        <v>45</v>
      </c>
      <c r="C393" s="4" t="s">
        <v>9</v>
      </c>
      <c r="D393" s="4" t="s">
        <v>27</v>
      </c>
      <c r="E393" s="4" t="s">
        <v>28</v>
      </c>
      <c r="F393" s="4">
        <v>8000</v>
      </c>
      <c r="G393" s="4">
        <v>30</v>
      </c>
      <c r="H393" s="4" t="s">
        <v>12</v>
      </c>
      <c r="I393" s="4" t="s">
        <v>13</v>
      </c>
      <c r="J393" s="4">
        <v>3</v>
      </c>
      <c r="K393" s="5" t="str">
        <f t="shared" si="6"/>
        <v>long</v>
      </c>
    </row>
    <row r="394" spans="1:11" x14ac:dyDescent="0.3">
      <c r="A394" s="3">
        <v>398</v>
      </c>
      <c r="B394" s="4">
        <v>40</v>
      </c>
      <c r="C394" s="4" t="s">
        <v>14</v>
      </c>
      <c r="D394" s="4" t="s">
        <v>29</v>
      </c>
      <c r="E394" s="4" t="s">
        <v>30</v>
      </c>
      <c r="F394" s="4">
        <v>3000</v>
      </c>
      <c r="G394" s="4">
        <v>32</v>
      </c>
      <c r="H394" s="4" t="s">
        <v>12</v>
      </c>
      <c r="I394" s="4" t="s">
        <v>13</v>
      </c>
      <c r="J394" s="4">
        <v>4</v>
      </c>
      <c r="K394" s="5" t="str">
        <f t="shared" si="6"/>
        <v>long</v>
      </c>
    </row>
    <row r="395" spans="1:11" x14ac:dyDescent="0.3">
      <c r="A395" s="3">
        <v>399</v>
      </c>
      <c r="B395" s="4">
        <v>78</v>
      </c>
      <c r="C395" s="4" t="s">
        <v>9</v>
      </c>
      <c r="D395" s="4" t="s">
        <v>31</v>
      </c>
      <c r="E395" s="4" t="s">
        <v>32</v>
      </c>
      <c r="F395" s="4">
        <v>18000</v>
      </c>
      <c r="G395" s="4">
        <v>34</v>
      </c>
      <c r="H395" s="4" t="s">
        <v>17</v>
      </c>
      <c r="I395" s="4" t="s">
        <v>18</v>
      </c>
      <c r="J395" s="4">
        <v>2</v>
      </c>
      <c r="K395" s="5" t="str">
        <f t="shared" si="6"/>
        <v>long</v>
      </c>
    </row>
    <row r="396" spans="1:11" x14ac:dyDescent="0.3">
      <c r="A396" s="3">
        <v>400</v>
      </c>
      <c r="B396" s="4">
        <v>25</v>
      </c>
      <c r="C396" s="4" t="s">
        <v>14</v>
      </c>
      <c r="D396" s="4" t="s">
        <v>33</v>
      </c>
      <c r="E396" s="4" t="s">
        <v>34</v>
      </c>
      <c r="F396" s="4">
        <v>100</v>
      </c>
      <c r="G396" s="4">
        <v>27</v>
      </c>
      <c r="H396" s="4" t="s">
        <v>12</v>
      </c>
      <c r="I396" s="4" t="s">
        <v>13</v>
      </c>
      <c r="J396" s="4">
        <v>5</v>
      </c>
      <c r="K396" s="5" t="str">
        <f t="shared" si="6"/>
        <v>long</v>
      </c>
    </row>
    <row r="397" spans="1:11" x14ac:dyDescent="0.3">
      <c r="A397" s="3">
        <v>401</v>
      </c>
      <c r="B397" s="4">
        <v>52</v>
      </c>
      <c r="C397" s="4" t="s">
        <v>9</v>
      </c>
      <c r="D397" s="4" t="s">
        <v>35</v>
      </c>
      <c r="E397" s="4" t="s">
        <v>36</v>
      </c>
      <c r="F397" s="4">
        <v>800</v>
      </c>
      <c r="G397" s="4">
        <v>28</v>
      </c>
      <c r="H397" s="4" t="s">
        <v>12</v>
      </c>
      <c r="I397" s="4" t="s">
        <v>18</v>
      </c>
      <c r="J397" s="4">
        <v>4</v>
      </c>
      <c r="K397" s="5" t="str">
        <f t="shared" si="6"/>
        <v>long</v>
      </c>
    </row>
    <row r="398" spans="1:11" x14ac:dyDescent="0.3">
      <c r="A398" s="3">
        <v>402</v>
      </c>
      <c r="B398" s="4">
        <v>58</v>
      </c>
      <c r="C398" s="4" t="s">
        <v>14</v>
      </c>
      <c r="D398" s="4" t="s">
        <v>37</v>
      </c>
      <c r="E398" s="4" t="s">
        <v>38</v>
      </c>
      <c r="F398" s="4">
        <v>20000</v>
      </c>
      <c r="G398" s="4">
        <v>35</v>
      </c>
      <c r="H398" s="4" t="s">
        <v>12</v>
      </c>
      <c r="I398" s="4" t="s">
        <v>13</v>
      </c>
      <c r="J398" s="4">
        <v>3</v>
      </c>
      <c r="K398" s="5" t="str">
        <f t="shared" si="6"/>
        <v>long</v>
      </c>
    </row>
    <row r="399" spans="1:11" x14ac:dyDescent="0.3">
      <c r="A399" s="3">
        <v>403</v>
      </c>
      <c r="B399" s="4">
        <v>32</v>
      </c>
      <c r="C399" s="4" t="s">
        <v>9</v>
      </c>
      <c r="D399" s="4" t="s">
        <v>39</v>
      </c>
      <c r="E399" s="4" t="s">
        <v>40</v>
      </c>
      <c r="F399" s="4">
        <v>12000</v>
      </c>
      <c r="G399" s="4">
        <v>29</v>
      </c>
      <c r="H399" s="4" t="s">
        <v>12</v>
      </c>
      <c r="I399" s="4" t="s">
        <v>13</v>
      </c>
      <c r="J399" s="4">
        <v>4</v>
      </c>
      <c r="K399" s="5" t="str">
        <f t="shared" si="6"/>
        <v>long</v>
      </c>
    </row>
    <row r="400" spans="1:11" x14ac:dyDescent="0.3">
      <c r="A400" s="3">
        <v>404</v>
      </c>
      <c r="B400" s="4">
        <v>55</v>
      </c>
      <c r="C400" s="4" t="s">
        <v>14</v>
      </c>
      <c r="D400" s="4" t="s">
        <v>41</v>
      </c>
      <c r="E400" s="4" t="s">
        <v>42</v>
      </c>
      <c r="F400" s="4">
        <v>6000</v>
      </c>
      <c r="G400" s="4">
        <v>30</v>
      </c>
      <c r="H400" s="4" t="s">
        <v>12</v>
      </c>
      <c r="I400" s="4" t="s">
        <v>13</v>
      </c>
      <c r="J400" s="4">
        <v>3</v>
      </c>
      <c r="K400" s="5" t="str">
        <f t="shared" si="6"/>
        <v>long</v>
      </c>
    </row>
    <row r="401" spans="1:11" x14ac:dyDescent="0.3">
      <c r="A401" s="3">
        <v>405</v>
      </c>
      <c r="B401" s="4">
        <v>65</v>
      </c>
      <c r="C401" s="4" t="s">
        <v>9</v>
      </c>
      <c r="D401" s="4" t="s">
        <v>43</v>
      </c>
      <c r="E401" s="4" t="s">
        <v>44</v>
      </c>
      <c r="F401" s="4">
        <v>4000</v>
      </c>
      <c r="G401" s="4">
        <v>31</v>
      </c>
      <c r="H401" s="4" t="s">
        <v>12</v>
      </c>
      <c r="I401" s="4" t="s">
        <v>18</v>
      </c>
      <c r="J401" s="4">
        <v>4</v>
      </c>
      <c r="K401" s="5" t="str">
        <f t="shared" si="6"/>
        <v>long</v>
      </c>
    </row>
    <row r="402" spans="1:11" x14ac:dyDescent="0.3">
      <c r="A402" s="3">
        <v>406</v>
      </c>
      <c r="B402" s="4">
        <v>55</v>
      </c>
      <c r="C402" s="4" t="s">
        <v>9</v>
      </c>
      <c r="D402" s="4" t="s">
        <v>10</v>
      </c>
      <c r="E402" s="4" t="s">
        <v>11</v>
      </c>
      <c r="F402" s="4">
        <v>15000</v>
      </c>
      <c r="G402" s="4">
        <v>32</v>
      </c>
      <c r="H402" s="4" t="s">
        <v>17</v>
      </c>
      <c r="I402" s="4" t="s">
        <v>13</v>
      </c>
      <c r="J402" s="4">
        <v>3</v>
      </c>
      <c r="K402" s="5" t="str">
        <f t="shared" si="6"/>
        <v>long</v>
      </c>
    </row>
    <row r="403" spans="1:11" x14ac:dyDescent="0.3">
      <c r="A403" s="3">
        <v>407</v>
      </c>
      <c r="B403" s="4">
        <v>62</v>
      </c>
      <c r="C403" s="4" t="s">
        <v>14</v>
      </c>
      <c r="D403" s="4" t="s">
        <v>15</v>
      </c>
      <c r="E403" s="4" t="s">
        <v>16</v>
      </c>
      <c r="F403" s="4">
        <v>2000</v>
      </c>
      <c r="G403" s="4">
        <v>30</v>
      </c>
      <c r="H403" s="4" t="s">
        <v>12</v>
      </c>
      <c r="I403" s="4" t="s">
        <v>18</v>
      </c>
      <c r="J403" s="4">
        <v>4</v>
      </c>
      <c r="K403" s="5" t="str">
        <f t="shared" si="6"/>
        <v>long</v>
      </c>
    </row>
    <row r="404" spans="1:11" x14ac:dyDescent="0.3">
      <c r="A404" s="3">
        <v>408</v>
      </c>
      <c r="B404" s="4">
        <v>35</v>
      </c>
      <c r="C404" s="4" t="s">
        <v>9</v>
      </c>
      <c r="D404" s="4" t="s">
        <v>19</v>
      </c>
      <c r="E404" s="4" t="s">
        <v>20</v>
      </c>
      <c r="F404" s="4">
        <v>500</v>
      </c>
      <c r="G404" s="4">
        <v>28</v>
      </c>
      <c r="H404" s="4" t="s">
        <v>17</v>
      </c>
      <c r="I404" s="4" t="s">
        <v>13</v>
      </c>
      <c r="J404" s="4">
        <v>5</v>
      </c>
      <c r="K404" s="5" t="str">
        <f t="shared" si="6"/>
        <v>long</v>
      </c>
    </row>
    <row r="405" spans="1:11" x14ac:dyDescent="0.3">
      <c r="A405" s="3">
        <v>409</v>
      </c>
      <c r="B405" s="4">
        <v>78</v>
      </c>
      <c r="C405" s="4" t="s">
        <v>14</v>
      </c>
      <c r="D405" s="4" t="s">
        <v>21</v>
      </c>
      <c r="E405" s="4" t="s">
        <v>22</v>
      </c>
      <c r="F405" s="4">
        <v>10000</v>
      </c>
      <c r="G405" s="4">
        <v>35</v>
      </c>
      <c r="H405" s="4" t="s">
        <v>12</v>
      </c>
      <c r="I405" s="4" t="s">
        <v>18</v>
      </c>
      <c r="J405" s="4">
        <v>2</v>
      </c>
      <c r="K405" s="5" t="str">
        <f t="shared" si="6"/>
        <v>long</v>
      </c>
    </row>
    <row r="406" spans="1:11" x14ac:dyDescent="0.3">
      <c r="A406" s="3">
        <v>410</v>
      </c>
      <c r="B406" s="4">
        <v>53</v>
      </c>
      <c r="C406" s="4" t="s">
        <v>9</v>
      </c>
      <c r="D406" s="4" t="s">
        <v>23</v>
      </c>
      <c r="E406" s="4" t="s">
        <v>24</v>
      </c>
      <c r="F406" s="4">
        <v>25000</v>
      </c>
      <c r="G406" s="4">
        <v>37</v>
      </c>
      <c r="H406" s="4" t="s">
        <v>17</v>
      </c>
      <c r="I406" s="4" t="s">
        <v>13</v>
      </c>
      <c r="J406" s="4">
        <v>4</v>
      </c>
      <c r="K406" s="5" t="str">
        <f t="shared" si="6"/>
        <v>long</v>
      </c>
    </row>
    <row r="407" spans="1:11" x14ac:dyDescent="0.3">
      <c r="A407" s="3">
        <v>411</v>
      </c>
      <c r="B407" s="4">
        <v>72</v>
      </c>
      <c r="C407" s="4" t="s">
        <v>14</v>
      </c>
      <c r="D407" s="4" t="s">
        <v>25</v>
      </c>
      <c r="E407" s="4" t="s">
        <v>26</v>
      </c>
      <c r="F407" s="4">
        <v>1000</v>
      </c>
      <c r="G407" s="4">
        <v>29</v>
      </c>
      <c r="H407" s="4" t="s">
        <v>12</v>
      </c>
      <c r="I407" s="4" t="s">
        <v>18</v>
      </c>
      <c r="J407" s="4">
        <v>4</v>
      </c>
      <c r="K407" s="5" t="str">
        <f t="shared" si="6"/>
        <v>long</v>
      </c>
    </row>
    <row r="408" spans="1:11" x14ac:dyDescent="0.3">
      <c r="A408" s="3">
        <v>412</v>
      </c>
      <c r="B408" s="4">
        <v>60</v>
      </c>
      <c r="C408" s="4" t="s">
        <v>9</v>
      </c>
      <c r="D408" s="4" t="s">
        <v>27</v>
      </c>
      <c r="E408" s="4" t="s">
        <v>28</v>
      </c>
      <c r="F408" s="4">
        <v>8000</v>
      </c>
      <c r="G408" s="4">
        <v>31</v>
      </c>
      <c r="H408" s="4" t="s">
        <v>17</v>
      </c>
      <c r="I408" s="4" t="s">
        <v>13</v>
      </c>
      <c r="J408" s="4">
        <v>3</v>
      </c>
      <c r="K408" s="5" t="str">
        <f t="shared" si="6"/>
        <v>long</v>
      </c>
    </row>
    <row r="409" spans="1:11" x14ac:dyDescent="0.3">
      <c r="A409" s="3">
        <v>413</v>
      </c>
      <c r="B409" s="4">
        <v>45</v>
      </c>
      <c r="C409" s="4" t="s">
        <v>14</v>
      </c>
      <c r="D409" s="4" t="s">
        <v>29</v>
      </c>
      <c r="E409" s="4" t="s">
        <v>30</v>
      </c>
      <c r="F409" s="4">
        <v>3000</v>
      </c>
      <c r="G409" s="4">
        <v>33</v>
      </c>
      <c r="H409" s="4" t="s">
        <v>12</v>
      </c>
      <c r="I409" s="4" t="s">
        <v>13</v>
      </c>
      <c r="J409" s="4">
        <v>4</v>
      </c>
      <c r="K409" s="5" t="str">
        <f t="shared" si="6"/>
        <v>long</v>
      </c>
    </row>
    <row r="410" spans="1:11" x14ac:dyDescent="0.3">
      <c r="A410" s="3">
        <v>414</v>
      </c>
      <c r="B410" s="4">
        <v>75</v>
      </c>
      <c r="C410" s="4" t="s">
        <v>9</v>
      </c>
      <c r="D410" s="4" t="s">
        <v>31</v>
      </c>
      <c r="E410" s="4" t="s">
        <v>32</v>
      </c>
      <c r="F410" s="4">
        <v>18000</v>
      </c>
      <c r="G410" s="4">
        <v>35</v>
      </c>
      <c r="H410" s="4" t="s">
        <v>17</v>
      </c>
      <c r="I410" s="4" t="s">
        <v>18</v>
      </c>
      <c r="J410" s="4">
        <v>2</v>
      </c>
      <c r="K410" s="5" t="str">
        <f t="shared" si="6"/>
        <v>long</v>
      </c>
    </row>
    <row r="411" spans="1:11" x14ac:dyDescent="0.3">
      <c r="A411" s="3">
        <v>415</v>
      </c>
      <c r="B411" s="4">
        <v>28</v>
      </c>
      <c r="C411" s="4" t="s">
        <v>14</v>
      </c>
      <c r="D411" s="4" t="s">
        <v>33</v>
      </c>
      <c r="E411" s="4" t="s">
        <v>34</v>
      </c>
      <c r="F411" s="4">
        <v>100</v>
      </c>
      <c r="G411" s="4">
        <v>28</v>
      </c>
      <c r="H411" s="4" t="s">
        <v>12</v>
      </c>
      <c r="I411" s="4" t="s">
        <v>13</v>
      </c>
      <c r="J411" s="4">
        <v>5</v>
      </c>
      <c r="K411" s="5" t="str">
        <f t="shared" si="6"/>
        <v>long</v>
      </c>
    </row>
    <row r="412" spans="1:11" x14ac:dyDescent="0.3">
      <c r="A412" s="3">
        <v>416</v>
      </c>
      <c r="B412" s="4">
        <v>52</v>
      </c>
      <c r="C412" s="4" t="s">
        <v>9</v>
      </c>
      <c r="D412" s="4" t="s">
        <v>35</v>
      </c>
      <c r="E412" s="4" t="s">
        <v>36</v>
      </c>
      <c r="F412" s="4">
        <v>800</v>
      </c>
      <c r="G412" s="4">
        <v>29</v>
      </c>
      <c r="H412" s="4" t="s">
        <v>12</v>
      </c>
      <c r="I412" s="4" t="s">
        <v>18</v>
      </c>
      <c r="J412" s="4">
        <v>4</v>
      </c>
      <c r="K412" s="5" t="str">
        <f t="shared" si="6"/>
        <v>long</v>
      </c>
    </row>
    <row r="413" spans="1:11" x14ac:dyDescent="0.3">
      <c r="A413" s="3">
        <v>418</v>
      </c>
      <c r="B413" s="4">
        <v>35</v>
      </c>
      <c r="C413" s="4" t="s">
        <v>9</v>
      </c>
      <c r="D413" s="4" t="s">
        <v>39</v>
      </c>
      <c r="E413" s="4" t="s">
        <v>40</v>
      </c>
      <c r="F413" s="4">
        <v>12000</v>
      </c>
      <c r="G413" s="4">
        <v>30</v>
      </c>
      <c r="H413" s="4" t="s">
        <v>12</v>
      </c>
      <c r="I413" s="4" t="s">
        <v>13</v>
      </c>
      <c r="J413" s="4">
        <v>4</v>
      </c>
      <c r="K413" s="5" t="str">
        <f t="shared" si="6"/>
        <v>long</v>
      </c>
    </row>
    <row r="414" spans="1:11" x14ac:dyDescent="0.3">
      <c r="A414" s="3">
        <v>419</v>
      </c>
      <c r="B414" s="4">
        <v>50</v>
      </c>
      <c r="C414" s="4" t="s">
        <v>14</v>
      </c>
      <c r="D414" s="4" t="s">
        <v>41</v>
      </c>
      <c r="E414" s="4" t="s">
        <v>42</v>
      </c>
      <c r="F414" s="4">
        <v>6000</v>
      </c>
      <c r="G414" s="4">
        <v>31</v>
      </c>
      <c r="H414" s="4" t="s">
        <v>12</v>
      </c>
      <c r="I414" s="4" t="s">
        <v>13</v>
      </c>
      <c r="J414" s="4">
        <v>3</v>
      </c>
      <c r="K414" s="5" t="str">
        <f t="shared" si="6"/>
        <v>long</v>
      </c>
    </row>
    <row r="415" spans="1:11" x14ac:dyDescent="0.3">
      <c r="A415" s="3">
        <v>420</v>
      </c>
      <c r="B415" s="4">
        <v>60</v>
      </c>
      <c r="C415" s="4" t="s">
        <v>9</v>
      </c>
      <c r="D415" s="4" t="s">
        <v>43</v>
      </c>
      <c r="E415" s="4" t="s">
        <v>44</v>
      </c>
      <c r="F415" s="4">
        <v>4000</v>
      </c>
      <c r="G415" s="4">
        <v>32</v>
      </c>
      <c r="H415" s="4" t="s">
        <v>12</v>
      </c>
      <c r="I415" s="4" t="s">
        <v>18</v>
      </c>
      <c r="J415" s="4">
        <v>4</v>
      </c>
      <c r="K415" s="5" t="str">
        <f t="shared" si="6"/>
        <v>long</v>
      </c>
    </row>
    <row r="416" spans="1:11" x14ac:dyDescent="0.3">
      <c r="A416" s="3">
        <v>421</v>
      </c>
      <c r="B416" s="4">
        <v>48</v>
      </c>
      <c r="C416" s="4" t="s">
        <v>9</v>
      </c>
      <c r="D416" s="4" t="s">
        <v>10</v>
      </c>
      <c r="E416" s="4" t="s">
        <v>11</v>
      </c>
      <c r="F416" s="4">
        <v>15000</v>
      </c>
      <c r="G416" s="4">
        <v>33</v>
      </c>
      <c r="H416" s="4" t="s">
        <v>17</v>
      </c>
      <c r="I416" s="4" t="s">
        <v>13</v>
      </c>
      <c r="J416" s="4">
        <v>4</v>
      </c>
      <c r="K416" s="5" t="str">
        <f t="shared" si="6"/>
        <v>long</v>
      </c>
    </row>
    <row r="417" spans="1:11" x14ac:dyDescent="0.3">
      <c r="A417" s="3">
        <v>422</v>
      </c>
      <c r="B417" s="4">
        <v>65</v>
      </c>
      <c r="C417" s="4" t="s">
        <v>14</v>
      </c>
      <c r="D417" s="4" t="s">
        <v>15</v>
      </c>
      <c r="E417" s="4" t="s">
        <v>16</v>
      </c>
      <c r="F417" s="4">
        <v>2000</v>
      </c>
      <c r="G417" s="4">
        <v>31</v>
      </c>
      <c r="H417" s="4" t="s">
        <v>12</v>
      </c>
      <c r="I417" s="4" t="s">
        <v>18</v>
      </c>
      <c r="J417" s="4">
        <v>3</v>
      </c>
      <c r="K417" s="5" t="str">
        <f t="shared" si="6"/>
        <v>long</v>
      </c>
    </row>
    <row r="418" spans="1:11" x14ac:dyDescent="0.3">
      <c r="A418" s="3">
        <v>423</v>
      </c>
      <c r="B418" s="4">
        <v>30</v>
      </c>
      <c r="C418" s="4" t="s">
        <v>9</v>
      </c>
      <c r="D418" s="4" t="s">
        <v>19</v>
      </c>
      <c r="E418" s="4" t="s">
        <v>20</v>
      </c>
      <c r="F418" s="4">
        <v>500</v>
      </c>
      <c r="G418" s="4">
        <v>29</v>
      </c>
      <c r="H418" s="4" t="s">
        <v>12</v>
      </c>
      <c r="I418" s="4" t="s">
        <v>13</v>
      </c>
      <c r="J418" s="4">
        <v>5</v>
      </c>
      <c r="K418" s="5" t="str">
        <f t="shared" si="6"/>
        <v>long</v>
      </c>
    </row>
    <row r="419" spans="1:11" x14ac:dyDescent="0.3">
      <c r="A419" s="3">
        <v>424</v>
      </c>
      <c r="B419" s="4">
        <v>70</v>
      </c>
      <c r="C419" s="4" t="s">
        <v>14</v>
      </c>
      <c r="D419" s="4" t="s">
        <v>21</v>
      </c>
      <c r="E419" s="4" t="s">
        <v>22</v>
      </c>
      <c r="F419" s="4">
        <v>10000</v>
      </c>
      <c r="G419" s="4">
        <v>36</v>
      </c>
      <c r="H419" s="4" t="s">
        <v>17</v>
      </c>
      <c r="I419" s="4" t="s">
        <v>18</v>
      </c>
      <c r="J419" s="4">
        <v>2</v>
      </c>
      <c r="K419" s="5" t="str">
        <f t="shared" si="6"/>
        <v>long</v>
      </c>
    </row>
    <row r="420" spans="1:11" x14ac:dyDescent="0.3">
      <c r="A420" s="3">
        <v>425</v>
      </c>
      <c r="B420" s="4">
        <v>55</v>
      </c>
      <c r="C420" s="4" t="s">
        <v>9</v>
      </c>
      <c r="D420" s="4" t="s">
        <v>23</v>
      </c>
      <c r="E420" s="4" t="s">
        <v>24</v>
      </c>
      <c r="F420" s="4">
        <v>25000</v>
      </c>
      <c r="G420" s="4">
        <v>38</v>
      </c>
      <c r="H420" s="4" t="s">
        <v>12</v>
      </c>
      <c r="I420" s="4" t="s">
        <v>13</v>
      </c>
      <c r="J420" s="4">
        <v>4</v>
      </c>
      <c r="K420" s="5" t="str">
        <f t="shared" si="6"/>
        <v>long</v>
      </c>
    </row>
    <row r="421" spans="1:11" x14ac:dyDescent="0.3">
      <c r="A421" s="3">
        <v>426</v>
      </c>
      <c r="B421" s="4">
        <v>68</v>
      </c>
      <c r="C421" s="4" t="s">
        <v>14</v>
      </c>
      <c r="D421" s="4" t="s">
        <v>25</v>
      </c>
      <c r="E421" s="4" t="s">
        <v>26</v>
      </c>
      <c r="F421" s="4">
        <v>1000</v>
      </c>
      <c r="G421" s="4">
        <v>30</v>
      </c>
      <c r="H421" s="4" t="s">
        <v>12</v>
      </c>
      <c r="I421" s="4" t="s">
        <v>18</v>
      </c>
      <c r="J421" s="4">
        <v>4</v>
      </c>
      <c r="K421" s="5" t="str">
        <f t="shared" si="6"/>
        <v>long</v>
      </c>
    </row>
    <row r="422" spans="1:11" x14ac:dyDescent="0.3">
      <c r="A422" s="3">
        <v>427</v>
      </c>
      <c r="B422" s="4">
        <v>45</v>
      </c>
      <c r="C422" s="4" t="s">
        <v>9</v>
      </c>
      <c r="D422" s="4" t="s">
        <v>27</v>
      </c>
      <c r="E422" s="4" t="s">
        <v>28</v>
      </c>
      <c r="F422" s="4">
        <v>8000</v>
      </c>
      <c r="G422" s="4">
        <v>32</v>
      </c>
      <c r="H422" s="4" t="s">
        <v>12</v>
      </c>
      <c r="I422" s="4" t="s">
        <v>13</v>
      </c>
      <c r="J422" s="4">
        <v>3</v>
      </c>
      <c r="K422" s="5" t="str">
        <f t="shared" si="6"/>
        <v>long</v>
      </c>
    </row>
    <row r="423" spans="1:11" x14ac:dyDescent="0.3">
      <c r="A423" s="3">
        <v>428</v>
      </c>
      <c r="B423" s="4">
        <v>40</v>
      </c>
      <c r="C423" s="4" t="s">
        <v>14</v>
      </c>
      <c r="D423" s="4" t="s">
        <v>29</v>
      </c>
      <c r="E423" s="4" t="s">
        <v>30</v>
      </c>
      <c r="F423" s="4">
        <v>3000</v>
      </c>
      <c r="G423" s="4">
        <v>34</v>
      </c>
      <c r="H423" s="4" t="s">
        <v>12</v>
      </c>
      <c r="I423" s="4" t="s">
        <v>13</v>
      </c>
      <c r="J423" s="4">
        <v>4</v>
      </c>
      <c r="K423" s="5" t="str">
        <f t="shared" si="6"/>
        <v>long</v>
      </c>
    </row>
    <row r="424" spans="1:11" x14ac:dyDescent="0.3">
      <c r="A424" s="3">
        <v>429</v>
      </c>
      <c r="B424" s="4">
        <v>78</v>
      </c>
      <c r="C424" s="4" t="s">
        <v>9</v>
      </c>
      <c r="D424" s="4" t="s">
        <v>31</v>
      </c>
      <c r="E424" s="4" t="s">
        <v>32</v>
      </c>
      <c r="F424" s="4">
        <v>18000</v>
      </c>
      <c r="G424" s="4">
        <v>36</v>
      </c>
      <c r="H424" s="4" t="s">
        <v>17</v>
      </c>
      <c r="I424" s="4" t="s">
        <v>18</v>
      </c>
      <c r="J424" s="4">
        <v>2</v>
      </c>
      <c r="K424" s="5" t="str">
        <f t="shared" si="6"/>
        <v>long</v>
      </c>
    </row>
    <row r="425" spans="1:11" x14ac:dyDescent="0.3">
      <c r="A425" s="3">
        <v>430</v>
      </c>
      <c r="B425" s="4">
        <v>25</v>
      </c>
      <c r="C425" s="4" t="s">
        <v>14</v>
      </c>
      <c r="D425" s="4" t="s">
        <v>33</v>
      </c>
      <c r="E425" s="4" t="s">
        <v>34</v>
      </c>
      <c r="F425" s="4">
        <v>100</v>
      </c>
      <c r="G425" s="4">
        <v>29</v>
      </c>
      <c r="H425" s="4" t="s">
        <v>12</v>
      </c>
      <c r="I425" s="4" t="s">
        <v>13</v>
      </c>
      <c r="J425" s="4">
        <v>5</v>
      </c>
      <c r="K425" s="5" t="str">
        <f t="shared" si="6"/>
        <v>long</v>
      </c>
    </row>
    <row r="426" spans="1:11" x14ac:dyDescent="0.3">
      <c r="A426" s="3">
        <v>431</v>
      </c>
      <c r="B426" s="4">
        <v>52</v>
      </c>
      <c r="C426" s="4" t="s">
        <v>9</v>
      </c>
      <c r="D426" s="4" t="s">
        <v>35</v>
      </c>
      <c r="E426" s="4" t="s">
        <v>36</v>
      </c>
      <c r="F426" s="4">
        <v>800</v>
      </c>
      <c r="G426" s="4">
        <v>30</v>
      </c>
      <c r="H426" s="4" t="s">
        <v>12</v>
      </c>
      <c r="I426" s="4" t="s">
        <v>18</v>
      </c>
      <c r="J426" s="4">
        <v>4</v>
      </c>
      <c r="K426" s="5" t="str">
        <f t="shared" si="6"/>
        <v>long</v>
      </c>
    </row>
    <row r="427" spans="1:11" x14ac:dyDescent="0.3">
      <c r="A427" s="3">
        <v>432</v>
      </c>
      <c r="B427" s="4">
        <v>58</v>
      </c>
      <c r="C427" s="4" t="s">
        <v>14</v>
      </c>
      <c r="D427" s="4" t="s">
        <v>37</v>
      </c>
      <c r="E427" s="4" t="s">
        <v>38</v>
      </c>
      <c r="F427" s="4">
        <v>20000</v>
      </c>
      <c r="G427" s="4">
        <v>37</v>
      </c>
      <c r="H427" s="4" t="s">
        <v>12</v>
      </c>
      <c r="I427" s="4" t="s">
        <v>13</v>
      </c>
      <c r="J427" s="4">
        <v>3</v>
      </c>
      <c r="K427" s="5" t="str">
        <f t="shared" si="6"/>
        <v>long</v>
      </c>
    </row>
    <row r="428" spans="1:11" x14ac:dyDescent="0.3">
      <c r="A428" s="3">
        <v>433</v>
      </c>
      <c r="B428" s="4">
        <v>32</v>
      </c>
      <c r="C428" s="4" t="s">
        <v>9</v>
      </c>
      <c r="D428" s="4" t="s">
        <v>39</v>
      </c>
      <c r="E428" s="4" t="s">
        <v>40</v>
      </c>
      <c r="F428" s="4">
        <v>12000</v>
      </c>
      <c r="G428" s="4">
        <v>31</v>
      </c>
      <c r="H428" s="4" t="s">
        <v>12</v>
      </c>
      <c r="I428" s="4" t="s">
        <v>13</v>
      </c>
      <c r="J428" s="4">
        <v>4</v>
      </c>
      <c r="K428" s="5" t="str">
        <f t="shared" si="6"/>
        <v>long</v>
      </c>
    </row>
    <row r="429" spans="1:11" x14ac:dyDescent="0.3">
      <c r="A429" s="3">
        <v>434</v>
      </c>
      <c r="B429" s="4">
        <v>55</v>
      </c>
      <c r="C429" s="4" t="s">
        <v>14</v>
      </c>
      <c r="D429" s="4" t="s">
        <v>41</v>
      </c>
      <c r="E429" s="4" t="s">
        <v>42</v>
      </c>
      <c r="F429" s="4">
        <v>6000</v>
      </c>
      <c r="G429" s="4">
        <v>32</v>
      </c>
      <c r="H429" s="4" t="s">
        <v>12</v>
      </c>
      <c r="I429" s="4" t="s">
        <v>13</v>
      </c>
      <c r="J429" s="4">
        <v>3</v>
      </c>
      <c r="K429" s="5" t="str">
        <f t="shared" si="6"/>
        <v>long</v>
      </c>
    </row>
    <row r="430" spans="1:11" x14ac:dyDescent="0.3">
      <c r="A430" s="3">
        <v>435</v>
      </c>
      <c r="B430" s="4">
        <v>65</v>
      </c>
      <c r="C430" s="4" t="s">
        <v>9</v>
      </c>
      <c r="D430" s="4" t="s">
        <v>43</v>
      </c>
      <c r="E430" s="4" t="s">
        <v>44</v>
      </c>
      <c r="F430" s="4">
        <v>4000</v>
      </c>
      <c r="G430" s="4">
        <v>33</v>
      </c>
      <c r="H430" s="4" t="s">
        <v>12</v>
      </c>
      <c r="I430" s="4" t="s">
        <v>18</v>
      </c>
      <c r="J430" s="4">
        <v>4</v>
      </c>
      <c r="K430" s="5" t="str">
        <f t="shared" si="6"/>
        <v>long</v>
      </c>
    </row>
    <row r="431" spans="1:11" x14ac:dyDescent="0.3">
      <c r="A431" s="3">
        <v>436</v>
      </c>
      <c r="B431" s="4">
        <v>55</v>
      </c>
      <c r="C431" s="4" t="s">
        <v>9</v>
      </c>
      <c r="D431" s="4" t="s">
        <v>10</v>
      </c>
      <c r="E431" s="4" t="s">
        <v>11</v>
      </c>
      <c r="F431" s="4">
        <v>15000</v>
      </c>
      <c r="G431" s="4">
        <v>34</v>
      </c>
      <c r="H431" s="4" t="s">
        <v>17</v>
      </c>
      <c r="I431" s="4" t="s">
        <v>13</v>
      </c>
      <c r="J431" s="4">
        <v>3</v>
      </c>
      <c r="K431" s="5" t="str">
        <f t="shared" si="6"/>
        <v>long</v>
      </c>
    </row>
    <row r="432" spans="1:11" x14ac:dyDescent="0.3">
      <c r="A432" s="3">
        <v>437</v>
      </c>
      <c r="B432" s="4">
        <v>62</v>
      </c>
      <c r="C432" s="4" t="s">
        <v>14</v>
      </c>
      <c r="D432" s="4" t="s">
        <v>15</v>
      </c>
      <c r="E432" s="4" t="s">
        <v>16</v>
      </c>
      <c r="F432" s="4">
        <v>2000</v>
      </c>
      <c r="G432" s="4">
        <v>32</v>
      </c>
      <c r="H432" s="4" t="s">
        <v>12</v>
      </c>
      <c r="I432" s="4" t="s">
        <v>18</v>
      </c>
      <c r="J432" s="4">
        <v>4</v>
      </c>
      <c r="K432" s="5" t="str">
        <f t="shared" si="6"/>
        <v>long</v>
      </c>
    </row>
    <row r="433" spans="1:11" x14ac:dyDescent="0.3">
      <c r="A433" s="3">
        <v>438</v>
      </c>
      <c r="B433" s="4">
        <v>35</v>
      </c>
      <c r="C433" s="4" t="s">
        <v>9</v>
      </c>
      <c r="D433" s="4" t="s">
        <v>19</v>
      </c>
      <c r="E433" s="4" t="s">
        <v>20</v>
      </c>
      <c r="F433" s="4">
        <v>500</v>
      </c>
      <c r="G433" s="4">
        <v>30</v>
      </c>
      <c r="H433" s="4" t="s">
        <v>17</v>
      </c>
      <c r="I433" s="4" t="s">
        <v>13</v>
      </c>
      <c r="J433" s="4">
        <v>5</v>
      </c>
      <c r="K433" s="5" t="str">
        <f t="shared" si="6"/>
        <v>long</v>
      </c>
    </row>
    <row r="434" spans="1:11" x14ac:dyDescent="0.3">
      <c r="A434" s="3">
        <v>439</v>
      </c>
      <c r="B434" s="4">
        <v>78</v>
      </c>
      <c r="C434" s="4" t="s">
        <v>14</v>
      </c>
      <c r="D434" s="4" t="s">
        <v>21</v>
      </c>
      <c r="E434" s="4" t="s">
        <v>22</v>
      </c>
      <c r="F434" s="4">
        <v>10000</v>
      </c>
      <c r="G434" s="4">
        <v>37</v>
      </c>
      <c r="H434" s="4" t="s">
        <v>12</v>
      </c>
      <c r="I434" s="4" t="s">
        <v>18</v>
      </c>
      <c r="J434" s="4">
        <v>2</v>
      </c>
      <c r="K434" s="5" t="str">
        <f t="shared" si="6"/>
        <v>long</v>
      </c>
    </row>
    <row r="435" spans="1:11" x14ac:dyDescent="0.3">
      <c r="A435" s="3">
        <v>440</v>
      </c>
      <c r="B435" s="4">
        <v>53</v>
      </c>
      <c r="C435" s="4" t="s">
        <v>9</v>
      </c>
      <c r="D435" s="4" t="s">
        <v>23</v>
      </c>
      <c r="E435" s="4" t="s">
        <v>24</v>
      </c>
      <c r="F435" s="4">
        <v>25000</v>
      </c>
      <c r="G435" s="4">
        <v>39</v>
      </c>
      <c r="H435" s="4" t="s">
        <v>17</v>
      </c>
      <c r="I435" s="4" t="s">
        <v>13</v>
      </c>
      <c r="J435" s="4">
        <v>4</v>
      </c>
      <c r="K435" s="5" t="str">
        <f t="shared" si="6"/>
        <v>long</v>
      </c>
    </row>
    <row r="436" spans="1:11" x14ac:dyDescent="0.3">
      <c r="A436" s="3">
        <v>441</v>
      </c>
      <c r="B436" s="4">
        <v>72</v>
      </c>
      <c r="C436" s="4" t="s">
        <v>14</v>
      </c>
      <c r="D436" s="4" t="s">
        <v>25</v>
      </c>
      <c r="E436" s="4" t="s">
        <v>26</v>
      </c>
      <c r="F436" s="4">
        <v>1000</v>
      </c>
      <c r="G436" s="4">
        <v>31</v>
      </c>
      <c r="H436" s="4" t="s">
        <v>12</v>
      </c>
      <c r="I436" s="4" t="s">
        <v>18</v>
      </c>
      <c r="J436" s="4">
        <v>4</v>
      </c>
      <c r="K436" s="5" t="str">
        <f t="shared" si="6"/>
        <v>long</v>
      </c>
    </row>
    <row r="437" spans="1:11" x14ac:dyDescent="0.3">
      <c r="A437" s="3">
        <v>442</v>
      </c>
      <c r="B437" s="4">
        <v>60</v>
      </c>
      <c r="C437" s="4" t="s">
        <v>9</v>
      </c>
      <c r="D437" s="4" t="s">
        <v>27</v>
      </c>
      <c r="E437" s="4" t="s">
        <v>28</v>
      </c>
      <c r="F437" s="4">
        <v>8000</v>
      </c>
      <c r="G437" s="4">
        <v>33</v>
      </c>
      <c r="H437" s="4" t="s">
        <v>17</v>
      </c>
      <c r="I437" s="4" t="s">
        <v>13</v>
      </c>
      <c r="J437" s="4">
        <v>3</v>
      </c>
      <c r="K437" s="5" t="str">
        <f t="shared" si="6"/>
        <v>long</v>
      </c>
    </row>
    <row r="438" spans="1:11" x14ac:dyDescent="0.3">
      <c r="A438" s="3">
        <v>443</v>
      </c>
      <c r="B438" s="4">
        <v>45</v>
      </c>
      <c r="C438" s="4" t="s">
        <v>14</v>
      </c>
      <c r="D438" s="4" t="s">
        <v>29</v>
      </c>
      <c r="E438" s="4" t="s">
        <v>30</v>
      </c>
      <c r="F438" s="4">
        <v>3000</v>
      </c>
      <c r="G438" s="4">
        <v>35</v>
      </c>
      <c r="H438" s="4" t="s">
        <v>12</v>
      </c>
      <c r="I438" s="4" t="s">
        <v>13</v>
      </c>
      <c r="J438" s="4">
        <v>4</v>
      </c>
      <c r="K438" s="5" t="str">
        <f t="shared" si="6"/>
        <v>long</v>
      </c>
    </row>
    <row r="439" spans="1:11" x14ac:dyDescent="0.3">
      <c r="A439" s="3">
        <v>444</v>
      </c>
      <c r="B439" s="4">
        <v>75</v>
      </c>
      <c r="C439" s="4" t="s">
        <v>9</v>
      </c>
      <c r="D439" s="4" t="s">
        <v>31</v>
      </c>
      <c r="E439" s="4" t="s">
        <v>32</v>
      </c>
      <c r="F439" s="4">
        <v>18000</v>
      </c>
      <c r="G439" s="4">
        <v>37</v>
      </c>
      <c r="H439" s="4" t="s">
        <v>17</v>
      </c>
      <c r="I439" s="4" t="s">
        <v>18</v>
      </c>
      <c r="J439" s="4">
        <v>2</v>
      </c>
      <c r="K439" s="5" t="str">
        <f t="shared" si="6"/>
        <v>long</v>
      </c>
    </row>
    <row r="440" spans="1:11" x14ac:dyDescent="0.3">
      <c r="A440" s="3">
        <v>445</v>
      </c>
      <c r="B440" s="4">
        <v>28</v>
      </c>
      <c r="C440" s="4" t="s">
        <v>14</v>
      </c>
      <c r="D440" s="4" t="s">
        <v>33</v>
      </c>
      <c r="E440" s="4" t="s">
        <v>34</v>
      </c>
      <c r="F440" s="4">
        <v>100</v>
      </c>
      <c r="G440" s="4">
        <v>30</v>
      </c>
      <c r="H440" s="4" t="s">
        <v>12</v>
      </c>
      <c r="I440" s="4" t="s">
        <v>13</v>
      </c>
      <c r="J440" s="4">
        <v>5</v>
      </c>
      <c r="K440" s="5" t="str">
        <f t="shared" si="6"/>
        <v>long</v>
      </c>
    </row>
    <row r="441" spans="1:11" x14ac:dyDescent="0.3">
      <c r="A441" s="3">
        <v>446</v>
      </c>
      <c r="B441" s="4">
        <v>52</v>
      </c>
      <c r="C441" s="4" t="s">
        <v>9</v>
      </c>
      <c r="D441" s="4" t="s">
        <v>35</v>
      </c>
      <c r="E441" s="4" t="s">
        <v>36</v>
      </c>
      <c r="F441" s="4">
        <v>800</v>
      </c>
      <c r="G441" s="4">
        <v>31</v>
      </c>
      <c r="H441" s="4" t="s">
        <v>12</v>
      </c>
      <c r="I441" s="4" t="s">
        <v>18</v>
      </c>
      <c r="J441" s="4">
        <v>4</v>
      </c>
      <c r="K441" s="5" t="str">
        <f t="shared" si="6"/>
        <v>long</v>
      </c>
    </row>
    <row r="442" spans="1:11" x14ac:dyDescent="0.3">
      <c r="A442" s="3">
        <v>447</v>
      </c>
      <c r="B442" s="4">
        <v>67</v>
      </c>
      <c r="C442" s="4" t="s">
        <v>14</v>
      </c>
      <c r="D442" s="4" t="s">
        <v>37</v>
      </c>
      <c r="E442" s="4" t="s">
        <v>38</v>
      </c>
      <c r="F442" s="4">
        <v>20000</v>
      </c>
      <c r="G442" s="4">
        <v>38</v>
      </c>
      <c r="H442" s="4" t="s">
        <v>12</v>
      </c>
      <c r="I442" s="4" t="s">
        <v>13</v>
      </c>
      <c r="J442" s="4">
        <v>3</v>
      </c>
      <c r="K442" s="5" t="str">
        <f t="shared" si="6"/>
        <v>long</v>
      </c>
    </row>
    <row r="443" spans="1:11" x14ac:dyDescent="0.3">
      <c r="A443" s="3">
        <v>448</v>
      </c>
      <c r="B443" s="4">
        <v>35</v>
      </c>
      <c r="C443" s="4" t="s">
        <v>9</v>
      </c>
      <c r="D443" s="4" t="s">
        <v>39</v>
      </c>
      <c r="E443" s="4" t="s">
        <v>40</v>
      </c>
      <c r="F443" s="4">
        <v>12000</v>
      </c>
      <c r="G443" s="4">
        <v>32</v>
      </c>
      <c r="H443" s="4" t="s">
        <v>12</v>
      </c>
      <c r="I443" s="4" t="s">
        <v>13</v>
      </c>
      <c r="J443" s="4">
        <v>4</v>
      </c>
      <c r="K443" s="5" t="str">
        <f t="shared" si="6"/>
        <v>long</v>
      </c>
    </row>
    <row r="444" spans="1:11" x14ac:dyDescent="0.3">
      <c r="A444" s="3">
        <v>449</v>
      </c>
      <c r="B444" s="4">
        <v>50</v>
      </c>
      <c r="C444" s="4" t="s">
        <v>14</v>
      </c>
      <c r="D444" s="4" t="s">
        <v>41</v>
      </c>
      <c r="E444" s="4" t="s">
        <v>42</v>
      </c>
      <c r="F444" s="4">
        <v>6000</v>
      </c>
      <c r="G444" s="4">
        <v>33</v>
      </c>
      <c r="H444" s="4" t="s">
        <v>12</v>
      </c>
      <c r="I444" s="4" t="s">
        <v>13</v>
      </c>
      <c r="J444" s="4">
        <v>3</v>
      </c>
      <c r="K444" s="5" t="str">
        <f t="shared" si="6"/>
        <v>long</v>
      </c>
    </row>
    <row r="445" spans="1:11" x14ac:dyDescent="0.3">
      <c r="A445" s="3">
        <v>450</v>
      </c>
      <c r="B445" s="4">
        <v>60</v>
      </c>
      <c r="C445" s="4" t="s">
        <v>9</v>
      </c>
      <c r="D445" s="4" t="s">
        <v>43</v>
      </c>
      <c r="E445" s="4" t="s">
        <v>44</v>
      </c>
      <c r="F445" s="4">
        <v>4000</v>
      </c>
      <c r="G445" s="4">
        <v>34</v>
      </c>
      <c r="H445" s="4" t="s">
        <v>12</v>
      </c>
      <c r="I445" s="4" t="s">
        <v>18</v>
      </c>
      <c r="J445" s="4">
        <v>4</v>
      </c>
      <c r="K445" s="5" t="str">
        <f t="shared" si="6"/>
        <v>long</v>
      </c>
    </row>
    <row r="446" spans="1:11" x14ac:dyDescent="0.3">
      <c r="A446" s="3">
        <v>451</v>
      </c>
      <c r="B446" s="4">
        <v>48</v>
      </c>
      <c r="C446" s="4" t="s">
        <v>9</v>
      </c>
      <c r="D446" s="4" t="s">
        <v>10</v>
      </c>
      <c r="E446" s="4" t="s">
        <v>11</v>
      </c>
      <c r="F446" s="4">
        <v>15000</v>
      </c>
      <c r="G446" s="4">
        <v>35</v>
      </c>
      <c r="H446" s="4" t="s">
        <v>17</v>
      </c>
      <c r="I446" s="4" t="s">
        <v>13</v>
      </c>
      <c r="J446" s="4">
        <v>4</v>
      </c>
      <c r="K446" s="5" t="str">
        <f t="shared" si="6"/>
        <v>long</v>
      </c>
    </row>
    <row r="447" spans="1:11" x14ac:dyDescent="0.3">
      <c r="A447" s="3">
        <v>452</v>
      </c>
      <c r="B447" s="4">
        <v>65</v>
      </c>
      <c r="C447" s="4" t="s">
        <v>14</v>
      </c>
      <c r="D447" s="4" t="s">
        <v>15</v>
      </c>
      <c r="E447" s="4" t="s">
        <v>16</v>
      </c>
      <c r="F447" s="4">
        <v>2000</v>
      </c>
      <c r="G447" s="4">
        <v>33</v>
      </c>
      <c r="H447" s="4" t="s">
        <v>12</v>
      </c>
      <c r="I447" s="4" t="s">
        <v>18</v>
      </c>
      <c r="J447" s="4">
        <v>3</v>
      </c>
      <c r="K447" s="5" t="str">
        <f t="shared" si="6"/>
        <v>long</v>
      </c>
    </row>
    <row r="448" spans="1:11" x14ac:dyDescent="0.3">
      <c r="A448" s="3">
        <v>453</v>
      </c>
      <c r="B448" s="4">
        <v>30</v>
      </c>
      <c r="C448" s="4" t="s">
        <v>9</v>
      </c>
      <c r="D448" s="4" t="s">
        <v>19</v>
      </c>
      <c r="E448" s="4" t="s">
        <v>20</v>
      </c>
      <c r="F448" s="4">
        <v>500</v>
      </c>
      <c r="G448" s="4">
        <v>31</v>
      </c>
      <c r="H448" s="4" t="s">
        <v>12</v>
      </c>
      <c r="I448" s="4" t="s">
        <v>13</v>
      </c>
      <c r="J448" s="4">
        <v>5</v>
      </c>
      <c r="K448" s="5" t="str">
        <f t="shared" si="6"/>
        <v>long</v>
      </c>
    </row>
    <row r="449" spans="1:11" x14ac:dyDescent="0.3">
      <c r="A449" s="3">
        <v>454</v>
      </c>
      <c r="B449" s="4">
        <v>70</v>
      </c>
      <c r="C449" s="4" t="s">
        <v>14</v>
      </c>
      <c r="D449" s="4" t="s">
        <v>21</v>
      </c>
      <c r="E449" s="4" t="s">
        <v>22</v>
      </c>
      <c r="F449" s="4">
        <v>10000</v>
      </c>
      <c r="G449" s="4">
        <v>38</v>
      </c>
      <c r="H449" s="4" t="s">
        <v>17</v>
      </c>
      <c r="I449" s="4" t="s">
        <v>18</v>
      </c>
      <c r="J449" s="4">
        <v>2</v>
      </c>
      <c r="K449" s="5" t="str">
        <f t="shared" si="6"/>
        <v>long</v>
      </c>
    </row>
    <row r="450" spans="1:11" x14ac:dyDescent="0.3">
      <c r="A450" s="3">
        <v>455</v>
      </c>
      <c r="B450" s="4">
        <v>55</v>
      </c>
      <c r="C450" s="4" t="s">
        <v>9</v>
      </c>
      <c r="D450" s="4" t="s">
        <v>23</v>
      </c>
      <c r="E450" s="4" t="s">
        <v>24</v>
      </c>
      <c r="F450" s="4">
        <v>25000</v>
      </c>
      <c r="G450" s="4">
        <v>40</v>
      </c>
      <c r="H450" s="4" t="s">
        <v>12</v>
      </c>
      <c r="I450" s="4" t="s">
        <v>13</v>
      </c>
      <c r="J450" s="4">
        <v>4</v>
      </c>
      <c r="K450" s="5" t="str">
        <f t="shared" si="6"/>
        <v>long</v>
      </c>
    </row>
    <row r="451" spans="1:11" x14ac:dyDescent="0.3">
      <c r="A451" s="3">
        <v>456</v>
      </c>
      <c r="B451" s="4">
        <v>68</v>
      </c>
      <c r="C451" s="4" t="s">
        <v>14</v>
      </c>
      <c r="D451" s="4" t="s">
        <v>25</v>
      </c>
      <c r="E451" s="4" t="s">
        <v>26</v>
      </c>
      <c r="F451" s="4">
        <v>1000</v>
      </c>
      <c r="G451" s="4">
        <v>32</v>
      </c>
      <c r="H451" s="4" t="s">
        <v>12</v>
      </c>
      <c r="I451" s="4" t="s">
        <v>18</v>
      </c>
      <c r="J451" s="4">
        <v>4</v>
      </c>
      <c r="K451" s="5" t="str">
        <f t="shared" si="6"/>
        <v>long</v>
      </c>
    </row>
    <row r="452" spans="1:11" x14ac:dyDescent="0.3">
      <c r="A452" s="3">
        <v>457</v>
      </c>
      <c r="B452" s="4">
        <v>45</v>
      </c>
      <c r="C452" s="4" t="s">
        <v>9</v>
      </c>
      <c r="D452" s="4" t="s">
        <v>27</v>
      </c>
      <c r="E452" s="4" t="s">
        <v>28</v>
      </c>
      <c r="F452" s="4">
        <v>8000</v>
      </c>
      <c r="G452" s="4">
        <v>34</v>
      </c>
      <c r="H452" s="4" t="s">
        <v>12</v>
      </c>
      <c r="I452" s="4" t="s">
        <v>13</v>
      </c>
      <c r="J452" s="4">
        <v>3</v>
      </c>
      <c r="K452" s="5" t="str">
        <f t="shared" ref="K452:K515" si="7">IF(G452&lt;=3,"short",IF(G452&lt;=7,"medium","long"))</f>
        <v>long</v>
      </c>
    </row>
    <row r="453" spans="1:11" x14ac:dyDescent="0.3">
      <c r="A453" s="3">
        <v>458</v>
      </c>
      <c r="B453" s="4">
        <v>40</v>
      </c>
      <c r="C453" s="4" t="s">
        <v>14</v>
      </c>
      <c r="D453" s="4" t="s">
        <v>29</v>
      </c>
      <c r="E453" s="4" t="s">
        <v>30</v>
      </c>
      <c r="F453" s="4">
        <v>3000</v>
      </c>
      <c r="G453" s="4">
        <v>36</v>
      </c>
      <c r="H453" s="4" t="s">
        <v>12</v>
      </c>
      <c r="I453" s="4" t="s">
        <v>13</v>
      </c>
      <c r="J453" s="4">
        <v>4</v>
      </c>
      <c r="K453" s="5" t="str">
        <f t="shared" si="7"/>
        <v>long</v>
      </c>
    </row>
    <row r="454" spans="1:11" x14ac:dyDescent="0.3">
      <c r="A454" s="3">
        <v>459</v>
      </c>
      <c r="B454" s="4">
        <v>78</v>
      </c>
      <c r="C454" s="4" t="s">
        <v>9</v>
      </c>
      <c r="D454" s="4" t="s">
        <v>31</v>
      </c>
      <c r="E454" s="4" t="s">
        <v>32</v>
      </c>
      <c r="F454" s="4">
        <v>18000</v>
      </c>
      <c r="G454" s="4">
        <v>38</v>
      </c>
      <c r="H454" s="4" t="s">
        <v>17</v>
      </c>
      <c r="I454" s="4" t="s">
        <v>18</v>
      </c>
      <c r="J454" s="4">
        <v>2</v>
      </c>
      <c r="K454" s="5" t="str">
        <f t="shared" si="7"/>
        <v>long</v>
      </c>
    </row>
    <row r="455" spans="1:11" x14ac:dyDescent="0.3">
      <c r="A455" s="3">
        <v>460</v>
      </c>
      <c r="B455" s="4">
        <v>25</v>
      </c>
      <c r="C455" s="4" t="s">
        <v>14</v>
      </c>
      <c r="D455" s="4" t="s">
        <v>33</v>
      </c>
      <c r="E455" s="4" t="s">
        <v>34</v>
      </c>
      <c r="F455" s="4">
        <v>100</v>
      </c>
      <c r="G455" s="4">
        <v>31</v>
      </c>
      <c r="H455" s="4" t="s">
        <v>12</v>
      </c>
      <c r="I455" s="4" t="s">
        <v>13</v>
      </c>
      <c r="J455" s="4">
        <v>5</v>
      </c>
      <c r="K455" s="5" t="str">
        <f t="shared" si="7"/>
        <v>long</v>
      </c>
    </row>
    <row r="456" spans="1:11" x14ac:dyDescent="0.3">
      <c r="A456" s="3">
        <v>461</v>
      </c>
      <c r="B456" s="4">
        <v>52</v>
      </c>
      <c r="C456" s="4" t="s">
        <v>9</v>
      </c>
      <c r="D456" s="4" t="s">
        <v>35</v>
      </c>
      <c r="E456" s="4" t="s">
        <v>36</v>
      </c>
      <c r="F456" s="4">
        <v>800</v>
      </c>
      <c r="G456" s="4">
        <v>32</v>
      </c>
      <c r="H456" s="4" t="s">
        <v>12</v>
      </c>
      <c r="I456" s="4" t="s">
        <v>18</v>
      </c>
      <c r="J456" s="4">
        <v>4</v>
      </c>
      <c r="K456" s="5" t="str">
        <f t="shared" si="7"/>
        <v>long</v>
      </c>
    </row>
    <row r="457" spans="1:11" x14ac:dyDescent="0.3">
      <c r="A457" s="3">
        <v>462</v>
      </c>
      <c r="B457" s="4">
        <v>58</v>
      </c>
      <c r="C457" s="4" t="s">
        <v>14</v>
      </c>
      <c r="D457" s="4" t="s">
        <v>37</v>
      </c>
      <c r="E457" s="4" t="s">
        <v>38</v>
      </c>
      <c r="F457" s="4">
        <v>20000</v>
      </c>
      <c r="G457" s="4">
        <v>39</v>
      </c>
      <c r="H457" s="4" t="s">
        <v>12</v>
      </c>
      <c r="I457" s="4" t="s">
        <v>13</v>
      </c>
      <c r="J457" s="4">
        <v>3</v>
      </c>
      <c r="K457" s="5" t="str">
        <f t="shared" si="7"/>
        <v>long</v>
      </c>
    </row>
    <row r="458" spans="1:11" x14ac:dyDescent="0.3">
      <c r="A458" s="3">
        <v>463</v>
      </c>
      <c r="B458" s="4">
        <v>32</v>
      </c>
      <c r="C458" s="4" t="s">
        <v>9</v>
      </c>
      <c r="D458" s="4" t="s">
        <v>39</v>
      </c>
      <c r="E458" s="4" t="s">
        <v>40</v>
      </c>
      <c r="F458" s="4">
        <v>12000</v>
      </c>
      <c r="G458" s="4">
        <v>33</v>
      </c>
      <c r="H458" s="4" t="s">
        <v>12</v>
      </c>
      <c r="I458" s="4" t="s">
        <v>13</v>
      </c>
      <c r="J458" s="4">
        <v>4</v>
      </c>
      <c r="K458" s="5" t="str">
        <f t="shared" si="7"/>
        <v>long</v>
      </c>
    </row>
    <row r="459" spans="1:11" x14ac:dyDescent="0.3">
      <c r="A459" s="3">
        <v>464</v>
      </c>
      <c r="B459" s="4">
        <v>55</v>
      </c>
      <c r="C459" s="4" t="s">
        <v>14</v>
      </c>
      <c r="D459" s="4" t="s">
        <v>41</v>
      </c>
      <c r="E459" s="4" t="s">
        <v>42</v>
      </c>
      <c r="F459" s="4">
        <v>6000</v>
      </c>
      <c r="G459" s="4">
        <v>34</v>
      </c>
      <c r="H459" s="4" t="s">
        <v>12</v>
      </c>
      <c r="I459" s="4" t="s">
        <v>13</v>
      </c>
      <c r="J459" s="4">
        <v>3</v>
      </c>
      <c r="K459" s="5" t="str">
        <f t="shared" si="7"/>
        <v>long</v>
      </c>
    </row>
    <row r="460" spans="1:11" x14ac:dyDescent="0.3">
      <c r="A460" s="3">
        <v>465</v>
      </c>
      <c r="B460" s="4">
        <v>65</v>
      </c>
      <c r="C460" s="4" t="s">
        <v>9</v>
      </c>
      <c r="D460" s="4" t="s">
        <v>43</v>
      </c>
      <c r="E460" s="4" t="s">
        <v>44</v>
      </c>
      <c r="F460" s="4">
        <v>4000</v>
      </c>
      <c r="G460" s="4">
        <v>35</v>
      </c>
      <c r="H460" s="4" t="s">
        <v>12</v>
      </c>
      <c r="I460" s="4" t="s">
        <v>18</v>
      </c>
      <c r="J460" s="4">
        <v>4</v>
      </c>
      <c r="K460" s="5" t="str">
        <f t="shared" si="7"/>
        <v>long</v>
      </c>
    </row>
    <row r="461" spans="1:11" x14ac:dyDescent="0.3">
      <c r="A461" s="3">
        <v>466</v>
      </c>
      <c r="B461" s="4">
        <v>55</v>
      </c>
      <c r="C461" s="4" t="s">
        <v>9</v>
      </c>
      <c r="D461" s="4" t="s">
        <v>10</v>
      </c>
      <c r="E461" s="4" t="s">
        <v>11</v>
      </c>
      <c r="F461" s="4">
        <v>15000</v>
      </c>
      <c r="G461" s="4">
        <v>36</v>
      </c>
      <c r="H461" s="4" t="s">
        <v>17</v>
      </c>
      <c r="I461" s="4" t="s">
        <v>13</v>
      </c>
      <c r="J461" s="4">
        <v>3</v>
      </c>
      <c r="K461" s="5" t="str">
        <f t="shared" si="7"/>
        <v>long</v>
      </c>
    </row>
    <row r="462" spans="1:11" x14ac:dyDescent="0.3">
      <c r="A462" s="3">
        <v>467</v>
      </c>
      <c r="B462" s="4">
        <v>62</v>
      </c>
      <c r="C462" s="4" t="s">
        <v>14</v>
      </c>
      <c r="D462" s="4" t="s">
        <v>15</v>
      </c>
      <c r="E462" s="4" t="s">
        <v>16</v>
      </c>
      <c r="F462" s="4">
        <v>2000</v>
      </c>
      <c r="G462" s="4">
        <v>34</v>
      </c>
      <c r="H462" s="4" t="s">
        <v>12</v>
      </c>
      <c r="I462" s="4" t="s">
        <v>18</v>
      </c>
      <c r="J462" s="4">
        <v>4</v>
      </c>
      <c r="K462" s="5" t="str">
        <f t="shared" si="7"/>
        <v>long</v>
      </c>
    </row>
    <row r="463" spans="1:11" x14ac:dyDescent="0.3">
      <c r="A463" s="3">
        <v>468</v>
      </c>
      <c r="B463" s="4">
        <v>35</v>
      </c>
      <c r="C463" s="4" t="s">
        <v>9</v>
      </c>
      <c r="D463" s="4" t="s">
        <v>19</v>
      </c>
      <c r="E463" s="4" t="s">
        <v>20</v>
      </c>
      <c r="F463" s="4">
        <v>500</v>
      </c>
      <c r="G463" s="4">
        <v>32</v>
      </c>
      <c r="H463" s="4" t="s">
        <v>17</v>
      </c>
      <c r="I463" s="4" t="s">
        <v>13</v>
      </c>
      <c r="J463" s="4">
        <v>5</v>
      </c>
      <c r="K463" s="5" t="str">
        <f t="shared" si="7"/>
        <v>long</v>
      </c>
    </row>
    <row r="464" spans="1:11" x14ac:dyDescent="0.3">
      <c r="A464" s="3">
        <v>469</v>
      </c>
      <c r="B464" s="4">
        <v>78</v>
      </c>
      <c r="C464" s="4" t="s">
        <v>14</v>
      </c>
      <c r="D464" s="4" t="s">
        <v>21</v>
      </c>
      <c r="E464" s="4" t="s">
        <v>22</v>
      </c>
      <c r="F464" s="4">
        <v>10000</v>
      </c>
      <c r="G464" s="4">
        <v>39</v>
      </c>
      <c r="H464" s="4" t="s">
        <v>12</v>
      </c>
      <c r="I464" s="4" t="s">
        <v>18</v>
      </c>
      <c r="J464" s="4">
        <v>2</v>
      </c>
      <c r="K464" s="5" t="str">
        <f t="shared" si="7"/>
        <v>long</v>
      </c>
    </row>
    <row r="465" spans="1:11" x14ac:dyDescent="0.3">
      <c r="A465" s="3">
        <v>470</v>
      </c>
      <c r="B465" s="4">
        <v>53</v>
      </c>
      <c r="C465" s="4" t="s">
        <v>9</v>
      </c>
      <c r="D465" s="4" t="s">
        <v>23</v>
      </c>
      <c r="E465" s="4" t="s">
        <v>24</v>
      </c>
      <c r="F465" s="4">
        <v>25000</v>
      </c>
      <c r="G465" s="4">
        <v>41</v>
      </c>
      <c r="H465" s="4" t="s">
        <v>17</v>
      </c>
      <c r="I465" s="4" t="s">
        <v>13</v>
      </c>
      <c r="J465" s="4">
        <v>4</v>
      </c>
      <c r="K465" s="5" t="str">
        <f t="shared" si="7"/>
        <v>long</v>
      </c>
    </row>
    <row r="466" spans="1:11" x14ac:dyDescent="0.3">
      <c r="A466" s="3">
        <v>471</v>
      </c>
      <c r="B466" s="4">
        <v>72</v>
      </c>
      <c r="C466" s="4" t="s">
        <v>14</v>
      </c>
      <c r="D466" s="4" t="s">
        <v>25</v>
      </c>
      <c r="E466" s="4" t="s">
        <v>26</v>
      </c>
      <c r="F466" s="4">
        <v>1000</v>
      </c>
      <c r="G466" s="4">
        <v>33</v>
      </c>
      <c r="H466" s="4" t="s">
        <v>12</v>
      </c>
      <c r="I466" s="4" t="s">
        <v>18</v>
      </c>
      <c r="J466" s="4">
        <v>4</v>
      </c>
      <c r="K466" s="5" t="str">
        <f t="shared" si="7"/>
        <v>long</v>
      </c>
    </row>
    <row r="467" spans="1:11" x14ac:dyDescent="0.3">
      <c r="A467" s="3">
        <v>472</v>
      </c>
      <c r="B467" s="4">
        <v>60</v>
      </c>
      <c r="C467" s="4" t="s">
        <v>9</v>
      </c>
      <c r="D467" s="4" t="s">
        <v>27</v>
      </c>
      <c r="E467" s="4" t="s">
        <v>28</v>
      </c>
      <c r="F467" s="4">
        <v>8000</v>
      </c>
      <c r="G467" s="4">
        <v>35</v>
      </c>
      <c r="H467" s="4" t="s">
        <v>17</v>
      </c>
      <c r="I467" s="4" t="s">
        <v>13</v>
      </c>
      <c r="J467" s="4">
        <v>3</v>
      </c>
      <c r="K467" s="5" t="str">
        <f t="shared" si="7"/>
        <v>long</v>
      </c>
    </row>
    <row r="468" spans="1:11" x14ac:dyDescent="0.3">
      <c r="A468" s="3">
        <v>473</v>
      </c>
      <c r="B468" s="4">
        <v>45</v>
      </c>
      <c r="C468" s="4" t="s">
        <v>14</v>
      </c>
      <c r="D468" s="4" t="s">
        <v>29</v>
      </c>
      <c r="E468" s="4" t="s">
        <v>30</v>
      </c>
      <c r="F468" s="4">
        <v>3000</v>
      </c>
      <c r="G468" s="4">
        <v>37</v>
      </c>
      <c r="H468" s="4" t="s">
        <v>12</v>
      </c>
      <c r="I468" s="4" t="s">
        <v>13</v>
      </c>
      <c r="J468" s="4">
        <v>4</v>
      </c>
      <c r="K468" s="5" t="str">
        <f t="shared" si="7"/>
        <v>long</v>
      </c>
    </row>
    <row r="469" spans="1:11" x14ac:dyDescent="0.3">
      <c r="A469" s="3">
        <v>474</v>
      </c>
      <c r="B469" s="4">
        <v>75</v>
      </c>
      <c r="C469" s="4" t="s">
        <v>9</v>
      </c>
      <c r="D469" s="4" t="s">
        <v>31</v>
      </c>
      <c r="E469" s="4" t="s">
        <v>32</v>
      </c>
      <c r="F469" s="4">
        <v>18000</v>
      </c>
      <c r="G469" s="4">
        <v>39</v>
      </c>
      <c r="H469" s="4" t="s">
        <v>17</v>
      </c>
      <c r="I469" s="4" t="s">
        <v>18</v>
      </c>
      <c r="J469" s="4">
        <v>2</v>
      </c>
      <c r="K469" s="5" t="str">
        <f t="shared" si="7"/>
        <v>long</v>
      </c>
    </row>
    <row r="470" spans="1:11" x14ac:dyDescent="0.3">
      <c r="A470" s="3">
        <v>475</v>
      </c>
      <c r="B470" s="4">
        <v>28</v>
      </c>
      <c r="C470" s="4" t="s">
        <v>14</v>
      </c>
      <c r="D470" s="4" t="s">
        <v>33</v>
      </c>
      <c r="E470" s="4" t="s">
        <v>34</v>
      </c>
      <c r="F470" s="4">
        <v>100</v>
      </c>
      <c r="G470" s="4">
        <v>32</v>
      </c>
      <c r="H470" s="4" t="s">
        <v>12</v>
      </c>
      <c r="I470" s="4" t="s">
        <v>13</v>
      </c>
      <c r="J470" s="4">
        <v>5</v>
      </c>
      <c r="K470" s="5" t="str">
        <f t="shared" si="7"/>
        <v>long</v>
      </c>
    </row>
    <row r="471" spans="1:11" x14ac:dyDescent="0.3">
      <c r="A471" s="3">
        <v>476</v>
      </c>
      <c r="B471" s="4">
        <v>52</v>
      </c>
      <c r="C471" s="4" t="s">
        <v>9</v>
      </c>
      <c r="D471" s="4" t="s">
        <v>35</v>
      </c>
      <c r="E471" s="4" t="s">
        <v>36</v>
      </c>
      <c r="F471" s="4">
        <v>800</v>
      </c>
      <c r="G471" s="4">
        <v>33</v>
      </c>
      <c r="H471" s="4" t="s">
        <v>12</v>
      </c>
      <c r="I471" s="4" t="s">
        <v>18</v>
      </c>
      <c r="J471" s="4">
        <v>4</v>
      </c>
      <c r="K471" s="5" t="str">
        <f t="shared" si="7"/>
        <v>long</v>
      </c>
    </row>
    <row r="472" spans="1:11" x14ac:dyDescent="0.3">
      <c r="A472" s="3">
        <v>477</v>
      </c>
      <c r="B472" s="4">
        <v>67</v>
      </c>
      <c r="C472" s="4" t="s">
        <v>14</v>
      </c>
      <c r="D472" s="4" t="s">
        <v>37</v>
      </c>
      <c r="E472" s="4" t="s">
        <v>38</v>
      </c>
      <c r="F472" s="4">
        <v>20000</v>
      </c>
      <c r="G472" s="4">
        <v>40</v>
      </c>
      <c r="H472" s="4" t="s">
        <v>12</v>
      </c>
      <c r="I472" s="4" t="s">
        <v>13</v>
      </c>
      <c r="J472" s="4">
        <v>3</v>
      </c>
      <c r="K472" s="5" t="str">
        <f t="shared" si="7"/>
        <v>long</v>
      </c>
    </row>
    <row r="473" spans="1:11" x14ac:dyDescent="0.3">
      <c r="A473" s="3">
        <v>479</v>
      </c>
      <c r="B473" s="4">
        <v>50</v>
      </c>
      <c r="C473" s="4" t="s">
        <v>14</v>
      </c>
      <c r="D473" s="4" t="s">
        <v>41</v>
      </c>
      <c r="E473" s="4" t="s">
        <v>42</v>
      </c>
      <c r="F473" s="4">
        <v>6000</v>
      </c>
      <c r="G473" s="4">
        <v>35</v>
      </c>
      <c r="H473" s="4" t="s">
        <v>12</v>
      </c>
      <c r="I473" s="4" t="s">
        <v>13</v>
      </c>
      <c r="J473" s="4">
        <v>3</v>
      </c>
      <c r="K473" s="5" t="str">
        <f t="shared" si="7"/>
        <v>long</v>
      </c>
    </row>
    <row r="474" spans="1:11" x14ac:dyDescent="0.3">
      <c r="A474" s="3">
        <v>480</v>
      </c>
      <c r="B474" s="4">
        <v>60</v>
      </c>
      <c r="C474" s="4" t="s">
        <v>9</v>
      </c>
      <c r="D474" s="4" t="s">
        <v>43</v>
      </c>
      <c r="E474" s="4" t="s">
        <v>44</v>
      </c>
      <c r="F474" s="4">
        <v>4000</v>
      </c>
      <c r="G474" s="4">
        <v>36</v>
      </c>
      <c r="H474" s="4" t="s">
        <v>12</v>
      </c>
      <c r="I474" s="4" t="s">
        <v>18</v>
      </c>
      <c r="J474" s="4">
        <v>4</v>
      </c>
      <c r="K474" s="5" t="str">
        <f t="shared" si="7"/>
        <v>long</v>
      </c>
    </row>
    <row r="475" spans="1:11" x14ac:dyDescent="0.3">
      <c r="A475" s="3">
        <v>481</v>
      </c>
      <c r="B475" s="4">
        <v>48</v>
      </c>
      <c r="C475" s="4" t="s">
        <v>9</v>
      </c>
      <c r="D475" s="4" t="s">
        <v>10</v>
      </c>
      <c r="E475" s="4" t="s">
        <v>11</v>
      </c>
      <c r="F475" s="4">
        <v>15000</v>
      </c>
      <c r="G475" s="4">
        <v>37</v>
      </c>
      <c r="H475" s="4" t="s">
        <v>17</v>
      </c>
      <c r="I475" s="4" t="s">
        <v>13</v>
      </c>
      <c r="J475" s="4">
        <v>4</v>
      </c>
      <c r="K475" s="5" t="str">
        <f t="shared" si="7"/>
        <v>long</v>
      </c>
    </row>
    <row r="476" spans="1:11" x14ac:dyDescent="0.3">
      <c r="A476" s="3">
        <v>482</v>
      </c>
      <c r="B476" s="4">
        <v>65</v>
      </c>
      <c r="C476" s="4" t="s">
        <v>14</v>
      </c>
      <c r="D476" s="4" t="s">
        <v>15</v>
      </c>
      <c r="E476" s="4" t="s">
        <v>16</v>
      </c>
      <c r="F476" s="4">
        <v>2000</v>
      </c>
      <c r="G476" s="4">
        <v>35</v>
      </c>
      <c r="H476" s="4" t="s">
        <v>12</v>
      </c>
      <c r="I476" s="4" t="s">
        <v>18</v>
      </c>
      <c r="J476" s="4">
        <v>3</v>
      </c>
      <c r="K476" s="5" t="str">
        <f t="shared" si="7"/>
        <v>long</v>
      </c>
    </row>
    <row r="477" spans="1:11" x14ac:dyDescent="0.3">
      <c r="A477" s="3">
        <v>483</v>
      </c>
      <c r="B477" s="4">
        <v>30</v>
      </c>
      <c r="C477" s="4" t="s">
        <v>9</v>
      </c>
      <c r="D477" s="4" t="s">
        <v>19</v>
      </c>
      <c r="E477" s="4" t="s">
        <v>20</v>
      </c>
      <c r="F477" s="4">
        <v>500</v>
      </c>
      <c r="G477" s="4">
        <v>33</v>
      </c>
      <c r="H477" s="4" t="s">
        <v>12</v>
      </c>
      <c r="I477" s="4" t="s">
        <v>13</v>
      </c>
      <c r="J477" s="4">
        <v>5</v>
      </c>
      <c r="K477" s="5" t="str">
        <f t="shared" si="7"/>
        <v>long</v>
      </c>
    </row>
    <row r="478" spans="1:11" x14ac:dyDescent="0.3">
      <c r="A478" s="3">
        <v>484</v>
      </c>
      <c r="B478" s="4">
        <v>70</v>
      </c>
      <c r="C478" s="4" t="s">
        <v>14</v>
      </c>
      <c r="D478" s="4" t="s">
        <v>21</v>
      </c>
      <c r="E478" s="4" t="s">
        <v>22</v>
      </c>
      <c r="F478" s="4">
        <v>10000</v>
      </c>
      <c r="G478" s="4">
        <v>40</v>
      </c>
      <c r="H478" s="4" t="s">
        <v>17</v>
      </c>
      <c r="I478" s="4" t="s">
        <v>18</v>
      </c>
      <c r="J478" s="4">
        <v>2</v>
      </c>
      <c r="K478" s="5" t="str">
        <f t="shared" si="7"/>
        <v>long</v>
      </c>
    </row>
    <row r="479" spans="1:11" x14ac:dyDescent="0.3">
      <c r="A479" s="3">
        <v>485</v>
      </c>
      <c r="B479" s="4">
        <v>55</v>
      </c>
      <c r="C479" s="4" t="s">
        <v>9</v>
      </c>
      <c r="D479" s="4" t="s">
        <v>23</v>
      </c>
      <c r="E479" s="4" t="s">
        <v>24</v>
      </c>
      <c r="F479" s="4">
        <v>25000</v>
      </c>
      <c r="G479" s="4">
        <v>42</v>
      </c>
      <c r="H479" s="4" t="s">
        <v>12</v>
      </c>
      <c r="I479" s="4" t="s">
        <v>13</v>
      </c>
      <c r="J479" s="4">
        <v>4</v>
      </c>
      <c r="K479" s="5" t="str">
        <f t="shared" si="7"/>
        <v>long</v>
      </c>
    </row>
    <row r="480" spans="1:11" x14ac:dyDescent="0.3">
      <c r="A480" s="3">
        <v>486</v>
      </c>
      <c r="B480" s="4">
        <v>68</v>
      </c>
      <c r="C480" s="4" t="s">
        <v>14</v>
      </c>
      <c r="D480" s="4" t="s">
        <v>25</v>
      </c>
      <c r="E480" s="4" t="s">
        <v>26</v>
      </c>
      <c r="F480" s="4">
        <v>1000</v>
      </c>
      <c r="G480" s="4">
        <v>34</v>
      </c>
      <c r="H480" s="4" t="s">
        <v>12</v>
      </c>
      <c r="I480" s="4" t="s">
        <v>18</v>
      </c>
      <c r="J480" s="4">
        <v>4</v>
      </c>
      <c r="K480" s="5" t="str">
        <f t="shared" si="7"/>
        <v>long</v>
      </c>
    </row>
    <row r="481" spans="1:11" x14ac:dyDescent="0.3">
      <c r="A481" s="3">
        <v>487</v>
      </c>
      <c r="B481" s="4">
        <v>45</v>
      </c>
      <c r="C481" s="4" t="s">
        <v>9</v>
      </c>
      <c r="D481" s="4" t="s">
        <v>27</v>
      </c>
      <c r="E481" s="4" t="s">
        <v>28</v>
      </c>
      <c r="F481" s="4">
        <v>8000</v>
      </c>
      <c r="G481" s="4">
        <v>36</v>
      </c>
      <c r="H481" s="4" t="s">
        <v>12</v>
      </c>
      <c r="I481" s="4" t="s">
        <v>13</v>
      </c>
      <c r="J481" s="4">
        <v>3</v>
      </c>
      <c r="K481" s="5" t="str">
        <f t="shared" si="7"/>
        <v>long</v>
      </c>
    </row>
    <row r="482" spans="1:11" x14ac:dyDescent="0.3">
      <c r="A482" s="3">
        <v>488</v>
      </c>
      <c r="B482" s="4">
        <v>40</v>
      </c>
      <c r="C482" s="4" t="s">
        <v>14</v>
      </c>
      <c r="D482" s="4" t="s">
        <v>29</v>
      </c>
      <c r="E482" s="4" t="s">
        <v>30</v>
      </c>
      <c r="F482" s="4">
        <v>3000</v>
      </c>
      <c r="G482" s="4">
        <v>38</v>
      </c>
      <c r="H482" s="4" t="s">
        <v>12</v>
      </c>
      <c r="I482" s="4" t="s">
        <v>13</v>
      </c>
      <c r="J482" s="4">
        <v>4</v>
      </c>
      <c r="K482" s="5" t="str">
        <f t="shared" si="7"/>
        <v>long</v>
      </c>
    </row>
    <row r="483" spans="1:11" x14ac:dyDescent="0.3">
      <c r="A483" s="3">
        <v>489</v>
      </c>
      <c r="B483" s="4">
        <v>78</v>
      </c>
      <c r="C483" s="4" t="s">
        <v>9</v>
      </c>
      <c r="D483" s="4" t="s">
        <v>31</v>
      </c>
      <c r="E483" s="4" t="s">
        <v>32</v>
      </c>
      <c r="F483" s="4">
        <v>18000</v>
      </c>
      <c r="G483" s="4">
        <v>40</v>
      </c>
      <c r="H483" s="4" t="s">
        <v>17</v>
      </c>
      <c r="I483" s="4" t="s">
        <v>18</v>
      </c>
      <c r="J483" s="4">
        <v>2</v>
      </c>
      <c r="K483" s="5" t="str">
        <f t="shared" si="7"/>
        <v>long</v>
      </c>
    </row>
    <row r="484" spans="1:11" x14ac:dyDescent="0.3">
      <c r="A484" s="3">
        <v>490</v>
      </c>
      <c r="B484" s="4">
        <v>25</v>
      </c>
      <c r="C484" s="4" t="s">
        <v>14</v>
      </c>
      <c r="D484" s="4" t="s">
        <v>33</v>
      </c>
      <c r="E484" s="4" t="s">
        <v>34</v>
      </c>
      <c r="F484" s="4">
        <v>100</v>
      </c>
      <c r="G484" s="4">
        <v>33</v>
      </c>
      <c r="H484" s="4" t="s">
        <v>12</v>
      </c>
      <c r="I484" s="4" t="s">
        <v>13</v>
      </c>
      <c r="J484" s="4">
        <v>5</v>
      </c>
      <c r="K484" s="5" t="str">
        <f t="shared" si="7"/>
        <v>long</v>
      </c>
    </row>
    <row r="485" spans="1:11" x14ac:dyDescent="0.3">
      <c r="A485" s="3">
        <v>491</v>
      </c>
      <c r="B485" s="4">
        <v>52</v>
      </c>
      <c r="C485" s="4" t="s">
        <v>9</v>
      </c>
      <c r="D485" s="4" t="s">
        <v>35</v>
      </c>
      <c r="E485" s="4" t="s">
        <v>36</v>
      </c>
      <c r="F485" s="4">
        <v>800</v>
      </c>
      <c r="G485" s="4">
        <v>34</v>
      </c>
      <c r="H485" s="4" t="s">
        <v>12</v>
      </c>
      <c r="I485" s="4" t="s">
        <v>18</v>
      </c>
      <c r="J485" s="4">
        <v>4</v>
      </c>
      <c r="K485" s="5" t="str">
        <f t="shared" si="7"/>
        <v>long</v>
      </c>
    </row>
    <row r="486" spans="1:11" x14ac:dyDescent="0.3">
      <c r="A486" s="3">
        <v>492</v>
      </c>
      <c r="B486" s="4">
        <v>58</v>
      </c>
      <c r="C486" s="4" t="s">
        <v>14</v>
      </c>
      <c r="D486" s="4" t="s">
        <v>37</v>
      </c>
      <c r="E486" s="4" t="s">
        <v>38</v>
      </c>
      <c r="F486" s="4">
        <v>20000</v>
      </c>
      <c r="G486" s="4">
        <v>41</v>
      </c>
      <c r="H486" s="4" t="s">
        <v>12</v>
      </c>
      <c r="I486" s="4" t="s">
        <v>13</v>
      </c>
      <c r="J486" s="4">
        <v>3</v>
      </c>
      <c r="K486" s="5" t="str">
        <f t="shared" si="7"/>
        <v>long</v>
      </c>
    </row>
    <row r="487" spans="1:11" x14ac:dyDescent="0.3">
      <c r="A487" s="3">
        <v>493</v>
      </c>
      <c r="B487" s="4">
        <v>32</v>
      </c>
      <c r="C487" s="4" t="s">
        <v>9</v>
      </c>
      <c r="D487" s="4" t="s">
        <v>39</v>
      </c>
      <c r="E487" s="4" t="s">
        <v>40</v>
      </c>
      <c r="F487" s="4">
        <v>12000</v>
      </c>
      <c r="G487" s="4">
        <v>35</v>
      </c>
      <c r="H487" s="4" t="s">
        <v>12</v>
      </c>
      <c r="I487" s="4" t="s">
        <v>13</v>
      </c>
      <c r="J487" s="4">
        <v>4</v>
      </c>
      <c r="K487" s="5" t="str">
        <f t="shared" si="7"/>
        <v>long</v>
      </c>
    </row>
    <row r="488" spans="1:11" x14ac:dyDescent="0.3">
      <c r="A488" s="3">
        <v>494</v>
      </c>
      <c r="B488" s="4">
        <v>55</v>
      </c>
      <c r="C488" s="4" t="s">
        <v>14</v>
      </c>
      <c r="D488" s="4" t="s">
        <v>41</v>
      </c>
      <c r="E488" s="4" t="s">
        <v>42</v>
      </c>
      <c r="F488" s="4">
        <v>6000</v>
      </c>
      <c r="G488" s="4">
        <v>36</v>
      </c>
      <c r="H488" s="4" t="s">
        <v>12</v>
      </c>
      <c r="I488" s="4" t="s">
        <v>13</v>
      </c>
      <c r="J488" s="4">
        <v>3</v>
      </c>
      <c r="K488" s="5" t="str">
        <f t="shared" si="7"/>
        <v>long</v>
      </c>
    </row>
    <row r="489" spans="1:11" x14ac:dyDescent="0.3">
      <c r="A489" s="3">
        <v>495</v>
      </c>
      <c r="B489" s="4">
        <v>65</v>
      </c>
      <c r="C489" s="4" t="s">
        <v>9</v>
      </c>
      <c r="D489" s="4" t="s">
        <v>43</v>
      </c>
      <c r="E489" s="4" t="s">
        <v>44</v>
      </c>
      <c r="F489" s="4">
        <v>4000</v>
      </c>
      <c r="G489" s="4">
        <v>37</v>
      </c>
      <c r="H489" s="4" t="s">
        <v>12</v>
      </c>
      <c r="I489" s="4" t="s">
        <v>18</v>
      </c>
      <c r="J489" s="4">
        <v>4</v>
      </c>
      <c r="K489" s="5" t="str">
        <f t="shared" si="7"/>
        <v>long</v>
      </c>
    </row>
    <row r="490" spans="1:11" x14ac:dyDescent="0.3">
      <c r="A490" s="3">
        <v>496</v>
      </c>
      <c r="B490" s="4">
        <v>55</v>
      </c>
      <c r="C490" s="4" t="s">
        <v>9</v>
      </c>
      <c r="D490" s="4" t="s">
        <v>10</v>
      </c>
      <c r="E490" s="4" t="s">
        <v>11</v>
      </c>
      <c r="F490" s="4">
        <v>15000</v>
      </c>
      <c r="G490" s="4">
        <v>38</v>
      </c>
      <c r="H490" s="4" t="s">
        <v>17</v>
      </c>
      <c r="I490" s="4" t="s">
        <v>13</v>
      </c>
      <c r="J490" s="4">
        <v>3</v>
      </c>
      <c r="K490" s="5" t="str">
        <f t="shared" si="7"/>
        <v>long</v>
      </c>
    </row>
    <row r="491" spans="1:11" x14ac:dyDescent="0.3">
      <c r="A491" s="3">
        <v>497</v>
      </c>
      <c r="B491" s="4">
        <v>62</v>
      </c>
      <c r="C491" s="4" t="s">
        <v>14</v>
      </c>
      <c r="D491" s="4" t="s">
        <v>15</v>
      </c>
      <c r="E491" s="4" t="s">
        <v>16</v>
      </c>
      <c r="F491" s="4">
        <v>2000</v>
      </c>
      <c r="G491" s="4">
        <v>36</v>
      </c>
      <c r="H491" s="4" t="s">
        <v>12</v>
      </c>
      <c r="I491" s="4" t="s">
        <v>18</v>
      </c>
      <c r="J491" s="4">
        <v>4</v>
      </c>
      <c r="K491" s="5" t="str">
        <f t="shared" si="7"/>
        <v>long</v>
      </c>
    </row>
    <row r="492" spans="1:11" x14ac:dyDescent="0.3">
      <c r="A492" s="3">
        <v>498</v>
      </c>
      <c r="B492" s="4">
        <v>35</v>
      </c>
      <c r="C492" s="4" t="s">
        <v>9</v>
      </c>
      <c r="D492" s="4" t="s">
        <v>19</v>
      </c>
      <c r="E492" s="4" t="s">
        <v>20</v>
      </c>
      <c r="F492" s="4">
        <v>500</v>
      </c>
      <c r="G492" s="4">
        <v>34</v>
      </c>
      <c r="H492" s="4" t="s">
        <v>17</v>
      </c>
      <c r="I492" s="4" t="s">
        <v>13</v>
      </c>
      <c r="J492" s="4">
        <v>5</v>
      </c>
      <c r="K492" s="5" t="str">
        <f t="shared" si="7"/>
        <v>long</v>
      </c>
    </row>
    <row r="493" spans="1:11" x14ac:dyDescent="0.3">
      <c r="A493" s="3">
        <v>499</v>
      </c>
      <c r="B493" s="4">
        <v>78</v>
      </c>
      <c r="C493" s="4" t="s">
        <v>14</v>
      </c>
      <c r="D493" s="4" t="s">
        <v>21</v>
      </c>
      <c r="E493" s="4" t="s">
        <v>22</v>
      </c>
      <c r="F493" s="4">
        <v>10000</v>
      </c>
      <c r="G493" s="4">
        <v>41</v>
      </c>
      <c r="H493" s="4" t="s">
        <v>12</v>
      </c>
      <c r="I493" s="4" t="s">
        <v>18</v>
      </c>
      <c r="J493" s="4">
        <v>2</v>
      </c>
      <c r="K493" s="5" t="str">
        <f t="shared" si="7"/>
        <v>long</v>
      </c>
    </row>
    <row r="494" spans="1:11" x14ac:dyDescent="0.3">
      <c r="A494" s="3">
        <v>500</v>
      </c>
      <c r="B494" s="4">
        <v>53</v>
      </c>
      <c r="C494" s="4" t="s">
        <v>9</v>
      </c>
      <c r="D494" s="4" t="s">
        <v>23</v>
      </c>
      <c r="E494" s="4" t="s">
        <v>24</v>
      </c>
      <c r="F494" s="4">
        <v>25000</v>
      </c>
      <c r="G494" s="4">
        <v>43</v>
      </c>
      <c r="H494" s="4" t="s">
        <v>17</v>
      </c>
      <c r="I494" s="4" t="s">
        <v>13</v>
      </c>
      <c r="J494" s="4">
        <v>4</v>
      </c>
      <c r="K494" s="5" t="str">
        <f t="shared" si="7"/>
        <v>long</v>
      </c>
    </row>
    <row r="495" spans="1:11" x14ac:dyDescent="0.3">
      <c r="A495" s="3">
        <v>501</v>
      </c>
      <c r="B495" s="4">
        <v>72</v>
      </c>
      <c r="C495" s="4" t="s">
        <v>14</v>
      </c>
      <c r="D495" s="4" t="s">
        <v>25</v>
      </c>
      <c r="E495" s="4" t="s">
        <v>26</v>
      </c>
      <c r="F495" s="4">
        <v>1000</v>
      </c>
      <c r="G495" s="4">
        <v>35</v>
      </c>
      <c r="H495" s="4" t="s">
        <v>12</v>
      </c>
      <c r="I495" s="4" t="s">
        <v>18</v>
      </c>
      <c r="J495" s="4">
        <v>4</v>
      </c>
      <c r="K495" s="5" t="str">
        <f t="shared" si="7"/>
        <v>long</v>
      </c>
    </row>
    <row r="496" spans="1:11" x14ac:dyDescent="0.3">
      <c r="A496" s="3">
        <v>502</v>
      </c>
      <c r="B496" s="4">
        <v>60</v>
      </c>
      <c r="C496" s="4" t="s">
        <v>9</v>
      </c>
      <c r="D496" s="4" t="s">
        <v>27</v>
      </c>
      <c r="E496" s="4" t="s">
        <v>28</v>
      </c>
      <c r="F496" s="4">
        <v>8000</v>
      </c>
      <c r="G496" s="4">
        <v>37</v>
      </c>
      <c r="H496" s="4" t="s">
        <v>17</v>
      </c>
      <c r="I496" s="4" t="s">
        <v>13</v>
      </c>
      <c r="J496" s="4">
        <v>3</v>
      </c>
      <c r="K496" s="5" t="str">
        <f t="shared" si="7"/>
        <v>long</v>
      </c>
    </row>
    <row r="497" spans="1:11" x14ac:dyDescent="0.3">
      <c r="A497" s="3">
        <v>503</v>
      </c>
      <c r="B497" s="4">
        <v>45</v>
      </c>
      <c r="C497" s="4" t="s">
        <v>14</v>
      </c>
      <c r="D497" s="4" t="s">
        <v>29</v>
      </c>
      <c r="E497" s="4" t="s">
        <v>30</v>
      </c>
      <c r="F497" s="4">
        <v>3000</v>
      </c>
      <c r="G497" s="4">
        <v>39</v>
      </c>
      <c r="H497" s="4" t="s">
        <v>12</v>
      </c>
      <c r="I497" s="4" t="s">
        <v>13</v>
      </c>
      <c r="J497" s="4">
        <v>4</v>
      </c>
      <c r="K497" s="5" t="str">
        <f t="shared" si="7"/>
        <v>long</v>
      </c>
    </row>
    <row r="498" spans="1:11" x14ac:dyDescent="0.3">
      <c r="A498" s="3">
        <v>504</v>
      </c>
      <c r="B498" s="4">
        <v>75</v>
      </c>
      <c r="C498" s="4" t="s">
        <v>9</v>
      </c>
      <c r="D498" s="4" t="s">
        <v>31</v>
      </c>
      <c r="E498" s="4" t="s">
        <v>32</v>
      </c>
      <c r="F498" s="4">
        <v>18000</v>
      </c>
      <c r="G498" s="4">
        <v>41</v>
      </c>
      <c r="H498" s="4" t="s">
        <v>17</v>
      </c>
      <c r="I498" s="4" t="s">
        <v>18</v>
      </c>
      <c r="J498" s="4">
        <v>2</v>
      </c>
      <c r="K498" s="5" t="str">
        <f t="shared" si="7"/>
        <v>long</v>
      </c>
    </row>
    <row r="499" spans="1:11" x14ac:dyDescent="0.3">
      <c r="A499" s="3">
        <v>505</v>
      </c>
      <c r="B499" s="4">
        <v>28</v>
      </c>
      <c r="C499" s="4" t="s">
        <v>14</v>
      </c>
      <c r="D499" s="4" t="s">
        <v>33</v>
      </c>
      <c r="E499" s="4" t="s">
        <v>34</v>
      </c>
      <c r="F499" s="4">
        <v>100</v>
      </c>
      <c r="G499" s="4">
        <v>34</v>
      </c>
      <c r="H499" s="4" t="s">
        <v>12</v>
      </c>
      <c r="I499" s="4" t="s">
        <v>13</v>
      </c>
      <c r="J499" s="4">
        <v>5</v>
      </c>
      <c r="K499" s="5" t="str">
        <f t="shared" si="7"/>
        <v>long</v>
      </c>
    </row>
    <row r="500" spans="1:11" x14ac:dyDescent="0.3">
      <c r="A500" s="3">
        <v>506</v>
      </c>
      <c r="B500" s="4">
        <v>52</v>
      </c>
      <c r="C500" s="4" t="s">
        <v>9</v>
      </c>
      <c r="D500" s="4" t="s">
        <v>35</v>
      </c>
      <c r="E500" s="4" t="s">
        <v>36</v>
      </c>
      <c r="F500" s="4">
        <v>800</v>
      </c>
      <c r="G500" s="4">
        <v>35</v>
      </c>
      <c r="H500" s="4" t="s">
        <v>12</v>
      </c>
      <c r="I500" s="4" t="s">
        <v>18</v>
      </c>
      <c r="J500" s="4">
        <v>4</v>
      </c>
      <c r="K500" s="5" t="str">
        <f t="shared" si="7"/>
        <v>long</v>
      </c>
    </row>
    <row r="501" spans="1:11" x14ac:dyDescent="0.3">
      <c r="A501" s="3">
        <v>507</v>
      </c>
      <c r="B501" s="4">
        <v>67</v>
      </c>
      <c r="C501" s="4" t="s">
        <v>14</v>
      </c>
      <c r="D501" s="4" t="s">
        <v>37</v>
      </c>
      <c r="E501" s="4" t="s">
        <v>38</v>
      </c>
      <c r="F501" s="4">
        <v>20000</v>
      </c>
      <c r="G501" s="4">
        <v>42</v>
      </c>
      <c r="H501" s="4" t="s">
        <v>12</v>
      </c>
      <c r="I501" s="4" t="s">
        <v>13</v>
      </c>
      <c r="J501" s="4">
        <v>3</v>
      </c>
      <c r="K501" s="5" t="str">
        <f t="shared" si="7"/>
        <v>long</v>
      </c>
    </row>
    <row r="502" spans="1:11" x14ac:dyDescent="0.3">
      <c r="A502" s="3">
        <v>508</v>
      </c>
      <c r="B502" s="4">
        <v>35</v>
      </c>
      <c r="C502" s="4" t="s">
        <v>9</v>
      </c>
      <c r="D502" s="4" t="s">
        <v>39</v>
      </c>
      <c r="E502" s="4" t="s">
        <v>40</v>
      </c>
      <c r="F502" s="4">
        <v>12000</v>
      </c>
      <c r="G502" s="4">
        <v>36</v>
      </c>
      <c r="H502" s="4" t="s">
        <v>12</v>
      </c>
      <c r="I502" s="4" t="s">
        <v>13</v>
      </c>
      <c r="J502" s="4">
        <v>4</v>
      </c>
      <c r="K502" s="5" t="str">
        <f t="shared" si="7"/>
        <v>long</v>
      </c>
    </row>
    <row r="503" spans="1:11" x14ac:dyDescent="0.3">
      <c r="A503" s="3">
        <v>509</v>
      </c>
      <c r="B503" s="4">
        <v>50</v>
      </c>
      <c r="C503" s="4" t="s">
        <v>14</v>
      </c>
      <c r="D503" s="4" t="s">
        <v>41</v>
      </c>
      <c r="E503" s="4" t="s">
        <v>42</v>
      </c>
      <c r="F503" s="4">
        <v>6000</v>
      </c>
      <c r="G503" s="4">
        <v>37</v>
      </c>
      <c r="H503" s="4" t="s">
        <v>12</v>
      </c>
      <c r="I503" s="4" t="s">
        <v>13</v>
      </c>
      <c r="J503" s="4">
        <v>3</v>
      </c>
      <c r="K503" s="5" t="str">
        <f t="shared" si="7"/>
        <v>long</v>
      </c>
    </row>
    <row r="504" spans="1:11" x14ac:dyDescent="0.3">
      <c r="A504" s="3">
        <v>510</v>
      </c>
      <c r="B504" s="4">
        <v>60</v>
      </c>
      <c r="C504" s="4" t="s">
        <v>9</v>
      </c>
      <c r="D504" s="4" t="s">
        <v>43</v>
      </c>
      <c r="E504" s="4" t="s">
        <v>44</v>
      </c>
      <c r="F504" s="4">
        <v>4000</v>
      </c>
      <c r="G504" s="4">
        <v>38</v>
      </c>
      <c r="H504" s="4" t="s">
        <v>12</v>
      </c>
      <c r="I504" s="4" t="s">
        <v>18</v>
      </c>
      <c r="J504" s="4">
        <v>4</v>
      </c>
      <c r="K504" s="5" t="str">
        <f t="shared" si="7"/>
        <v>long</v>
      </c>
    </row>
    <row r="505" spans="1:11" x14ac:dyDescent="0.3">
      <c r="A505" s="3">
        <v>511</v>
      </c>
      <c r="B505" s="4">
        <v>48</v>
      </c>
      <c r="C505" s="4" t="s">
        <v>9</v>
      </c>
      <c r="D505" s="4" t="s">
        <v>10</v>
      </c>
      <c r="E505" s="4" t="s">
        <v>11</v>
      </c>
      <c r="F505" s="4">
        <v>15000</v>
      </c>
      <c r="G505" s="4">
        <v>39</v>
      </c>
      <c r="H505" s="4" t="s">
        <v>17</v>
      </c>
      <c r="I505" s="4" t="s">
        <v>13</v>
      </c>
      <c r="J505" s="4">
        <v>4</v>
      </c>
      <c r="K505" s="5" t="str">
        <f t="shared" si="7"/>
        <v>long</v>
      </c>
    </row>
    <row r="506" spans="1:11" x14ac:dyDescent="0.3">
      <c r="A506" s="3">
        <v>512</v>
      </c>
      <c r="B506" s="4">
        <v>65</v>
      </c>
      <c r="C506" s="4" t="s">
        <v>14</v>
      </c>
      <c r="D506" s="4" t="s">
        <v>15</v>
      </c>
      <c r="E506" s="4" t="s">
        <v>16</v>
      </c>
      <c r="F506" s="4">
        <v>2000</v>
      </c>
      <c r="G506" s="4">
        <v>37</v>
      </c>
      <c r="H506" s="4" t="s">
        <v>12</v>
      </c>
      <c r="I506" s="4" t="s">
        <v>18</v>
      </c>
      <c r="J506" s="4">
        <v>3</v>
      </c>
      <c r="K506" s="5" t="str">
        <f t="shared" si="7"/>
        <v>long</v>
      </c>
    </row>
    <row r="507" spans="1:11" x14ac:dyDescent="0.3">
      <c r="A507" s="3">
        <v>513</v>
      </c>
      <c r="B507" s="4">
        <v>30</v>
      </c>
      <c r="C507" s="4" t="s">
        <v>9</v>
      </c>
      <c r="D507" s="4" t="s">
        <v>19</v>
      </c>
      <c r="E507" s="4" t="s">
        <v>20</v>
      </c>
      <c r="F507" s="4">
        <v>500</v>
      </c>
      <c r="G507" s="4">
        <v>35</v>
      </c>
      <c r="H507" s="4" t="s">
        <v>12</v>
      </c>
      <c r="I507" s="4" t="s">
        <v>13</v>
      </c>
      <c r="J507" s="4">
        <v>5</v>
      </c>
      <c r="K507" s="5" t="str">
        <f t="shared" si="7"/>
        <v>long</v>
      </c>
    </row>
    <row r="508" spans="1:11" x14ac:dyDescent="0.3">
      <c r="A508" s="3">
        <v>514</v>
      </c>
      <c r="B508" s="4">
        <v>70</v>
      </c>
      <c r="C508" s="4" t="s">
        <v>14</v>
      </c>
      <c r="D508" s="4" t="s">
        <v>21</v>
      </c>
      <c r="E508" s="4" t="s">
        <v>22</v>
      </c>
      <c r="F508" s="4">
        <v>10000</v>
      </c>
      <c r="G508" s="4">
        <v>42</v>
      </c>
      <c r="H508" s="4" t="s">
        <v>17</v>
      </c>
      <c r="I508" s="4" t="s">
        <v>18</v>
      </c>
      <c r="J508" s="4">
        <v>2</v>
      </c>
      <c r="K508" s="5" t="str">
        <f t="shared" si="7"/>
        <v>long</v>
      </c>
    </row>
    <row r="509" spans="1:11" x14ac:dyDescent="0.3">
      <c r="A509" s="3">
        <v>515</v>
      </c>
      <c r="B509" s="4">
        <v>55</v>
      </c>
      <c r="C509" s="4" t="s">
        <v>9</v>
      </c>
      <c r="D509" s="4" t="s">
        <v>23</v>
      </c>
      <c r="E509" s="4" t="s">
        <v>24</v>
      </c>
      <c r="F509" s="4">
        <v>25000</v>
      </c>
      <c r="G509" s="4">
        <v>44</v>
      </c>
      <c r="H509" s="4" t="s">
        <v>12</v>
      </c>
      <c r="I509" s="4" t="s">
        <v>13</v>
      </c>
      <c r="J509" s="4">
        <v>4</v>
      </c>
      <c r="K509" s="5" t="str">
        <f t="shared" si="7"/>
        <v>long</v>
      </c>
    </row>
    <row r="510" spans="1:11" x14ac:dyDescent="0.3">
      <c r="A510" s="3">
        <v>516</v>
      </c>
      <c r="B510" s="4">
        <v>68</v>
      </c>
      <c r="C510" s="4" t="s">
        <v>14</v>
      </c>
      <c r="D510" s="4" t="s">
        <v>25</v>
      </c>
      <c r="E510" s="4" t="s">
        <v>26</v>
      </c>
      <c r="F510" s="4">
        <v>1000</v>
      </c>
      <c r="G510" s="4">
        <v>36</v>
      </c>
      <c r="H510" s="4" t="s">
        <v>12</v>
      </c>
      <c r="I510" s="4" t="s">
        <v>18</v>
      </c>
      <c r="J510" s="4">
        <v>4</v>
      </c>
      <c r="K510" s="5" t="str">
        <f t="shared" si="7"/>
        <v>long</v>
      </c>
    </row>
    <row r="511" spans="1:11" x14ac:dyDescent="0.3">
      <c r="A511" s="3">
        <v>517</v>
      </c>
      <c r="B511" s="4">
        <v>45</v>
      </c>
      <c r="C511" s="4" t="s">
        <v>9</v>
      </c>
      <c r="D511" s="4" t="s">
        <v>27</v>
      </c>
      <c r="E511" s="4" t="s">
        <v>28</v>
      </c>
      <c r="F511" s="4">
        <v>8000</v>
      </c>
      <c r="G511" s="4">
        <v>38</v>
      </c>
      <c r="H511" s="4" t="s">
        <v>12</v>
      </c>
      <c r="I511" s="4" t="s">
        <v>13</v>
      </c>
      <c r="J511" s="4">
        <v>3</v>
      </c>
      <c r="K511" s="5" t="str">
        <f t="shared" si="7"/>
        <v>long</v>
      </c>
    </row>
    <row r="512" spans="1:11" x14ac:dyDescent="0.3">
      <c r="A512" s="3">
        <v>518</v>
      </c>
      <c r="B512" s="4">
        <v>40</v>
      </c>
      <c r="C512" s="4" t="s">
        <v>14</v>
      </c>
      <c r="D512" s="4" t="s">
        <v>29</v>
      </c>
      <c r="E512" s="4" t="s">
        <v>30</v>
      </c>
      <c r="F512" s="4">
        <v>3000</v>
      </c>
      <c r="G512" s="4">
        <v>40</v>
      </c>
      <c r="H512" s="4" t="s">
        <v>12</v>
      </c>
      <c r="I512" s="4" t="s">
        <v>13</v>
      </c>
      <c r="J512" s="4">
        <v>4</v>
      </c>
      <c r="K512" s="5" t="str">
        <f t="shared" si="7"/>
        <v>long</v>
      </c>
    </row>
    <row r="513" spans="1:11" x14ac:dyDescent="0.3">
      <c r="A513" s="3">
        <v>519</v>
      </c>
      <c r="B513" s="4">
        <v>78</v>
      </c>
      <c r="C513" s="4" t="s">
        <v>9</v>
      </c>
      <c r="D513" s="4" t="s">
        <v>31</v>
      </c>
      <c r="E513" s="4" t="s">
        <v>32</v>
      </c>
      <c r="F513" s="4">
        <v>18000</v>
      </c>
      <c r="G513" s="4">
        <v>42</v>
      </c>
      <c r="H513" s="4" t="s">
        <v>17</v>
      </c>
      <c r="I513" s="4" t="s">
        <v>18</v>
      </c>
      <c r="J513" s="4">
        <v>2</v>
      </c>
      <c r="K513" s="5" t="str">
        <f t="shared" si="7"/>
        <v>long</v>
      </c>
    </row>
    <row r="514" spans="1:11" x14ac:dyDescent="0.3">
      <c r="A514" s="3">
        <v>520</v>
      </c>
      <c r="B514" s="4">
        <v>25</v>
      </c>
      <c r="C514" s="4" t="s">
        <v>14</v>
      </c>
      <c r="D514" s="4" t="s">
        <v>33</v>
      </c>
      <c r="E514" s="4" t="s">
        <v>34</v>
      </c>
      <c r="F514" s="4">
        <v>100</v>
      </c>
      <c r="G514" s="4">
        <v>35</v>
      </c>
      <c r="H514" s="4" t="s">
        <v>12</v>
      </c>
      <c r="I514" s="4" t="s">
        <v>13</v>
      </c>
      <c r="J514" s="4">
        <v>5</v>
      </c>
      <c r="K514" s="5" t="str">
        <f t="shared" si="7"/>
        <v>long</v>
      </c>
    </row>
    <row r="515" spans="1:11" x14ac:dyDescent="0.3">
      <c r="A515" s="3">
        <v>521</v>
      </c>
      <c r="B515" s="4">
        <v>52</v>
      </c>
      <c r="C515" s="4" t="s">
        <v>9</v>
      </c>
      <c r="D515" s="4" t="s">
        <v>35</v>
      </c>
      <c r="E515" s="4" t="s">
        <v>36</v>
      </c>
      <c r="F515" s="4">
        <v>800</v>
      </c>
      <c r="G515" s="4">
        <v>36</v>
      </c>
      <c r="H515" s="4" t="s">
        <v>12</v>
      </c>
      <c r="I515" s="4" t="s">
        <v>18</v>
      </c>
      <c r="J515" s="4">
        <v>4</v>
      </c>
      <c r="K515" s="5" t="str">
        <f t="shared" si="7"/>
        <v>long</v>
      </c>
    </row>
    <row r="516" spans="1:11" x14ac:dyDescent="0.3">
      <c r="A516" s="3">
        <v>522</v>
      </c>
      <c r="B516" s="4">
        <v>58</v>
      </c>
      <c r="C516" s="4" t="s">
        <v>14</v>
      </c>
      <c r="D516" s="4" t="s">
        <v>37</v>
      </c>
      <c r="E516" s="4" t="s">
        <v>38</v>
      </c>
      <c r="F516" s="4">
        <v>20000</v>
      </c>
      <c r="G516" s="4">
        <v>43</v>
      </c>
      <c r="H516" s="4" t="s">
        <v>12</v>
      </c>
      <c r="I516" s="4" t="s">
        <v>13</v>
      </c>
      <c r="J516" s="4">
        <v>3</v>
      </c>
      <c r="K516" s="5" t="str">
        <f t="shared" ref="K516:K579" si="8">IF(G516&lt;=3,"short",IF(G516&lt;=7,"medium","long"))</f>
        <v>long</v>
      </c>
    </row>
    <row r="517" spans="1:11" x14ac:dyDescent="0.3">
      <c r="A517" s="3">
        <v>523</v>
      </c>
      <c r="B517" s="4">
        <v>32</v>
      </c>
      <c r="C517" s="4" t="s">
        <v>9</v>
      </c>
      <c r="D517" s="4" t="s">
        <v>39</v>
      </c>
      <c r="E517" s="4" t="s">
        <v>40</v>
      </c>
      <c r="F517" s="4">
        <v>12000</v>
      </c>
      <c r="G517" s="4">
        <v>37</v>
      </c>
      <c r="H517" s="4" t="s">
        <v>12</v>
      </c>
      <c r="I517" s="4" t="s">
        <v>13</v>
      </c>
      <c r="J517" s="4">
        <v>4</v>
      </c>
      <c r="K517" s="5" t="str">
        <f t="shared" si="8"/>
        <v>long</v>
      </c>
    </row>
    <row r="518" spans="1:11" x14ac:dyDescent="0.3">
      <c r="A518" s="3">
        <v>524</v>
      </c>
      <c r="B518" s="4">
        <v>55</v>
      </c>
      <c r="C518" s="4" t="s">
        <v>14</v>
      </c>
      <c r="D518" s="4" t="s">
        <v>41</v>
      </c>
      <c r="E518" s="4" t="s">
        <v>42</v>
      </c>
      <c r="F518" s="4">
        <v>6000</v>
      </c>
      <c r="G518" s="4">
        <v>38</v>
      </c>
      <c r="H518" s="4" t="s">
        <v>12</v>
      </c>
      <c r="I518" s="4" t="s">
        <v>13</v>
      </c>
      <c r="J518" s="4">
        <v>3</v>
      </c>
      <c r="K518" s="5" t="str">
        <f t="shared" si="8"/>
        <v>long</v>
      </c>
    </row>
    <row r="519" spans="1:11" x14ac:dyDescent="0.3">
      <c r="A519" s="3">
        <v>525</v>
      </c>
      <c r="B519" s="4">
        <v>65</v>
      </c>
      <c r="C519" s="4" t="s">
        <v>9</v>
      </c>
      <c r="D519" s="4" t="s">
        <v>43</v>
      </c>
      <c r="E519" s="4" t="s">
        <v>44</v>
      </c>
      <c r="F519" s="4">
        <v>4000</v>
      </c>
      <c r="G519" s="4">
        <v>39</v>
      </c>
      <c r="H519" s="4" t="s">
        <v>12</v>
      </c>
      <c r="I519" s="4" t="s">
        <v>18</v>
      </c>
      <c r="J519" s="4">
        <v>4</v>
      </c>
      <c r="K519" s="5" t="str">
        <f t="shared" si="8"/>
        <v>long</v>
      </c>
    </row>
    <row r="520" spans="1:11" x14ac:dyDescent="0.3">
      <c r="A520" s="3">
        <v>526</v>
      </c>
      <c r="B520" s="4">
        <v>55</v>
      </c>
      <c r="C520" s="4" t="s">
        <v>9</v>
      </c>
      <c r="D520" s="4" t="s">
        <v>10</v>
      </c>
      <c r="E520" s="4" t="s">
        <v>11</v>
      </c>
      <c r="F520" s="4">
        <v>15000</v>
      </c>
      <c r="G520" s="4">
        <v>40</v>
      </c>
      <c r="H520" s="4" t="s">
        <v>17</v>
      </c>
      <c r="I520" s="4" t="s">
        <v>13</v>
      </c>
      <c r="J520" s="4">
        <v>3</v>
      </c>
      <c r="K520" s="5" t="str">
        <f t="shared" si="8"/>
        <v>long</v>
      </c>
    </row>
    <row r="521" spans="1:11" x14ac:dyDescent="0.3">
      <c r="A521" s="3">
        <v>527</v>
      </c>
      <c r="B521" s="4">
        <v>62</v>
      </c>
      <c r="C521" s="4" t="s">
        <v>14</v>
      </c>
      <c r="D521" s="4" t="s">
        <v>15</v>
      </c>
      <c r="E521" s="4" t="s">
        <v>16</v>
      </c>
      <c r="F521" s="4">
        <v>2000</v>
      </c>
      <c r="G521" s="4">
        <v>38</v>
      </c>
      <c r="H521" s="4" t="s">
        <v>12</v>
      </c>
      <c r="I521" s="4" t="s">
        <v>18</v>
      </c>
      <c r="J521" s="4">
        <v>4</v>
      </c>
      <c r="K521" s="5" t="str">
        <f t="shared" si="8"/>
        <v>long</v>
      </c>
    </row>
    <row r="522" spans="1:11" x14ac:dyDescent="0.3">
      <c r="A522" s="3">
        <v>528</v>
      </c>
      <c r="B522" s="4">
        <v>35</v>
      </c>
      <c r="C522" s="4" t="s">
        <v>9</v>
      </c>
      <c r="D522" s="4" t="s">
        <v>19</v>
      </c>
      <c r="E522" s="4" t="s">
        <v>20</v>
      </c>
      <c r="F522" s="4">
        <v>500</v>
      </c>
      <c r="G522" s="4">
        <v>36</v>
      </c>
      <c r="H522" s="4" t="s">
        <v>17</v>
      </c>
      <c r="I522" s="4" t="s">
        <v>13</v>
      </c>
      <c r="J522" s="4">
        <v>5</v>
      </c>
      <c r="K522" s="5" t="str">
        <f t="shared" si="8"/>
        <v>long</v>
      </c>
    </row>
    <row r="523" spans="1:11" x14ac:dyDescent="0.3">
      <c r="A523" s="3">
        <v>529</v>
      </c>
      <c r="B523" s="4">
        <v>78</v>
      </c>
      <c r="C523" s="4" t="s">
        <v>14</v>
      </c>
      <c r="D523" s="4" t="s">
        <v>21</v>
      </c>
      <c r="E523" s="4" t="s">
        <v>22</v>
      </c>
      <c r="F523" s="4">
        <v>10000</v>
      </c>
      <c r="G523" s="4">
        <v>43</v>
      </c>
      <c r="H523" s="4" t="s">
        <v>12</v>
      </c>
      <c r="I523" s="4" t="s">
        <v>18</v>
      </c>
      <c r="J523" s="4">
        <v>2</v>
      </c>
      <c r="K523" s="5" t="str">
        <f t="shared" si="8"/>
        <v>long</v>
      </c>
    </row>
    <row r="524" spans="1:11" x14ac:dyDescent="0.3">
      <c r="A524" s="3">
        <v>530</v>
      </c>
      <c r="B524" s="4">
        <v>53</v>
      </c>
      <c r="C524" s="4" t="s">
        <v>9</v>
      </c>
      <c r="D524" s="4" t="s">
        <v>23</v>
      </c>
      <c r="E524" s="4" t="s">
        <v>24</v>
      </c>
      <c r="F524" s="4">
        <v>25000</v>
      </c>
      <c r="G524" s="4">
        <v>45</v>
      </c>
      <c r="H524" s="4" t="s">
        <v>17</v>
      </c>
      <c r="I524" s="4" t="s">
        <v>13</v>
      </c>
      <c r="J524" s="4">
        <v>4</v>
      </c>
      <c r="K524" s="5" t="str">
        <f t="shared" si="8"/>
        <v>long</v>
      </c>
    </row>
    <row r="525" spans="1:11" x14ac:dyDescent="0.3">
      <c r="A525" s="3">
        <v>531</v>
      </c>
      <c r="B525" s="4">
        <v>72</v>
      </c>
      <c r="C525" s="4" t="s">
        <v>14</v>
      </c>
      <c r="D525" s="4" t="s">
        <v>25</v>
      </c>
      <c r="E525" s="4" t="s">
        <v>26</v>
      </c>
      <c r="F525" s="4">
        <v>1000</v>
      </c>
      <c r="G525" s="4">
        <v>38</v>
      </c>
      <c r="H525" s="4" t="s">
        <v>12</v>
      </c>
      <c r="I525" s="4" t="s">
        <v>18</v>
      </c>
      <c r="J525" s="4">
        <v>4</v>
      </c>
      <c r="K525" s="5" t="str">
        <f t="shared" si="8"/>
        <v>long</v>
      </c>
    </row>
    <row r="526" spans="1:11" x14ac:dyDescent="0.3">
      <c r="A526" s="3">
        <v>532</v>
      </c>
      <c r="B526" s="4">
        <v>60</v>
      </c>
      <c r="C526" s="4" t="s">
        <v>9</v>
      </c>
      <c r="D526" s="4" t="s">
        <v>27</v>
      </c>
      <c r="E526" s="4" t="s">
        <v>28</v>
      </c>
      <c r="F526" s="4">
        <v>8000</v>
      </c>
      <c r="G526" s="4">
        <v>39</v>
      </c>
      <c r="H526" s="4" t="s">
        <v>17</v>
      </c>
      <c r="I526" s="4" t="s">
        <v>13</v>
      </c>
      <c r="J526" s="4">
        <v>3</v>
      </c>
      <c r="K526" s="5" t="str">
        <f t="shared" si="8"/>
        <v>long</v>
      </c>
    </row>
    <row r="527" spans="1:11" x14ac:dyDescent="0.3">
      <c r="A527" s="3">
        <v>533</v>
      </c>
      <c r="B527" s="4">
        <v>45</v>
      </c>
      <c r="C527" s="4" t="s">
        <v>14</v>
      </c>
      <c r="D527" s="4" t="s">
        <v>29</v>
      </c>
      <c r="E527" s="4" t="s">
        <v>30</v>
      </c>
      <c r="F527" s="4">
        <v>3000</v>
      </c>
      <c r="G527" s="4">
        <v>41</v>
      </c>
      <c r="H527" s="4" t="s">
        <v>12</v>
      </c>
      <c r="I527" s="4" t="s">
        <v>13</v>
      </c>
      <c r="J527" s="4">
        <v>4</v>
      </c>
      <c r="K527" s="5" t="str">
        <f t="shared" si="8"/>
        <v>long</v>
      </c>
    </row>
    <row r="528" spans="1:11" x14ac:dyDescent="0.3">
      <c r="A528" s="3">
        <v>534</v>
      </c>
      <c r="B528" s="4">
        <v>75</v>
      </c>
      <c r="C528" s="4" t="s">
        <v>9</v>
      </c>
      <c r="D528" s="4" t="s">
        <v>31</v>
      </c>
      <c r="E528" s="4" t="s">
        <v>32</v>
      </c>
      <c r="F528" s="4">
        <v>18000</v>
      </c>
      <c r="G528" s="4">
        <v>43</v>
      </c>
      <c r="H528" s="4" t="s">
        <v>17</v>
      </c>
      <c r="I528" s="4" t="s">
        <v>18</v>
      </c>
      <c r="J528" s="4">
        <v>2</v>
      </c>
      <c r="K528" s="5" t="str">
        <f t="shared" si="8"/>
        <v>long</v>
      </c>
    </row>
    <row r="529" spans="1:11" x14ac:dyDescent="0.3">
      <c r="A529" s="3">
        <v>535</v>
      </c>
      <c r="B529" s="4">
        <v>28</v>
      </c>
      <c r="C529" s="4" t="s">
        <v>14</v>
      </c>
      <c r="D529" s="4" t="s">
        <v>33</v>
      </c>
      <c r="E529" s="4" t="s">
        <v>34</v>
      </c>
      <c r="F529" s="4">
        <v>100</v>
      </c>
      <c r="G529" s="4">
        <v>36</v>
      </c>
      <c r="H529" s="4" t="s">
        <v>12</v>
      </c>
      <c r="I529" s="4" t="s">
        <v>13</v>
      </c>
      <c r="J529" s="4">
        <v>5</v>
      </c>
      <c r="K529" s="5" t="str">
        <f t="shared" si="8"/>
        <v>long</v>
      </c>
    </row>
    <row r="530" spans="1:11" x14ac:dyDescent="0.3">
      <c r="A530" s="3">
        <v>536</v>
      </c>
      <c r="B530" s="4">
        <v>52</v>
      </c>
      <c r="C530" s="4" t="s">
        <v>9</v>
      </c>
      <c r="D530" s="4" t="s">
        <v>35</v>
      </c>
      <c r="E530" s="4" t="s">
        <v>36</v>
      </c>
      <c r="F530" s="4">
        <v>800</v>
      </c>
      <c r="G530" s="4">
        <v>37</v>
      </c>
      <c r="H530" s="4" t="s">
        <v>12</v>
      </c>
      <c r="I530" s="4" t="s">
        <v>18</v>
      </c>
      <c r="J530" s="4">
        <v>4</v>
      </c>
      <c r="K530" s="5" t="str">
        <f t="shared" si="8"/>
        <v>long</v>
      </c>
    </row>
    <row r="531" spans="1:11" x14ac:dyDescent="0.3">
      <c r="A531" s="3">
        <v>537</v>
      </c>
      <c r="B531" s="4">
        <v>67</v>
      </c>
      <c r="C531" s="4" t="s">
        <v>14</v>
      </c>
      <c r="D531" s="4" t="s">
        <v>37</v>
      </c>
      <c r="E531" s="4" t="s">
        <v>38</v>
      </c>
      <c r="F531" s="4">
        <v>20000</v>
      </c>
      <c r="G531" s="4">
        <v>44</v>
      </c>
      <c r="H531" s="4" t="s">
        <v>12</v>
      </c>
      <c r="I531" s="4" t="s">
        <v>13</v>
      </c>
      <c r="J531" s="4">
        <v>3</v>
      </c>
      <c r="K531" s="5" t="str">
        <f t="shared" si="8"/>
        <v>long</v>
      </c>
    </row>
    <row r="532" spans="1:11" x14ac:dyDescent="0.3">
      <c r="A532" s="3">
        <v>538</v>
      </c>
      <c r="B532" s="4">
        <v>35</v>
      </c>
      <c r="C532" s="4" t="s">
        <v>9</v>
      </c>
      <c r="D532" s="4" t="s">
        <v>39</v>
      </c>
      <c r="E532" s="4" t="s">
        <v>40</v>
      </c>
      <c r="F532" s="4">
        <v>12000</v>
      </c>
      <c r="G532" s="4">
        <v>38</v>
      </c>
      <c r="H532" s="4" t="s">
        <v>12</v>
      </c>
      <c r="I532" s="4" t="s">
        <v>13</v>
      </c>
      <c r="J532" s="4">
        <v>4</v>
      </c>
      <c r="K532" s="5" t="str">
        <f t="shared" si="8"/>
        <v>long</v>
      </c>
    </row>
    <row r="533" spans="1:11" x14ac:dyDescent="0.3">
      <c r="A533" s="3">
        <v>540</v>
      </c>
      <c r="B533" s="4">
        <v>60</v>
      </c>
      <c r="C533" s="4" t="s">
        <v>9</v>
      </c>
      <c r="D533" s="4" t="s">
        <v>43</v>
      </c>
      <c r="E533" s="4" t="s">
        <v>44</v>
      </c>
      <c r="F533" s="4">
        <v>4000</v>
      </c>
      <c r="G533" s="4">
        <v>40</v>
      </c>
      <c r="H533" s="4" t="s">
        <v>12</v>
      </c>
      <c r="I533" s="4" t="s">
        <v>18</v>
      </c>
      <c r="J533" s="4">
        <v>4</v>
      </c>
      <c r="K533" s="5" t="str">
        <f t="shared" si="8"/>
        <v>long</v>
      </c>
    </row>
    <row r="534" spans="1:11" x14ac:dyDescent="0.3">
      <c r="A534" s="3">
        <v>541</v>
      </c>
      <c r="B534" s="4">
        <v>48</v>
      </c>
      <c r="C534" s="4" t="s">
        <v>9</v>
      </c>
      <c r="D534" s="4" t="s">
        <v>10</v>
      </c>
      <c r="E534" s="4" t="s">
        <v>11</v>
      </c>
      <c r="F534" s="4">
        <v>15000</v>
      </c>
      <c r="G534" s="4">
        <v>41</v>
      </c>
      <c r="H534" s="4" t="s">
        <v>17</v>
      </c>
      <c r="I534" s="4" t="s">
        <v>13</v>
      </c>
      <c r="J534" s="4">
        <v>4</v>
      </c>
      <c r="K534" s="5" t="str">
        <f t="shared" si="8"/>
        <v>long</v>
      </c>
    </row>
    <row r="535" spans="1:11" x14ac:dyDescent="0.3">
      <c r="A535" s="3">
        <v>542</v>
      </c>
      <c r="B535" s="4">
        <v>65</v>
      </c>
      <c r="C535" s="4" t="s">
        <v>14</v>
      </c>
      <c r="D535" s="4" t="s">
        <v>15</v>
      </c>
      <c r="E535" s="4" t="s">
        <v>16</v>
      </c>
      <c r="F535" s="4">
        <v>2000</v>
      </c>
      <c r="G535" s="4">
        <v>39</v>
      </c>
      <c r="H535" s="4" t="s">
        <v>12</v>
      </c>
      <c r="I535" s="4" t="s">
        <v>18</v>
      </c>
      <c r="J535" s="4">
        <v>3</v>
      </c>
      <c r="K535" s="5" t="str">
        <f t="shared" si="8"/>
        <v>long</v>
      </c>
    </row>
    <row r="536" spans="1:11" x14ac:dyDescent="0.3">
      <c r="A536" s="3">
        <v>543</v>
      </c>
      <c r="B536" s="4">
        <v>30</v>
      </c>
      <c r="C536" s="4" t="s">
        <v>9</v>
      </c>
      <c r="D536" s="4" t="s">
        <v>19</v>
      </c>
      <c r="E536" s="4" t="s">
        <v>20</v>
      </c>
      <c r="F536" s="4">
        <v>500</v>
      </c>
      <c r="G536" s="4">
        <v>37</v>
      </c>
      <c r="H536" s="4" t="s">
        <v>12</v>
      </c>
      <c r="I536" s="4" t="s">
        <v>13</v>
      </c>
      <c r="J536" s="4">
        <v>5</v>
      </c>
      <c r="K536" s="5" t="str">
        <f t="shared" si="8"/>
        <v>long</v>
      </c>
    </row>
    <row r="537" spans="1:11" x14ac:dyDescent="0.3">
      <c r="A537" s="3">
        <v>544</v>
      </c>
      <c r="B537" s="4">
        <v>70</v>
      </c>
      <c r="C537" s="4" t="s">
        <v>14</v>
      </c>
      <c r="D537" s="4" t="s">
        <v>21</v>
      </c>
      <c r="E537" s="4" t="s">
        <v>22</v>
      </c>
      <c r="F537" s="4">
        <v>10000</v>
      </c>
      <c r="G537" s="4">
        <v>44</v>
      </c>
      <c r="H537" s="4" t="s">
        <v>17</v>
      </c>
      <c r="I537" s="4" t="s">
        <v>18</v>
      </c>
      <c r="J537" s="4">
        <v>2</v>
      </c>
      <c r="K537" s="5" t="str">
        <f t="shared" si="8"/>
        <v>long</v>
      </c>
    </row>
    <row r="538" spans="1:11" x14ac:dyDescent="0.3">
      <c r="A538" s="3">
        <v>545</v>
      </c>
      <c r="B538" s="4">
        <v>55</v>
      </c>
      <c r="C538" s="4" t="s">
        <v>9</v>
      </c>
      <c r="D538" s="4" t="s">
        <v>23</v>
      </c>
      <c r="E538" s="4" t="s">
        <v>24</v>
      </c>
      <c r="F538" s="4">
        <v>25000</v>
      </c>
      <c r="G538" s="4">
        <v>46</v>
      </c>
      <c r="H538" s="4" t="s">
        <v>12</v>
      </c>
      <c r="I538" s="4" t="s">
        <v>13</v>
      </c>
      <c r="J538" s="4">
        <v>4</v>
      </c>
      <c r="K538" s="5" t="str">
        <f t="shared" si="8"/>
        <v>long</v>
      </c>
    </row>
    <row r="539" spans="1:11" x14ac:dyDescent="0.3">
      <c r="A539" s="3">
        <v>546</v>
      </c>
      <c r="B539" s="4">
        <v>68</v>
      </c>
      <c r="C539" s="4" t="s">
        <v>14</v>
      </c>
      <c r="D539" s="4" t="s">
        <v>25</v>
      </c>
      <c r="E539" s="4" t="s">
        <v>26</v>
      </c>
      <c r="F539" s="4">
        <v>1000</v>
      </c>
      <c r="G539" s="4">
        <v>40</v>
      </c>
      <c r="H539" s="4" t="s">
        <v>12</v>
      </c>
      <c r="I539" s="4" t="s">
        <v>18</v>
      </c>
      <c r="J539" s="4">
        <v>4</v>
      </c>
      <c r="K539" s="5" t="str">
        <f t="shared" si="8"/>
        <v>long</v>
      </c>
    </row>
    <row r="540" spans="1:11" x14ac:dyDescent="0.3">
      <c r="A540" s="3">
        <v>547</v>
      </c>
      <c r="B540" s="4">
        <v>45</v>
      </c>
      <c r="C540" s="4" t="s">
        <v>9</v>
      </c>
      <c r="D540" s="4" t="s">
        <v>27</v>
      </c>
      <c r="E540" s="4" t="s">
        <v>28</v>
      </c>
      <c r="F540" s="4">
        <v>8000</v>
      </c>
      <c r="G540" s="4">
        <v>42</v>
      </c>
      <c r="H540" s="4" t="s">
        <v>12</v>
      </c>
      <c r="I540" s="4" t="s">
        <v>13</v>
      </c>
      <c r="J540" s="4">
        <v>3</v>
      </c>
      <c r="K540" s="5" t="str">
        <f t="shared" si="8"/>
        <v>long</v>
      </c>
    </row>
    <row r="541" spans="1:11" x14ac:dyDescent="0.3">
      <c r="A541" s="3">
        <v>548</v>
      </c>
      <c r="B541" s="4">
        <v>40</v>
      </c>
      <c r="C541" s="4" t="s">
        <v>14</v>
      </c>
      <c r="D541" s="4" t="s">
        <v>29</v>
      </c>
      <c r="E541" s="4" t="s">
        <v>30</v>
      </c>
      <c r="F541" s="4">
        <v>3000</v>
      </c>
      <c r="G541" s="4">
        <v>42</v>
      </c>
      <c r="H541" s="4" t="s">
        <v>12</v>
      </c>
      <c r="I541" s="4" t="s">
        <v>13</v>
      </c>
      <c r="J541" s="4">
        <v>4</v>
      </c>
      <c r="K541" s="5" t="str">
        <f t="shared" si="8"/>
        <v>long</v>
      </c>
    </row>
    <row r="542" spans="1:11" x14ac:dyDescent="0.3">
      <c r="A542" s="3">
        <v>549</v>
      </c>
      <c r="B542" s="4">
        <v>78</v>
      </c>
      <c r="C542" s="4" t="s">
        <v>9</v>
      </c>
      <c r="D542" s="4" t="s">
        <v>31</v>
      </c>
      <c r="E542" s="4" t="s">
        <v>32</v>
      </c>
      <c r="F542" s="4">
        <v>18000</v>
      </c>
      <c r="G542" s="4">
        <v>44</v>
      </c>
      <c r="H542" s="4" t="s">
        <v>17</v>
      </c>
      <c r="I542" s="4" t="s">
        <v>18</v>
      </c>
      <c r="J542" s="4">
        <v>2</v>
      </c>
      <c r="K542" s="5" t="str">
        <f t="shared" si="8"/>
        <v>long</v>
      </c>
    </row>
    <row r="543" spans="1:11" x14ac:dyDescent="0.3">
      <c r="A543" s="3">
        <v>550</v>
      </c>
      <c r="B543" s="4">
        <v>25</v>
      </c>
      <c r="C543" s="4" t="s">
        <v>14</v>
      </c>
      <c r="D543" s="4" t="s">
        <v>33</v>
      </c>
      <c r="E543" s="4" t="s">
        <v>34</v>
      </c>
      <c r="F543" s="4">
        <v>100</v>
      </c>
      <c r="G543" s="4">
        <v>37</v>
      </c>
      <c r="H543" s="4" t="s">
        <v>12</v>
      </c>
      <c r="I543" s="4" t="s">
        <v>13</v>
      </c>
      <c r="J543" s="4">
        <v>5</v>
      </c>
      <c r="K543" s="5" t="str">
        <f t="shared" si="8"/>
        <v>long</v>
      </c>
    </row>
    <row r="544" spans="1:11" x14ac:dyDescent="0.3">
      <c r="A544" s="3">
        <v>551</v>
      </c>
      <c r="B544" s="4">
        <v>52</v>
      </c>
      <c r="C544" s="4" t="s">
        <v>9</v>
      </c>
      <c r="D544" s="4" t="s">
        <v>35</v>
      </c>
      <c r="E544" s="4" t="s">
        <v>36</v>
      </c>
      <c r="F544" s="4">
        <v>800</v>
      </c>
      <c r="G544" s="4">
        <v>38</v>
      </c>
      <c r="H544" s="4" t="s">
        <v>12</v>
      </c>
      <c r="I544" s="4" t="s">
        <v>18</v>
      </c>
      <c r="J544" s="4">
        <v>4</v>
      </c>
      <c r="K544" s="5" t="str">
        <f t="shared" si="8"/>
        <v>long</v>
      </c>
    </row>
    <row r="545" spans="1:11" x14ac:dyDescent="0.3">
      <c r="A545" s="3">
        <v>552</v>
      </c>
      <c r="B545" s="4">
        <v>58</v>
      </c>
      <c r="C545" s="4" t="s">
        <v>14</v>
      </c>
      <c r="D545" s="4" t="s">
        <v>37</v>
      </c>
      <c r="E545" s="4" t="s">
        <v>38</v>
      </c>
      <c r="F545" s="4">
        <v>20000</v>
      </c>
      <c r="G545" s="4">
        <v>45</v>
      </c>
      <c r="H545" s="4" t="s">
        <v>12</v>
      </c>
      <c r="I545" s="4" t="s">
        <v>13</v>
      </c>
      <c r="J545" s="4">
        <v>3</v>
      </c>
      <c r="K545" s="5" t="str">
        <f t="shared" si="8"/>
        <v>long</v>
      </c>
    </row>
    <row r="546" spans="1:11" x14ac:dyDescent="0.3">
      <c r="A546" s="3">
        <v>553</v>
      </c>
      <c r="B546" s="4">
        <v>32</v>
      </c>
      <c r="C546" s="4" t="s">
        <v>9</v>
      </c>
      <c r="D546" s="4" t="s">
        <v>39</v>
      </c>
      <c r="E546" s="4" t="s">
        <v>40</v>
      </c>
      <c r="F546" s="4">
        <v>12000</v>
      </c>
      <c r="G546" s="4">
        <v>39</v>
      </c>
      <c r="H546" s="4" t="s">
        <v>12</v>
      </c>
      <c r="I546" s="4" t="s">
        <v>13</v>
      </c>
      <c r="J546" s="4">
        <v>4</v>
      </c>
      <c r="K546" s="5" t="str">
        <f t="shared" si="8"/>
        <v>long</v>
      </c>
    </row>
    <row r="547" spans="1:11" x14ac:dyDescent="0.3">
      <c r="A547" s="3">
        <v>554</v>
      </c>
      <c r="B547" s="4">
        <v>55</v>
      </c>
      <c r="C547" s="4" t="s">
        <v>14</v>
      </c>
      <c r="D547" s="4" t="s">
        <v>41</v>
      </c>
      <c r="E547" s="4" t="s">
        <v>42</v>
      </c>
      <c r="F547" s="4">
        <v>6000</v>
      </c>
      <c r="G547" s="4">
        <v>40</v>
      </c>
      <c r="H547" s="4" t="s">
        <v>12</v>
      </c>
      <c r="I547" s="4" t="s">
        <v>13</v>
      </c>
      <c r="J547" s="4">
        <v>3</v>
      </c>
      <c r="K547" s="5" t="str">
        <f t="shared" si="8"/>
        <v>long</v>
      </c>
    </row>
    <row r="548" spans="1:11" x14ac:dyDescent="0.3">
      <c r="A548" s="3">
        <v>555</v>
      </c>
      <c r="B548" s="4">
        <v>65</v>
      </c>
      <c r="C548" s="4" t="s">
        <v>9</v>
      </c>
      <c r="D548" s="4" t="s">
        <v>43</v>
      </c>
      <c r="E548" s="4" t="s">
        <v>44</v>
      </c>
      <c r="F548" s="4">
        <v>4000</v>
      </c>
      <c r="G548" s="4">
        <v>41</v>
      </c>
      <c r="H548" s="4" t="s">
        <v>12</v>
      </c>
      <c r="I548" s="4" t="s">
        <v>18</v>
      </c>
      <c r="J548" s="4">
        <v>4</v>
      </c>
      <c r="K548" s="5" t="str">
        <f t="shared" si="8"/>
        <v>long</v>
      </c>
    </row>
    <row r="549" spans="1:11" x14ac:dyDescent="0.3">
      <c r="A549" s="3">
        <v>556</v>
      </c>
      <c r="B549" s="4">
        <v>55</v>
      </c>
      <c r="C549" s="4" t="s">
        <v>9</v>
      </c>
      <c r="D549" s="4" t="s">
        <v>10</v>
      </c>
      <c r="E549" s="4" t="s">
        <v>11</v>
      </c>
      <c r="F549" s="4">
        <v>15000</v>
      </c>
      <c r="G549" s="4">
        <v>42</v>
      </c>
      <c r="H549" s="4" t="s">
        <v>17</v>
      </c>
      <c r="I549" s="4" t="s">
        <v>13</v>
      </c>
      <c r="J549" s="4">
        <v>3</v>
      </c>
      <c r="K549" s="5" t="str">
        <f t="shared" si="8"/>
        <v>long</v>
      </c>
    </row>
    <row r="550" spans="1:11" x14ac:dyDescent="0.3">
      <c r="A550" s="3">
        <v>557</v>
      </c>
      <c r="B550" s="4">
        <v>62</v>
      </c>
      <c r="C550" s="4" t="s">
        <v>14</v>
      </c>
      <c r="D550" s="4" t="s">
        <v>15</v>
      </c>
      <c r="E550" s="4" t="s">
        <v>16</v>
      </c>
      <c r="F550" s="4">
        <v>2000</v>
      </c>
      <c r="G550" s="4">
        <v>40</v>
      </c>
      <c r="H550" s="4" t="s">
        <v>12</v>
      </c>
      <c r="I550" s="4" t="s">
        <v>18</v>
      </c>
      <c r="J550" s="4">
        <v>4</v>
      </c>
      <c r="K550" s="5" t="str">
        <f t="shared" si="8"/>
        <v>long</v>
      </c>
    </row>
    <row r="551" spans="1:11" x14ac:dyDescent="0.3">
      <c r="A551" s="3">
        <v>558</v>
      </c>
      <c r="B551" s="4">
        <v>35</v>
      </c>
      <c r="C551" s="4" t="s">
        <v>9</v>
      </c>
      <c r="D551" s="4" t="s">
        <v>19</v>
      </c>
      <c r="E551" s="4" t="s">
        <v>20</v>
      </c>
      <c r="F551" s="4">
        <v>500</v>
      </c>
      <c r="G551" s="4">
        <v>38</v>
      </c>
      <c r="H551" s="4" t="s">
        <v>17</v>
      </c>
      <c r="I551" s="4" t="s">
        <v>13</v>
      </c>
      <c r="J551" s="4">
        <v>5</v>
      </c>
      <c r="K551" s="5" t="str">
        <f t="shared" si="8"/>
        <v>long</v>
      </c>
    </row>
    <row r="552" spans="1:11" x14ac:dyDescent="0.3">
      <c r="A552" s="3">
        <v>559</v>
      </c>
      <c r="B552" s="4">
        <v>78</v>
      </c>
      <c r="C552" s="4" t="s">
        <v>14</v>
      </c>
      <c r="D552" s="4" t="s">
        <v>21</v>
      </c>
      <c r="E552" s="4" t="s">
        <v>22</v>
      </c>
      <c r="F552" s="4">
        <v>10000</v>
      </c>
      <c r="G552" s="4">
        <v>45</v>
      </c>
      <c r="H552" s="4" t="s">
        <v>12</v>
      </c>
      <c r="I552" s="4" t="s">
        <v>18</v>
      </c>
      <c r="J552" s="4">
        <v>2</v>
      </c>
      <c r="K552" s="5" t="str">
        <f t="shared" si="8"/>
        <v>long</v>
      </c>
    </row>
    <row r="553" spans="1:11" x14ac:dyDescent="0.3">
      <c r="A553" s="3">
        <v>560</v>
      </c>
      <c r="B553" s="4">
        <v>53</v>
      </c>
      <c r="C553" s="4" t="s">
        <v>9</v>
      </c>
      <c r="D553" s="4" t="s">
        <v>23</v>
      </c>
      <c r="E553" s="4" t="s">
        <v>24</v>
      </c>
      <c r="F553" s="4">
        <v>25000</v>
      </c>
      <c r="G553" s="4">
        <v>47</v>
      </c>
      <c r="H553" s="4" t="s">
        <v>17</v>
      </c>
      <c r="I553" s="4" t="s">
        <v>13</v>
      </c>
      <c r="J553" s="4">
        <v>4</v>
      </c>
      <c r="K553" s="5" t="str">
        <f t="shared" si="8"/>
        <v>long</v>
      </c>
    </row>
    <row r="554" spans="1:11" x14ac:dyDescent="0.3">
      <c r="A554" s="3">
        <v>561</v>
      </c>
      <c r="B554" s="4">
        <v>72</v>
      </c>
      <c r="C554" s="4" t="s">
        <v>14</v>
      </c>
      <c r="D554" s="4" t="s">
        <v>25</v>
      </c>
      <c r="E554" s="4" t="s">
        <v>26</v>
      </c>
      <c r="F554" s="4">
        <v>1000</v>
      </c>
      <c r="G554" s="4">
        <v>41</v>
      </c>
      <c r="H554" s="4" t="s">
        <v>12</v>
      </c>
      <c r="I554" s="4" t="s">
        <v>18</v>
      </c>
      <c r="J554" s="4">
        <v>4</v>
      </c>
      <c r="K554" s="5" t="str">
        <f t="shared" si="8"/>
        <v>long</v>
      </c>
    </row>
    <row r="555" spans="1:11" x14ac:dyDescent="0.3">
      <c r="A555" s="3">
        <v>562</v>
      </c>
      <c r="B555" s="4">
        <v>60</v>
      </c>
      <c r="C555" s="4" t="s">
        <v>9</v>
      </c>
      <c r="D555" s="4" t="s">
        <v>27</v>
      </c>
      <c r="E555" s="4" t="s">
        <v>28</v>
      </c>
      <c r="F555" s="4">
        <v>8000</v>
      </c>
      <c r="G555" s="4">
        <v>43</v>
      </c>
      <c r="H555" s="4" t="s">
        <v>17</v>
      </c>
      <c r="I555" s="4" t="s">
        <v>13</v>
      </c>
      <c r="J555" s="4">
        <v>3</v>
      </c>
      <c r="K555" s="5" t="str">
        <f t="shared" si="8"/>
        <v>long</v>
      </c>
    </row>
    <row r="556" spans="1:11" x14ac:dyDescent="0.3">
      <c r="A556" s="3">
        <v>563</v>
      </c>
      <c r="B556" s="4">
        <v>45</v>
      </c>
      <c r="C556" s="4" t="s">
        <v>14</v>
      </c>
      <c r="D556" s="4" t="s">
        <v>29</v>
      </c>
      <c r="E556" s="4" t="s">
        <v>30</v>
      </c>
      <c r="F556" s="4">
        <v>3000</v>
      </c>
      <c r="G556" s="4">
        <v>43</v>
      </c>
      <c r="H556" s="4" t="s">
        <v>12</v>
      </c>
      <c r="I556" s="4" t="s">
        <v>13</v>
      </c>
      <c r="J556" s="4">
        <v>4</v>
      </c>
      <c r="K556" s="5" t="str">
        <f t="shared" si="8"/>
        <v>long</v>
      </c>
    </row>
    <row r="557" spans="1:11" x14ac:dyDescent="0.3">
      <c r="A557" s="3">
        <v>564</v>
      </c>
      <c r="B557" s="4">
        <v>75</v>
      </c>
      <c r="C557" s="4" t="s">
        <v>9</v>
      </c>
      <c r="D557" s="4" t="s">
        <v>31</v>
      </c>
      <c r="E557" s="4" t="s">
        <v>32</v>
      </c>
      <c r="F557" s="4">
        <v>18000</v>
      </c>
      <c r="G557" s="4">
        <v>45</v>
      </c>
      <c r="H557" s="4" t="s">
        <v>17</v>
      </c>
      <c r="I557" s="4" t="s">
        <v>18</v>
      </c>
      <c r="J557" s="4">
        <v>2</v>
      </c>
      <c r="K557" s="5" t="str">
        <f t="shared" si="8"/>
        <v>long</v>
      </c>
    </row>
    <row r="558" spans="1:11" x14ac:dyDescent="0.3">
      <c r="A558" s="3">
        <v>565</v>
      </c>
      <c r="B558" s="4">
        <v>28</v>
      </c>
      <c r="C558" s="4" t="s">
        <v>14</v>
      </c>
      <c r="D558" s="4" t="s">
        <v>33</v>
      </c>
      <c r="E558" s="4" t="s">
        <v>34</v>
      </c>
      <c r="F558" s="4">
        <v>100</v>
      </c>
      <c r="G558" s="4">
        <v>38</v>
      </c>
      <c r="H558" s="4" t="s">
        <v>12</v>
      </c>
      <c r="I558" s="4" t="s">
        <v>13</v>
      </c>
      <c r="J558" s="4">
        <v>5</v>
      </c>
      <c r="K558" s="5" t="str">
        <f t="shared" si="8"/>
        <v>long</v>
      </c>
    </row>
    <row r="559" spans="1:11" x14ac:dyDescent="0.3">
      <c r="A559" s="3">
        <v>566</v>
      </c>
      <c r="B559" s="4">
        <v>52</v>
      </c>
      <c r="C559" s="4" t="s">
        <v>9</v>
      </c>
      <c r="D559" s="4" t="s">
        <v>35</v>
      </c>
      <c r="E559" s="4" t="s">
        <v>36</v>
      </c>
      <c r="F559" s="4">
        <v>800</v>
      </c>
      <c r="G559" s="4">
        <v>39</v>
      </c>
      <c r="H559" s="4" t="s">
        <v>12</v>
      </c>
      <c r="I559" s="4" t="s">
        <v>18</v>
      </c>
      <c r="J559" s="4">
        <v>4</v>
      </c>
      <c r="K559" s="5" t="str">
        <f t="shared" si="8"/>
        <v>long</v>
      </c>
    </row>
    <row r="560" spans="1:11" x14ac:dyDescent="0.3">
      <c r="A560" s="3">
        <v>567</v>
      </c>
      <c r="B560" s="4">
        <v>67</v>
      </c>
      <c r="C560" s="4" t="s">
        <v>14</v>
      </c>
      <c r="D560" s="4" t="s">
        <v>37</v>
      </c>
      <c r="E560" s="4" t="s">
        <v>38</v>
      </c>
      <c r="F560" s="4">
        <v>20000</v>
      </c>
      <c r="G560" s="4">
        <v>46</v>
      </c>
      <c r="H560" s="4" t="s">
        <v>12</v>
      </c>
      <c r="I560" s="4" t="s">
        <v>13</v>
      </c>
      <c r="J560" s="4">
        <v>3</v>
      </c>
      <c r="K560" s="5" t="str">
        <f t="shared" si="8"/>
        <v>long</v>
      </c>
    </row>
    <row r="561" spans="1:11" x14ac:dyDescent="0.3">
      <c r="A561" s="3">
        <v>568</v>
      </c>
      <c r="B561" s="4">
        <v>35</v>
      </c>
      <c r="C561" s="4" t="s">
        <v>9</v>
      </c>
      <c r="D561" s="4" t="s">
        <v>39</v>
      </c>
      <c r="E561" s="4" t="s">
        <v>40</v>
      </c>
      <c r="F561" s="4">
        <v>12000</v>
      </c>
      <c r="G561" s="4">
        <v>40</v>
      </c>
      <c r="H561" s="4" t="s">
        <v>12</v>
      </c>
      <c r="I561" s="4" t="s">
        <v>13</v>
      </c>
      <c r="J561" s="4">
        <v>4</v>
      </c>
      <c r="K561" s="5" t="str">
        <f t="shared" si="8"/>
        <v>long</v>
      </c>
    </row>
    <row r="562" spans="1:11" x14ac:dyDescent="0.3">
      <c r="A562" s="3">
        <v>569</v>
      </c>
      <c r="B562" s="4">
        <v>50</v>
      </c>
      <c r="C562" s="4" t="s">
        <v>14</v>
      </c>
      <c r="D562" s="4" t="s">
        <v>41</v>
      </c>
      <c r="E562" s="4" t="s">
        <v>42</v>
      </c>
      <c r="F562" s="4">
        <v>6000</v>
      </c>
      <c r="G562" s="4">
        <v>41</v>
      </c>
      <c r="H562" s="4" t="s">
        <v>12</v>
      </c>
      <c r="I562" s="4" t="s">
        <v>13</v>
      </c>
      <c r="J562" s="4">
        <v>3</v>
      </c>
      <c r="K562" s="5" t="str">
        <f t="shared" si="8"/>
        <v>long</v>
      </c>
    </row>
    <row r="563" spans="1:11" x14ac:dyDescent="0.3">
      <c r="A563" s="3">
        <v>570</v>
      </c>
      <c r="B563" s="4">
        <v>60</v>
      </c>
      <c r="C563" s="4" t="s">
        <v>9</v>
      </c>
      <c r="D563" s="4" t="s">
        <v>43</v>
      </c>
      <c r="E563" s="4" t="s">
        <v>44</v>
      </c>
      <c r="F563" s="4">
        <v>4000</v>
      </c>
      <c r="G563" s="4">
        <v>42</v>
      </c>
      <c r="H563" s="4" t="s">
        <v>12</v>
      </c>
      <c r="I563" s="4" t="s">
        <v>18</v>
      </c>
      <c r="J563" s="4">
        <v>4</v>
      </c>
      <c r="K563" s="5" t="str">
        <f t="shared" si="8"/>
        <v>long</v>
      </c>
    </row>
    <row r="564" spans="1:11" x14ac:dyDescent="0.3">
      <c r="A564" s="3">
        <v>571</v>
      </c>
      <c r="B564" s="4">
        <v>48</v>
      </c>
      <c r="C564" s="4" t="s">
        <v>9</v>
      </c>
      <c r="D564" s="4" t="s">
        <v>10</v>
      </c>
      <c r="E564" s="4" t="s">
        <v>11</v>
      </c>
      <c r="F564" s="4">
        <v>15000</v>
      </c>
      <c r="G564" s="4">
        <v>43</v>
      </c>
      <c r="H564" s="4" t="s">
        <v>17</v>
      </c>
      <c r="I564" s="4" t="s">
        <v>13</v>
      </c>
      <c r="J564" s="4">
        <v>4</v>
      </c>
      <c r="K564" s="5" t="str">
        <f t="shared" si="8"/>
        <v>long</v>
      </c>
    </row>
    <row r="565" spans="1:11" x14ac:dyDescent="0.3">
      <c r="A565" s="3">
        <v>572</v>
      </c>
      <c r="B565" s="4">
        <v>65</v>
      </c>
      <c r="C565" s="4" t="s">
        <v>14</v>
      </c>
      <c r="D565" s="4" t="s">
        <v>15</v>
      </c>
      <c r="E565" s="4" t="s">
        <v>16</v>
      </c>
      <c r="F565" s="4">
        <v>2000</v>
      </c>
      <c r="G565" s="4">
        <v>41</v>
      </c>
      <c r="H565" s="4" t="s">
        <v>12</v>
      </c>
      <c r="I565" s="4" t="s">
        <v>18</v>
      </c>
      <c r="J565" s="4">
        <v>3</v>
      </c>
      <c r="K565" s="5" t="str">
        <f t="shared" si="8"/>
        <v>long</v>
      </c>
    </row>
    <row r="566" spans="1:11" x14ac:dyDescent="0.3">
      <c r="A566" s="3">
        <v>573</v>
      </c>
      <c r="B566" s="4">
        <v>30</v>
      </c>
      <c r="C566" s="4" t="s">
        <v>9</v>
      </c>
      <c r="D566" s="4" t="s">
        <v>19</v>
      </c>
      <c r="E566" s="4" t="s">
        <v>20</v>
      </c>
      <c r="F566" s="4">
        <v>500</v>
      </c>
      <c r="G566" s="4">
        <v>39</v>
      </c>
      <c r="H566" s="4" t="s">
        <v>12</v>
      </c>
      <c r="I566" s="4" t="s">
        <v>13</v>
      </c>
      <c r="J566" s="4">
        <v>5</v>
      </c>
      <c r="K566" s="5" t="str">
        <f t="shared" si="8"/>
        <v>long</v>
      </c>
    </row>
    <row r="567" spans="1:11" x14ac:dyDescent="0.3">
      <c r="A567" s="3">
        <v>574</v>
      </c>
      <c r="B567" s="4">
        <v>70</v>
      </c>
      <c r="C567" s="4" t="s">
        <v>14</v>
      </c>
      <c r="D567" s="4" t="s">
        <v>21</v>
      </c>
      <c r="E567" s="4" t="s">
        <v>22</v>
      </c>
      <c r="F567" s="4">
        <v>10000</v>
      </c>
      <c r="G567" s="4">
        <v>46</v>
      </c>
      <c r="H567" s="4" t="s">
        <v>17</v>
      </c>
      <c r="I567" s="4" t="s">
        <v>18</v>
      </c>
      <c r="J567" s="4">
        <v>2</v>
      </c>
      <c r="K567" s="5" t="str">
        <f t="shared" si="8"/>
        <v>long</v>
      </c>
    </row>
    <row r="568" spans="1:11" x14ac:dyDescent="0.3">
      <c r="A568" s="3">
        <v>575</v>
      </c>
      <c r="B568" s="4">
        <v>55</v>
      </c>
      <c r="C568" s="4" t="s">
        <v>9</v>
      </c>
      <c r="D568" s="4" t="s">
        <v>23</v>
      </c>
      <c r="E568" s="4" t="s">
        <v>24</v>
      </c>
      <c r="F568" s="4">
        <v>25000</v>
      </c>
      <c r="G568" s="4">
        <v>48</v>
      </c>
      <c r="H568" s="4" t="s">
        <v>12</v>
      </c>
      <c r="I568" s="4" t="s">
        <v>13</v>
      </c>
      <c r="J568" s="4">
        <v>4</v>
      </c>
      <c r="K568" s="5" t="str">
        <f t="shared" si="8"/>
        <v>long</v>
      </c>
    </row>
    <row r="569" spans="1:11" x14ac:dyDescent="0.3">
      <c r="A569" s="3">
        <v>576</v>
      </c>
      <c r="B569" s="4">
        <v>68</v>
      </c>
      <c r="C569" s="4" t="s">
        <v>14</v>
      </c>
      <c r="D569" s="4" t="s">
        <v>25</v>
      </c>
      <c r="E569" s="4" t="s">
        <v>26</v>
      </c>
      <c r="F569" s="4">
        <v>1000</v>
      </c>
      <c r="G569" s="4">
        <v>42</v>
      </c>
      <c r="H569" s="4" t="s">
        <v>12</v>
      </c>
      <c r="I569" s="4" t="s">
        <v>18</v>
      </c>
      <c r="J569" s="4">
        <v>4</v>
      </c>
      <c r="K569" s="5" t="str">
        <f t="shared" si="8"/>
        <v>long</v>
      </c>
    </row>
    <row r="570" spans="1:11" x14ac:dyDescent="0.3">
      <c r="A570" s="3">
        <v>577</v>
      </c>
      <c r="B570" s="4">
        <v>45</v>
      </c>
      <c r="C570" s="4" t="s">
        <v>9</v>
      </c>
      <c r="D570" s="4" t="s">
        <v>27</v>
      </c>
      <c r="E570" s="4" t="s">
        <v>28</v>
      </c>
      <c r="F570" s="4">
        <v>8000</v>
      </c>
      <c r="G570" s="4">
        <v>44</v>
      </c>
      <c r="H570" s="4" t="s">
        <v>12</v>
      </c>
      <c r="I570" s="4" t="s">
        <v>13</v>
      </c>
      <c r="J570" s="4">
        <v>3</v>
      </c>
      <c r="K570" s="5" t="str">
        <f t="shared" si="8"/>
        <v>long</v>
      </c>
    </row>
    <row r="571" spans="1:11" x14ac:dyDescent="0.3">
      <c r="A571" s="3">
        <v>578</v>
      </c>
      <c r="B571" s="4">
        <v>40</v>
      </c>
      <c r="C571" s="4" t="s">
        <v>14</v>
      </c>
      <c r="D571" s="4" t="s">
        <v>29</v>
      </c>
      <c r="E571" s="4" t="s">
        <v>30</v>
      </c>
      <c r="F571" s="4">
        <v>3000</v>
      </c>
      <c r="G571" s="4">
        <v>44</v>
      </c>
      <c r="H571" s="4" t="s">
        <v>12</v>
      </c>
      <c r="I571" s="4" t="s">
        <v>13</v>
      </c>
      <c r="J571" s="4">
        <v>4</v>
      </c>
      <c r="K571" s="5" t="str">
        <f t="shared" si="8"/>
        <v>long</v>
      </c>
    </row>
    <row r="572" spans="1:11" x14ac:dyDescent="0.3">
      <c r="A572" s="3">
        <v>579</v>
      </c>
      <c r="B572" s="4">
        <v>78</v>
      </c>
      <c r="C572" s="4" t="s">
        <v>9</v>
      </c>
      <c r="D572" s="4" t="s">
        <v>31</v>
      </c>
      <c r="E572" s="4" t="s">
        <v>32</v>
      </c>
      <c r="F572" s="4">
        <v>18000</v>
      </c>
      <c r="G572" s="4">
        <v>46</v>
      </c>
      <c r="H572" s="4" t="s">
        <v>17</v>
      </c>
      <c r="I572" s="4" t="s">
        <v>18</v>
      </c>
      <c r="J572" s="4">
        <v>2</v>
      </c>
      <c r="K572" s="5" t="str">
        <f t="shared" si="8"/>
        <v>long</v>
      </c>
    </row>
    <row r="573" spans="1:11" x14ac:dyDescent="0.3">
      <c r="A573" s="3">
        <v>580</v>
      </c>
      <c r="B573" s="4">
        <v>25</v>
      </c>
      <c r="C573" s="4" t="s">
        <v>14</v>
      </c>
      <c r="D573" s="4" t="s">
        <v>33</v>
      </c>
      <c r="E573" s="4" t="s">
        <v>34</v>
      </c>
      <c r="F573" s="4">
        <v>100</v>
      </c>
      <c r="G573" s="4">
        <v>39</v>
      </c>
      <c r="H573" s="4" t="s">
        <v>12</v>
      </c>
      <c r="I573" s="4" t="s">
        <v>13</v>
      </c>
      <c r="J573" s="4">
        <v>5</v>
      </c>
      <c r="K573" s="5" t="str">
        <f t="shared" si="8"/>
        <v>long</v>
      </c>
    </row>
    <row r="574" spans="1:11" x14ac:dyDescent="0.3">
      <c r="A574" s="3">
        <v>581</v>
      </c>
      <c r="B574" s="4">
        <v>52</v>
      </c>
      <c r="C574" s="4" t="s">
        <v>9</v>
      </c>
      <c r="D574" s="4" t="s">
        <v>35</v>
      </c>
      <c r="E574" s="4" t="s">
        <v>36</v>
      </c>
      <c r="F574" s="4">
        <v>800</v>
      </c>
      <c r="G574" s="4">
        <v>40</v>
      </c>
      <c r="H574" s="4" t="s">
        <v>12</v>
      </c>
      <c r="I574" s="4" t="s">
        <v>18</v>
      </c>
      <c r="J574" s="4">
        <v>4</v>
      </c>
      <c r="K574" s="5" t="str">
        <f t="shared" si="8"/>
        <v>long</v>
      </c>
    </row>
    <row r="575" spans="1:11" x14ac:dyDescent="0.3">
      <c r="A575" s="3">
        <v>582</v>
      </c>
      <c r="B575" s="4">
        <v>58</v>
      </c>
      <c r="C575" s="4" t="s">
        <v>14</v>
      </c>
      <c r="D575" s="4" t="s">
        <v>37</v>
      </c>
      <c r="E575" s="4" t="s">
        <v>38</v>
      </c>
      <c r="F575" s="4">
        <v>20000</v>
      </c>
      <c r="G575" s="4">
        <v>47</v>
      </c>
      <c r="H575" s="4" t="s">
        <v>12</v>
      </c>
      <c r="I575" s="4" t="s">
        <v>13</v>
      </c>
      <c r="J575" s="4">
        <v>3</v>
      </c>
      <c r="K575" s="5" t="str">
        <f t="shared" si="8"/>
        <v>long</v>
      </c>
    </row>
    <row r="576" spans="1:11" x14ac:dyDescent="0.3">
      <c r="A576" s="3">
        <v>583</v>
      </c>
      <c r="B576" s="4">
        <v>32</v>
      </c>
      <c r="C576" s="4" t="s">
        <v>9</v>
      </c>
      <c r="D576" s="4" t="s">
        <v>39</v>
      </c>
      <c r="E576" s="4" t="s">
        <v>40</v>
      </c>
      <c r="F576" s="4">
        <v>12000</v>
      </c>
      <c r="G576" s="4">
        <v>41</v>
      </c>
      <c r="H576" s="4" t="s">
        <v>12</v>
      </c>
      <c r="I576" s="4" t="s">
        <v>13</v>
      </c>
      <c r="J576" s="4">
        <v>4</v>
      </c>
      <c r="K576" s="5" t="str">
        <f t="shared" si="8"/>
        <v>long</v>
      </c>
    </row>
    <row r="577" spans="1:11" x14ac:dyDescent="0.3">
      <c r="A577" s="3">
        <v>584</v>
      </c>
      <c r="B577" s="4">
        <v>55</v>
      </c>
      <c r="C577" s="4" t="s">
        <v>14</v>
      </c>
      <c r="D577" s="4" t="s">
        <v>41</v>
      </c>
      <c r="E577" s="4" t="s">
        <v>42</v>
      </c>
      <c r="F577" s="4">
        <v>6000</v>
      </c>
      <c r="G577" s="4">
        <v>42</v>
      </c>
      <c r="H577" s="4" t="s">
        <v>12</v>
      </c>
      <c r="I577" s="4" t="s">
        <v>13</v>
      </c>
      <c r="J577" s="4">
        <v>3</v>
      </c>
      <c r="K577" s="5" t="str">
        <f t="shared" si="8"/>
        <v>long</v>
      </c>
    </row>
    <row r="578" spans="1:11" x14ac:dyDescent="0.3">
      <c r="A578" s="3">
        <v>585</v>
      </c>
      <c r="B578" s="4">
        <v>65</v>
      </c>
      <c r="C578" s="4" t="s">
        <v>9</v>
      </c>
      <c r="D578" s="4" t="s">
        <v>43</v>
      </c>
      <c r="E578" s="4" t="s">
        <v>44</v>
      </c>
      <c r="F578" s="4">
        <v>4000</v>
      </c>
      <c r="G578" s="4">
        <v>43</v>
      </c>
      <c r="H578" s="4" t="s">
        <v>12</v>
      </c>
      <c r="I578" s="4" t="s">
        <v>18</v>
      </c>
      <c r="J578" s="4">
        <v>4</v>
      </c>
      <c r="K578" s="5" t="str">
        <f t="shared" si="8"/>
        <v>long</v>
      </c>
    </row>
    <row r="579" spans="1:11" x14ac:dyDescent="0.3">
      <c r="A579" s="3">
        <v>586</v>
      </c>
      <c r="B579" s="4">
        <v>55</v>
      </c>
      <c r="C579" s="4" t="s">
        <v>9</v>
      </c>
      <c r="D579" s="4" t="s">
        <v>10</v>
      </c>
      <c r="E579" s="4" t="s">
        <v>11</v>
      </c>
      <c r="F579" s="4">
        <v>15000</v>
      </c>
      <c r="G579" s="4">
        <v>44</v>
      </c>
      <c r="H579" s="4" t="s">
        <v>17</v>
      </c>
      <c r="I579" s="4" t="s">
        <v>13</v>
      </c>
      <c r="J579" s="4">
        <v>3</v>
      </c>
      <c r="K579" s="5" t="str">
        <f t="shared" si="8"/>
        <v>long</v>
      </c>
    </row>
    <row r="580" spans="1:11" x14ac:dyDescent="0.3">
      <c r="A580" s="3">
        <v>587</v>
      </c>
      <c r="B580" s="4">
        <v>62</v>
      </c>
      <c r="C580" s="4" t="s">
        <v>14</v>
      </c>
      <c r="D580" s="4" t="s">
        <v>15</v>
      </c>
      <c r="E580" s="4" t="s">
        <v>16</v>
      </c>
      <c r="F580" s="4">
        <v>2000</v>
      </c>
      <c r="G580" s="4">
        <v>42</v>
      </c>
      <c r="H580" s="4" t="s">
        <v>12</v>
      </c>
      <c r="I580" s="4" t="s">
        <v>18</v>
      </c>
      <c r="J580" s="4">
        <v>4</v>
      </c>
      <c r="K580" s="5" t="str">
        <f t="shared" ref="K580:K643" si="9">IF(G580&lt;=3,"short",IF(G580&lt;=7,"medium","long"))</f>
        <v>long</v>
      </c>
    </row>
    <row r="581" spans="1:11" x14ac:dyDescent="0.3">
      <c r="A581" s="3">
        <v>588</v>
      </c>
      <c r="B581" s="4">
        <v>35</v>
      </c>
      <c r="C581" s="4" t="s">
        <v>9</v>
      </c>
      <c r="D581" s="4" t="s">
        <v>19</v>
      </c>
      <c r="E581" s="4" t="s">
        <v>20</v>
      </c>
      <c r="F581" s="4">
        <v>500</v>
      </c>
      <c r="G581" s="4">
        <v>40</v>
      </c>
      <c r="H581" s="4" t="s">
        <v>17</v>
      </c>
      <c r="I581" s="4" t="s">
        <v>13</v>
      </c>
      <c r="J581" s="4">
        <v>5</v>
      </c>
      <c r="K581" s="5" t="str">
        <f t="shared" si="9"/>
        <v>long</v>
      </c>
    </row>
    <row r="582" spans="1:11" x14ac:dyDescent="0.3">
      <c r="A582" s="3">
        <v>589</v>
      </c>
      <c r="B582" s="4">
        <v>78</v>
      </c>
      <c r="C582" s="4" t="s">
        <v>14</v>
      </c>
      <c r="D582" s="4" t="s">
        <v>21</v>
      </c>
      <c r="E582" s="4" t="s">
        <v>22</v>
      </c>
      <c r="F582" s="4">
        <v>10000</v>
      </c>
      <c r="G582" s="4">
        <v>47</v>
      </c>
      <c r="H582" s="4" t="s">
        <v>12</v>
      </c>
      <c r="I582" s="4" t="s">
        <v>18</v>
      </c>
      <c r="J582" s="4">
        <v>2</v>
      </c>
      <c r="K582" s="5" t="str">
        <f t="shared" si="9"/>
        <v>long</v>
      </c>
    </row>
    <row r="583" spans="1:11" x14ac:dyDescent="0.3">
      <c r="A583" s="3">
        <v>590</v>
      </c>
      <c r="B583" s="4">
        <v>53</v>
      </c>
      <c r="C583" s="4" t="s">
        <v>9</v>
      </c>
      <c r="D583" s="4" t="s">
        <v>23</v>
      </c>
      <c r="E583" s="4" t="s">
        <v>24</v>
      </c>
      <c r="F583" s="4">
        <v>25000</v>
      </c>
      <c r="G583" s="4">
        <v>49</v>
      </c>
      <c r="H583" s="4" t="s">
        <v>17</v>
      </c>
      <c r="I583" s="4" t="s">
        <v>13</v>
      </c>
      <c r="J583" s="4">
        <v>4</v>
      </c>
      <c r="K583" s="5" t="str">
        <f t="shared" si="9"/>
        <v>long</v>
      </c>
    </row>
    <row r="584" spans="1:11" x14ac:dyDescent="0.3">
      <c r="A584" s="3">
        <v>591</v>
      </c>
      <c r="B584" s="4">
        <v>72</v>
      </c>
      <c r="C584" s="4" t="s">
        <v>14</v>
      </c>
      <c r="D584" s="4" t="s">
        <v>25</v>
      </c>
      <c r="E584" s="4" t="s">
        <v>26</v>
      </c>
      <c r="F584" s="4">
        <v>1000</v>
      </c>
      <c r="G584" s="4">
        <v>43</v>
      </c>
      <c r="H584" s="4" t="s">
        <v>12</v>
      </c>
      <c r="I584" s="4" t="s">
        <v>18</v>
      </c>
      <c r="J584" s="4">
        <v>4</v>
      </c>
      <c r="K584" s="5" t="str">
        <f t="shared" si="9"/>
        <v>long</v>
      </c>
    </row>
    <row r="585" spans="1:11" x14ac:dyDescent="0.3">
      <c r="A585" s="3">
        <v>592</v>
      </c>
      <c r="B585" s="4">
        <v>60</v>
      </c>
      <c r="C585" s="4" t="s">
        <v>9</v>
      </c>
      <c r="D585" s="4" t="s">
        <v>27</v>
      </c>
      <c r="E585" s="4" t="s">
        <v>28</v>
      </c>
      <c r="F585" s="4">
        <v>8000</v>
      </c>
      <c r="G585" s="4">
        <v>45</v>
      </c>
      <c r="H585" s="4" t="s">
        <v>17</v>
      </c>
      <c r="I585" s="4" t="s">
        <v>13</v>
      </c>
      <c r="J585" s="4">
        <v>3</v>
      </c>
      <c r="K585" s="5" t="str">
        <f t="shared" si="9"/>
        <v>long</v>
      </c>
    </row>
    <row r="586" spans="1:11" x14ac:dyDescent="0.3">
      <c r="A586" s="3">
        <v>593</v>
      </c>
      <c r="B586" s="4">
        <v>45</v>
      </c>
      <c r="C586" s="4" t="s">
        <v>14</v>
      </c>
      <c r="D586" s="4" t="s">
        <v>29</v>
      </c>
      <c r="E586" s="4" t="s">
        <v>30</v>
      </c>
      <c r="F586" s="4">
        <v>3000</v>
      </c>
      <c r="G586" s="4">
        <v>45</v>
      </c>
      <c r="H586" s="4" t="s">
        <v>12</v>
      </c>
      <c r="I586" s="4" t="s">
        <v>13</v>
      </c>
      <c r="J586" s="4">
        <v>4</v>
      </c>
      <c r="K586" s="5" t="str">
        <f t="shared" si="9"/>
        <v>long</v>
      </c>
    </row>
    <row r="587" spans="1:11" x14ac:dyDescent="0.3">
      <c r="A587" s="3">
        <v>594</v>
      </c>
      <c r="B587" s="4">
        <v>75</v>
      </c>
      <c r="C587" s="4" t="s">
        <v>9</v>
      </c>
      <c r="D587" s="4" t="s">
        <v>31</v>
      </c>
      <c r="E587" s="4" t="s">
        <v>32</v>
      </c>
      <c r="F587" s="4">
        <v>18000</v>
      </c>
      <c r="G587" s="4">
        <v>47</v>
      </c>
      <c r="H587" s="4" t="s">
        <v>17</v>
      </c>
      <c r="I587" s="4" t="s">
        <v>18</v>
      </c>
      <c r="J587" s="4">
        <v>2</v>
      </c>
      <c r="K587" s="5" t="str">
        <f t="shared" si="9"/>
        <v>long</v>
      </c>
    </row>
    <row r="588" spans="1:11" x14ac:dyDescent="0.3">
      <c r="A588" s="3">
        <v>595</v>
      </c>
      <c r="B588" s="4">
        <v>28</v>
      </c>
      <c r="C588" s="4" t="s">
        <v>14</v>
      </c>
      <c r="D588" s="4" t="s">
        <v>33</v>
      </c>
      <c r="E588" s="4" t="s">
        <v>34</v>
      </c>
      <c r="F588" s="4">
        <v>100</v>
      </c>
      <c r="G588" s="4">
        <v>40</v>
      </c>
      <c r="H588" s="4" t="s">
        <v>12</v>
      </c>
      <c r="I588" s="4" t="s">
        <v>13</v>
      </c>
      <c r="J588" s="4">
        <v>5</v>
      </c>
      <c r="K588" s="5" t="str">
        <f t="shared" si="9"/>
        <v>long</v>
      </c>
    </row>
    <row r="589" spans="1:11" x14ac:dyDescent="0.3">
      <c r="A589" s="3">
        <v>596</v>
      </c>
      <c r="B589" s="4">
        <v>52</v>
      </c>
      <c r="C589" s="4" t="s">
        <v>9</v>
      </c>
      <c r="D589" s="4" t="s">
        <v>35</v>
      </c>
      <c r="E589" s="4" t="s">
        <v>36</v>
      </c>
      <c r="F589" s="4">
        <v>800</v>
      </c>
      <c r="G589" s="4">
        <v>41</v>
      </c>
      <c r="H589" s="4" t="s">
        <v>12</v>
      </c>
      <c r="I589" s="4" t="s">
        <v>18</v>
      </c>
      <c r="J589" s="4">
        <v>4</v>
      </c>
      <c r="K589" s="5" t="str">
        <f t="shared" si="9"/>
        <v>long</v>
      </c>
    </row>
    <row r="590" spans="1:11" x14ac:dyDescent="0.3">
      <c r="A590" s="3">
        <v>597</v>
      </c>
      <c r="B590" s="4">
        <v>67</v>
      </c>
      <c r="C590" s="4" t="s">
        <v>14</v>
      </c>
      <c r="D590" s="4" t="s">
        <v>37</v>
      </c>
      <c r="E590" s="4" t="s">
        <v>38</v>
      </c>
      <c r="F590" s="4">
        <v>20000</v>
      </c>
      <c r="G590" s="4">
        <v>48</v>
      </c>
      <c r="H590" s="4" t="s">
        <v>12</v>
      </c>
      <c r="I590" s="4" t="s">
        <v>13</v>
      </c>
      <c r="J590" s="4">
        <v>3</v>
      </c>
      <c r="K590" s="5" t="str">
        <f t="shared" si="9"/>
        <v>long</v>
      </c>
    </row>
    <row r="591" spans="1:11" x14ac:dyDescent="0.3">
      <c r="A591" s="3">
        <v>598</v>
      </c>
      <c r="B591" s="4">
        <v>35</v>
      </c>
      <c r="C591" s="4" t="s">
        <v>9</v>
      </c>
      <c r="D591" s="4" t="s">
        <v>39</v>
      </c>
      <c r="E591" s="4" t="s">
        <v>40</v>
      </c>
      <c r="F591" s="4">
        <v>12000</v>
      </c>
      <c r="G591" s="4">
        <v>42</v>
      </c>
      <c r="H591" s="4" t="s">
        <v>12</v>
      </c>
      <c r="I591" s="4" t="s">
        <v>13</v>
      </c>
      <c r="J591" s="4">
        <v>4</v>
      </c>
      <c r="K591" s="5" t="str">
        <f t="shared" si="9"/>
        <v>long</v>
      </c>
    </row>
    <row r="592" spans="1:11" x14ac:dyDescent="0.3">
      <c r="A592" s="3">
        <v>599</v>
      </c>
      <c r="B592" s="4">
        <v>50</v>
      </c>
      <c r="C592" s="4" t="s">
        <v>14</v>
      </c>
      <c r="D592" s="4" t="s">
        <v>41</v>
      </c>
      <c r="E592" s="4" t="s">
        <v>42</v>
      </c>
      <c r="F592" s="4">
        <v>6000</v>
      </c>
      <c r="G592" s="4">
        <v>43</v>
      </c>
      <c r="H592" s="4" t="s">
        <v>12</v>
      </c>
      <c r="I592" s="4" t="s">
        <v>13</v>
      </c>
      <c r="J592" s="4">
        <v>3</v>
      </c>
      <c r="K592" s="5" t="str">
        <f t="shared" si="9"/>
        <v>long</v>
      </c>
    </row>
    <row r="593" spans="1:11" x14ac:dyDescent="0.3">
      <c r="A593" s="3">
        <v>601</v>
      </c>
      <c r="B593" s="4">
        <v>48</v>
      </c>
      <c r="C593" s="4" t="s">
        <v>9</v>
      </c>
      <c r="D593" s="4" t="s">
        <v>10</v>
      </c>
      <c r="E593" s="4" t="s">
        <v>11</v>
      </c>
      <c r="F593" s="4">
        <v>15000</v>
      </c>
      <c r="G593" s="4">
        <v>45</v>
      </c>
      <c r="H593" s="4" t="s">
        <v>17</v>
      </c>
      <c r="I593" s="4" t="s">
        <v>13</v>
      </c>
      <c r="J593" s="4">
        <v>4</v>
      </c>
      <c r="K593" s="5" t="str">
        <f t="shared" si="9"/>
        <v>long</v>
      </c>
    </row>
    <row r="594" spans="1:11" x14ac:dyDescent="0.3">
      <c r="A594" s="3">
        <v>602</v>
      </c>
      <c r="B594" s="4">
        <v>65</v>
      </c>
      <c r="C594" s="4" t="s">
        <v>14</v>
      </c>
      <c r="D594" s="4" t="s">
        <v>15</v>
      </c>
      <c r="E594" s="4" t="s">
        <v>16</v>
      </c>
      <c r="F594" s="4">
        <v>2000</v>
      </c>
      <c r="G594" s="4">
        <v>43</v>
      </c>
      <c r="H594" s="4" t="s">
        <v>12</v>
      </c>
      <c r="I594" s="4" t="s">
        <v>18</v>
      </c>
      <c r="J594" s="4">
        <v>3</v>
      </c>
      <c r="K594" s="5" t="str">
        <f t="shared" si="9"/>
        <v>long</v>
      </c>
    </row>
    <row r="595" spans="1:11" x14ac:dyDescent="0.3">
      <c r="A595" s="3">
        <v>603</v>
      </c>
      <c r="B595" s="4">
        <v>30</v>
      </c>
      <c r="C595" s="4" t="s">
        <v>9</v>
      </c>
      <c r="D595" s="4" t="s">
        <v>19</v>
      </c>
      <c r="E595" s="4" t="s">
        <v>20</v>
      </c>
      <c r="F595" s="4">
        <v>500</v>
      </c>
      <c r="G595" s="4">
        <v>41</v>
      </c>
      <c r="H595" s="4" t="s">
        <v>12</v>
      </c>
      <c r="I595" s="4" t="s">
        <v>13</v>
      </c>
      <c r="J595" s="4">
        <v>5</v>
      </c>
      <c r="K595" s="5" t="str">
        <f t="shared" si="9"/>
        <v>long</v>
      </c>
    </row>
    <row r="596" spans="1:11" x14ac:dyDescent="0.3">
      <c r="A596" s="3">
        <v>604</v>
      </c>
      <c r="B596" s="4">
        <v>70</v>
      </c>
      <c r="C596" s="4" t="s">
        <v>14</v>
      </c>
      <c r="D596" s="4" t="s">
        <v>21</v>
      </c>
      <c r="E596" s="4" t="s">
        <v>22</v>
      </c>
      <c r="F596" s="4">
        <v>10000</v>
      </c>
      <c r="G596" s="4">
        <v>48</v>
      </c>
      <c r="H596" s="4" t="s">
        <v>17</v>
      </c>
      <c r="I596" s="4" t="s">
        <v>18</v>
      </c>
      <c r="J596" s="4">
        <v>2</v>
      </c>
      <c r="K596" s="5" t="str">
        <f t="shared" si="9"/>
        <v>long</v>
      </c>
    </row>
    <row r="597" spans="1:11" x14ac:dyDescent="0.3">
      <c r="A597" s="3">
        <v>605</v>
      </c>
      <c r="B597" s="4">
        <v>55</v>
      </c>
      <c r="C597" s="4" t="s">
        <v>9</v>
      </c>
      <c r="D597" s="4" t="s">
        <v>23</v>
      </c>
      <c r="E597" s="4" t="s">
        <v>24</v>
      </c>
      <c r="F597" s="4">
        <v>25000</v>
      </c>
      <c r="G597" s="4">
        <v>50</v>
      </c>
      <c r="H597" s="4" t="s">
        <v>12</v>
      </c>
      <c r="I597" s="4" t="s">
        <v>13</v>
      </c>
      <c r="J597" s="4">
        <v>4</v>
      </c>
      <c r="K597" s="5" t="str">
        <f t="shared" si="9"/>
        <v>long</v>
      </c>
    </row>
    <row r="598" spans="1:11" x14ac:dyDescent="0.3">
      <c r="A598" s="3">
        <v>606</v>
      </c>
      <c r="B598" s="4">
        <v>68</v>
      </c>
      <c r="C598" s="4" t="s">
        <v>14</v>
      </c>
      <c r="D598" s="4" t="s">
        <v>25</v>
      </c>
      <c r="E598" s="4" t="s">
        <v>26</v>
      </c>
      <c r="F598" s="4">
        <v>1000</v>
      </c>
      <c r="G598" s="4">
        <v>44</v>
      </c>
      <c r="H598" s="4" t="s">
        <v>12</v>
      </c>
      <c r="I598" s="4" t="s">
        <v>18</v>
      </c>
      <c r="J598" s="4">
        <v>4</v>
      </c>
      <c r="K598" s="5" t="str">
        <f t="shared" si="9"/>
        <v>long</v>
      </c>
    </row>
    <row r="599" spans="1:11" x14ac:dyDescent="0.3">
      <c r="A599" s="3">
        <v>607</v>
      </c>
      <c r="B599" s="4">
        <v>45</v>
      </c>
      <c r="C599" s="4" t="s">
        <v>9</v>
      </c>
      <c r="D599" s="4" t="s">
        <v>27</v>
      </c>
      <c r="E599" s="4" t="s">
        <v>28</v>
      </c>
      <c r="F599" s="4">
        <v>8000</v>
      </c>
      <c r="G599" s="4">
        <v>46</v>
      </c>
      <c r="H599" s="4" t="s">
        <v>12</v>
      </c>
      <c r="I599" s="4" t="s">
        <v>13</v>
      </c>
      <c r="J599" s="4">
        <v>3</v>
      </c>
      <c r="K599" s="5" t="str">
        <f t="shared" si="9"/>
        <v>long</v>
      </c>
    </row>
    <row r="600" spans="1:11" x14ac:dyDescent="0.3">
      <c r="A600" s="3">
        <v>608</v>
      </c>
      <c r="B600" s="4">
        <v>40</v>
      </c>
      <c r="C600" s="4" t="s">
        <v>14</v>
      </c>
      <c r="D600" s="4" t="s">
        <v>29</v>
      </c>
      <c r="E600" s="4" t="s">
        <v>30</v>
      </c>
      <c r="F600" s="4">
        <v>3000</v>
      </c>
      <c r="G600" s="4">
        <v>46</v>
      </c>
      <c r="H600" s="4" t="s">
        <v>12</v>
      </c>
      <c r="I600" s="4" t="s">
        <v>13</v>
      </c>
      <c r="J600" s="4">
        <v>4</v>
      </c>
      <c r="K600" s="5" t="str">
        <f t="shared" si="9"/>
        <v>long</v>
      </c>
    </row>
    <row r="601" spans="1:11" x14ac:dyDescent="0.3">
      <c r="A601" s="3">
        <v>609</v>
      </c>
      <c r="B601" s="4">
        <v>78</v>
      </c>
      <c r="C601" s="4" t="s">
        <v>9</v>
      </c>
      <c r="D601" s="4" t="s">
        <v>31</v>
      </c>
      <c r="E601" s="4" t="s">
        <v>32</v>
      </c>
      <c r="F601" s="4">
        <v>18000</v>
      </c>
      <c r="G601" s="4">
        <v>48</v>
      </c>
      <c r="H601" s="4" t="s">
        <v>17</v>
      </c>
      <c r="I601" s="4" t="s">
        <v>18</v>
      </c>
      <c r="J601" s="4">
        <v>2</v>
      </c>
      <c r="K601" s="5" t="str">
        <f t="shared" si="9"/>
        <v>long</v>
      </c>
    </row>
    <row r="602" spans="1:11" x14ac:dyDescent="0.3">
      <c r="A602" s="3">
        <v>610</v>
      </c>
      <c r="B602" s="4">
        <v>25</v>
      </c>
      <c r="C602" s="4" t="s">
        <v>14</v>
      </c>
      <c r="D602" s="4" t="s">
        <v>33</v>
      </c>
      <c r="E602" s="4" t="s">
        <v>34</v>
      </c>
      <c r="F602" s="4">
        <v>100</v>
      </c>
      <c r="G602" s="4">
        <v>41</v>
      </c>
      <c r="H602" s="4" t="s">
        <v>12</v>
      </c>
      <c r="I602" s="4" t="s">
        <v>13</v>
      </c>
      <c r="J602" s="4">
        <v>5</v>
      </c>
      <c r="K602" s="5" t="str">
        <f t="shared" si="9"/>
        <v>long</v>
      </c>
    </row>
    <row r="603" spans="1:11" x14ac:dyDescent="0.3">
      <c r="A603" s="3">
        <v>611</v>
      </c>
      <c r="B603" s="4">
        <v>52</v>
      </c>
      <c r="C603" s="4" t="s">
        <v>9</v>
      </c>
      <c r="D603" s="4" t="s">
        <v>35</v>
      </c>
      <c r="E603" s="4" t="s">
        <v>36</v>
      </c>
      <c r="F603" s="4">
        <v>800</v>
      </c>
      <c r="G603" s="4">
        <v>42</v>
      </c>
      <c r="H603" s="4" t="s">
        <v>12</v>
      </c>
      <c r="I603" s="4" t="s">
        <v>18</v>
      </c>
      <c r="J603" s="4">
        <v>4</v>
      </c>
      <c r="K603" s="5" t="str">
        <f t="shared" si="9"/>
        <v>long</v>
      </c>
    </row>
    <row r="604" spans="1:11" x14ac:dyDescent="0.3">
      <c r="A604" s="3">
        <v>612</v>
      </c>
      <c r="B604" s="4">
        <v>58</v>
      </c>
      <c r="C604" s="4" t="s">
        <v>14</v>
      </c>
      <c r="D604" s="4" t="s">
        <v>37</v>
      </c>
      <c r="E604" s="4" t="s">
        <v>38</v>
      </c>
      <c r="F604" s="4">
        <v>20000</v>
      </c>
      <c r="G604" s="4">
        <v>49</v>
      </c>
      <c r="H604" s="4" t="s">
        <v>12</v>
      </c>
      <c r="I604" s="4" t="s">
        <v>13</v>
      </c>
      <c r="J604" s="4">
        <v>3</v>
      </c>
      <c r="K604" s="5" t="str">
        <f t="shared" si="9"/>
        <v>long</v>
      </c>
    </row>
    <row r="605" spans="1:11" x14ac:dyDescent="0.3">
      <c r="A605" s="3">
        <v>613</v>
      </c>
      <c r="B605" s="4">
        <v>32</v>
      </c>
      <c r="C605" s="4" t="s">
        <v>9</v>
      </c>
      <c r="D605" s="4" t="s">
        <v>39</v>
      </c>
      <c r="E605" s="4" t="s">
        <v>40</v>
      </c>
      <c r="F605" s="4">
        <v>12000</v>
      </c>
      <c r="G605" s="4">
        <v>43</v>
      </c>
      <c r="H605" s="4" t="s">
        <v>12</v>
      </c>
      <c r="I605" s="4" t="s">
        <v>13</v>
      </c>
      <c r="J605" s="4">
        <v>4</v>
      </c>
      <c r="K605" s="5" t="str">
        <f t="shared" si="9"/>
        <v>long</v>
      </c>
    </row>
    <row r="606" spans="1:11" x14ac:dyDescent="0.3">
      <c r="A606" s="3">
        <v>614</v>
      </c>
      <c r="B606" s="4">
        <v>55</v>
      </c>
      <c r="C606" s="4" t="s">
        <v>14</v>
      </c>
      <c r="D606" s="4" t="s">
        <v>41</v>
      </c>
      <c r="E606" s="4" t="s">
        <v>42</v>
      </c>
      <c r="F606" s="4">
        <v>6000</v>
      </c>
      <c r="G606" s="4">
        <v>44</v>
      </c>
      <c r="H606" s="4" t="s">
        <v>12</v>
      </c>
      <c r="I606" s="4" t="s">
        <v>13</v>
      </c>
      <c r="J606" s="4">
        <v>3</v>
      </c>
      <c r="K606" s="5" t="str">
        <f t="shared" si="9"/>
        <v>long</v>
      </c>
    </row>
    <row r="607" spans="1:11" x14ac:dyDescent="0.3">
      <c r="A607" s="3">
        <v>615</v>
      </c>
      <c r="B607" s="4">
        <v>65</v>
      </c>
      <c r="C607" s="4" t="s">
        <v>9</v>
      </c>
      <c r="D607" s="4" t="s">
        <v>43</v>
      </c>
      <c r="E607" s="4" t="s">
        <v>44</v>
      </c>
      <c r="F607" s="4">
        <v>4000</v>
      </c>
      <c r="G607" s="4">
        <v>45</v>
      </c>
      <c r="H607" s="4" t="s">
        <v>12</v>
      </c>
      <c r="I607" s="4" t="s">
        <v>18</v>
      </c>
      <c r="J607" s="4">
        <v>4</v>
      </c>
      <c r="K607" s="5" t="str">
        <f t="shared" si="9"/>
        <v>long</v>
      </c>
    </row>
    <row r="608" spans="1:11" x14ac:dyDescent="0.3">
      <c r="A608" s="3">
        <v>616</v>
      </c>
      <c r="B608" s="4">
        <v>55</v>
      </c>
      <c r="C608" s="4" t="s">
        <v>9</v>
      </c>
      <c r="D608" s="4" t="s">
        <v>10</v>
      </c>
      <c r="E608" s="4" t="s">
        <v>11</v>
      </c>
      <c r="F608" s="4">
        <v>15000</v>
      </c>
      <c r="G608" s="4">
        <v>46</v>
      </c>
      <c r="H608" s="4" t="s">
        <v>17</v>
      </c>
      <c r="I608" s="4" t="s">
        <v>13</v>
      </c>
      <c r="J608" s="4">
        <v>3</v>
      </c>
      <c r="K608" s="5" t="str">
        <f t="shared" si="9"/>
        <v>long</v>
      </c>
    </row>
    <row r="609" spans="1:11" x14ac:dyDescent="0.3">
      <c r="A609" s="3">
        <v>617</v>
      </c>
      <c r="B609" s="4">
        <v>62</v>
      </c>
      <c r="C609" s="4" t="s">
        <v>14</v>
      </c>
      <c r="D609" s="4" t="s">
        <v>15</v>
      </c>
      <c r="E609" s="4" t="s">
        <v>16</v>
      </c>
      <c r="F609" s="4">
        <v>2000</v>
      </c>
      <c r="G609" s="4">
        <v>44</v>
      </c>
      <c r="H609" s="4" t="s">
        <v>12</v>
      </c>
      <c r="I609" s="4" t="s">
        <v>18</v>
      </c>
      <c r="J609" s="4">
        <v>4</v>
      </c>
      <c r="K609" s="5" t="str">
        <f t="shared" si="9"/>
        <v>long</v>
      </c>
    </row>
    <row r="610" spans="1:11" x14ac:dyDescent="0.3">
      <c r="A610" s="3">
        <v>618</v>
      </c>
      <c r="B610" s="4">
        <v>35</v>
      </c>
      <c r="C610" s="4" t="s">
        <v>9</v>
      </c>
      <c r="D610" s="4" t="s">
        <v>19</v>
      </c>
      <c r="E610" s="4" t="s">
        <v>20</v>
      </c>
      <c r="F610" s="4">
        <v>500</v>
      </c>
      <c r="G610" s="4">
        <v>42</v>
      </c>
      <c r="H610" s="4" t="s">
        <v>17</v>
      </c>
      <c r="I610" s="4" t="s">
        <v>13</v>
      </c>
      <c r="J610" s="4">
        <v>5</v>
      </c>
      <c r="K610" s="5" t="str">
        <f t="shared" si="9"/>
        <v>long</v>
      </c>
    </row>
    <row r="611" spans="1:11" x14ac:dyDescent="0.3">
      <c r="A611" s="3">
        <v>619</v>
      </c>
      <c r="B611" s="4">
        <v>78</v>
      </c>
      <c r="C611" s="4" t="s">
        <v>14</v>
      </c>
      <c r="D611" s="4" t="s">
        <v>21</v>
      </c>
      <c r="E611" s="4" t="s">
        <v>22</v>
      </c>
      <c r="F611" s="4">
        <v>10000</v>
      </c>
      <c r="G611" s="4">
        <v>49</v>
      </c>
      <c r="H611" s="4" t="s">
        <v>12</v>
      </c>
      <c r="I611" s="4" t="s">
        <v>18</v>
      </c>
      <c r="J611" s="4">
        <v>2</v>
      </c>
      <c r="K611" s="5" t="str">
        <f t="shared" si="9"/>
        <v>long</v>
      </c>
    </row>
    <row r="612" spans="1:11" x14ac:dyDescent="0.3">
      <c r="A612" s="3">
        <v>620</v>
      </c>
      <c r="B612" s="4">
        <v>53</v>
      </c>
      <c r="C612" s="4" t="s">
        <v>9</v>
      </c>
      <c r="D612" s="4" t="s">
        <v>23</v>
      </c>
      <c r="E612" s="4" t="s">
        <v>24</v>
      </c>
      <c r="F612" s="4">
        <v>25000</v>
      </c>
      <c r="G612" s="4">
        <v>51</v>
      </c>
      <c r="H612" s="4" t="s">
        <v>17</v>
      </c>
      <c r="I612" s="4" t="s">
        <v>13</v>
      </c>
      <c r="J612" s="4">
        <v>4</v>
      </c>
      <c r="K612" s="5" t="str">
        <f t="shared" si="9"/>
        <v>long</v>
      </c>
    </row>
    <row r="613" spans="1:11" x14ac:dyDescent="0.3">
      <c r="A613" s="3">
        <v>621</v>
      </c>
      <c r="B613" s="4">
        <v>72</v>
      </c>
      <c r="C613" s="4" t="s">
        <v>14</v>
      </c>
      <c r="D613" s="4" t="s">
        <v>25</v>
      </c>
      <c r="E613" s="4" t="s">
        <v>26</v>
      </c>
      <c r="F613" s="4">
        <v>1000</v>
      </c>
      <c r="G613" s="4">
        <v>45</v>
      </c>
      <c r="H613" s="4" t="s">
        <v>12</v>
      </c>
      <c r="I613" s="4" t="s">
        <v>18</v>
      </c>
      <c r="J613" s="4">
        <v>4</v>
      </c>
      <c r="K613" s="5" t="str">
        <f t="shared" si="9"/>
        <v>long</v>
      </c>
    </row>
    <row r="614" spans="1:11" x14ac:dyDescent="0.3">
      <c r="A614" s="3">
        <v>622</v>
      </c>
      <c r="B614" s="4">
        <v>60</v>
      </c>
      <c r="C614" s="4" t="s">
        <v>9</v>
      </c>
      <c r="D614" s="4" t="s">
        <v>27</v>
      </c>
      <c r="E614" s="4" t="s">
        <v>28</v>
      </c>
      <c r="F614" s="4">
        <v>8000</v>
      </c>
      <c r="G614" s="4">
        <v>47</v>
      </c>
      <c r="H614" s="4" t="s">
        <v>17</v>
      </c>
      <c r="I614" s="4" t="s">
        <v>13</v>
      </c>
      <c r="J614" s="4">
        <v>3</v>
      </c>
      <c r="K614" s="5" t="str">
        <f t="shared" si="9"/>
        <v>long</v>
      </c>
    </row>
    <row r="615" spans="1:11" x14ac:dyDescent="0.3">
      <c r="A615" s="3">
        <v>623</v>
      </c>
      <c r="B615" s="4">
        <v>45</v>
      </c>
      <c r="C615" s="4" t="s">
        <v>14</v>
      </c>
      <c r="D615" s="4" t="s">
        <v>29</v>
      </c>
      <c r="E615" s="4" t="s">
        <v>30</v>
      </c>
      <c r="F615" s="4">
        <v>3000</v>
      </c>
      <c r="G615" s="4">
        <v>47</v>
      </c>
      <c r="H615" s="4" t="s">
        <v>12</v>
      </c>
      <c r="I615" s="4" t="s">
        <v>13</v>
      </c>
      <c r="J615" s="4">
        <v>4</v>
      </c>
      <c r="K615" s="5" t="str">
        <f t="shared" si="9"/>
        <v>long</v>
      </c>
    </row>
    <row r="616" spans="1:11" x14ac:dyDescent="0.3">
      <c r="A616" s="3">
        <v>624</v>
      </c>
      <c r="B616" s="4">
        <v>75</v>
      </c>
      <c r="C616" s="4" t="s">
        <v>9</v>
      </c>
      <c r="D616" s="4" t="s">
        <v>31</v>
      </c>
      <c r="E616" s="4" t="s">
        <v>32</v>
      </c>
      <c r="F616" s="4">
        <v>18000</v>
      </c>
      <c r="G616" s="4">
        <v>49</v>
      </c>
      <c r="H616" s="4" t="s">
        <v>17</v>
      </c>
      <c r="I616" s="4" t="s">
        <v>18</v>
      </c>
      <c r="J616" s="4">
        <v>2</v>
      </c>
      <c r="K616" s="5" t="str">
        <f t="shared" si="9"/>
        <v>long</v>
      </c>
    </row>
    <row r="617" spans="1:11" x14ac:dyDescent="0.3">
      <c r="A617" s="3">
        <v>625</v>
      </c>
      <c r="B617" s="4">
        <v>28</v>
      </c>
      <c r="C617" s="4" t="s">
        <v>14</v>
      </c>
      <c r="D617" s="4" t="s">
        <v>33</v>
      </c>
      <c r="E617" s="4" t="s">
        <v>34</v>
      </c>
      <c r="F617" s="4">
        <v>100</v>
      </c>
      <c r="G617" s="4">
        <v>42</v>
      </c>
      <c r="H617" s="4" t="s">
        <v>12</v>
      </c>
      <c r="I617" s="4" t="s">
        <v>13</v>
      </c>
      <c r="J617" s="4">
        <v>5</v>
      </c>
      <c r="K617" s="5" t="str">
        <f t="shared" si="9"/>
        <v>long</v>
      </c>
    </row>
    <row r="618" spans="1:11" x14ac:dyDescent="0.3">
      <c r="A618" s="3">
        <v>626</v>
      </c>
      <c r="B618" s="4">
        <v>52</v>
      </c>
      <c r="C618" s="4" t="s">
        <v>9</v>
      </c>
      <c r="D618" s="4" t="s">
        <v>35</v>
      </c>
      <c r="E618" s="4" t="s">
        <v>36</v>
      </c>
      <c r="F618" s="4">
        <v>800</v>
      </c>
      <c r="G618" s="4">
        <v>43</v>
      </c>
      <c r="H618" s="4" t="s">
        <v>12</v>
      </c>
      <c r="I618" s="4" t="s">
        <v>18</v>
      </c>
      <c r="J618" s="4">
        <v>4</v>
      </c>
      <c r="K618" s="5" t="str">
        <f t="shared" si="9"/>
        <v>long</v>
      </c>
    </row>
    <row r="619" spans="1:11" x14ac:dyDescent="0.3">
      <c r="A619" s="3">
        <v>627</v>
      </c>
      <c r="B619" s="4">
        <v>67</v>
      </c>
      <c r="C619" s="4" t="s">
        <v>14</v>
      </c>
      <c r="D619" s="4" t="s">
        <v>37</v>
      </c>
      <c r="E619" s="4" t="s">
        <v>38</v>
      </c>
      <c r="F619" s="4">
        <v>20000</v>
      </c>
      <c r="G619" s="4">
        <v>50</v>
      </c>
      <c r="H619" s="4" t="s">
        <v>12</v>
      </c>
      <c r="I619" s="4" t="s">
        <v>13</v>
      </c>
      <c r="J619" s="4">
        <v>3</v>
      </c>
      <c r="K619" s="5" t="str">
        <f t="shared" si="9"/>
        <v>long</v>
      </c>
    </row>
    <row r="620" spans="1:11" x14ac:dyDescent="0.3">
      <c r="A620" s="3">
        <v>628</v>
      </c>
      <c r="B620" s="4">
        <v>35</v>
      </c>
      <c r="C620" s="4" t="s">
        <v>9</v>
      </c>
      <c r="D620" s="4" t="s">
        <v>39</v>
      </c>
      <c r="E620" s="4" t="s">
        <v>40</v>
      </c>
      <c r="F620" s="4">
        <v>12000</v>
      </c>
      <c r="G620" s="4">
        <v>44</v>
      </c>
      <c r="H620" s="4" t="s">
        <v>12</v>
      </c>
      <c r="I620" s="4" t="s">
        <v>13</v>
      </c>
      <c r="J620" s="4">
        <v>4</v>
      </c>
      <c r="K620" s="5" t="str">
        <f t="shared" si="9"/>
        <v>long</v>
      </c>
    </row>
    <row r="621" spans="1:11" x14ac:dyDescent="0.3">
      <c r="A621" s="3">
        <v>629</v>
      </c>
      <c r="B621" s="4">
        <v>50</v>
      </c>
      <c r="C621" s="4" t="s">
        <v>14</v>
      </c>
      <c r="D621" s="4" t="s">
        <v>41</v>
      </c>
      <c r="E621" s="4" t="s">
        <v>42</v>
      </c>
      <c r="F621" s="4">
        <v>6000</v>
      </c>
      <c r="G621" s="4">
        <v>45</v>
      </c>
      <c r="H621" s="4" t="s">
        <v>12</v>
      </c>
      <c r="I621" s="4" t="s">
        <v>13</v>
      </c>
      <c r="J621" s="4">
        <v>3</v>
      </c>
      <c r="K621" s="5" t="str">
        <f t="shared" si="9"/>
        <v>long</v>
      </c>
    </row>
    <row r="622" spans="1:11" x14ac:dyDescent="0.3">
      <c r="A622" s="3">
        <v>630</v>
      </c>
      <c r="B622" s="4">
        <v>60</v>
      </c>
      <c r="C622" s="4" t="s">
        <v>9</v>
      </c>
      <c r="D622" s="4" t="s">
        <v>43</v>
      </c>
      <c r="E622" s="4" t="s">
        <v>44</v>
      </c>
      <c r="F622" s="4">
        <v>4000</v>
      </c>
      <c r="G622" s="4">
        <v>46</v>
      </c>
      <c r="H622" s="4" t="s">
        <v>12</v>
      </c>
      <c r="I622" s="4" t="s">
        <v>18</v>
      </c>
      <c r="J622" s="4">
        <v>4</v>
      </c>
      <c r="K622" s="5" t="str">
        <f t="shared" si="9"/>
        <v>long</v>
      </c>
    </row>
    <row r="623" spans="1:11" x14ac:dyDescent="0.3">
      <c r="A623" s="3">
        <v>631</v>
      </c>
      <c r="B623" s="4">
        <v>48</v>
      </c>
      <c r="C623" s="4" t="s">
        <v>9</v>
      </c>
      <c r="D623" s="4" t="s">
        <v>10</v>
      </c>
      <c r="E623" s="4" t="s">
        <v>11</v>
      </c>
      <c r="F623" s="4">
        <v>15000</v>
      </c>
      <c r="G623" s="4">
        <v>47</v>
      </c>
      <c r="H623" s="4" t="s">
        <v>17</v>
      </c>
      <c r="I623" s="4" t="s">
        <v>13</v>
      </c>
      <c r="J623" s="4">
        <v>4</v>
      </c>
      <c r="K623" s="5" t="str">
        <f t="shared" si="9"/>
        <v>long</v>
      </c>
    </row>
    <row r="624" spans="1:11" x14ac:dyDescent="0.3">
      <c r="A624" s="3">
        <v>632</v>
      </c>
      <c r="B624" s="4">
        <v>65</v>
      </c>
      <c r="C624" s="4" t="s">
        <v>14</v>
      </c>
      <c r="D624" s="4" t="s">
        <v>15</v>
      </c>
      <c r="E624" s="4" t="s">
        <v>16</v>
      </c>
      <c r="F624" s="4">
        <v>2000</v>
      </c>
      <c r="G624" s="4">
        <v>45</v>
      </c>
      <c r="H624" s="4" t="s">
        <v>12</v>
      </c>
      <c r="I624" s="4" t="s">
        <v>18</v>
      </c>
      <c r="J624" s="4">
        <v>3</v>
      </c>
      <c r="K624" s="5" t="str">
        <f t="shared" si="9"/>
        <v>long</v>
      </c>
    </row>
    <row r="625" spans="1:11" x14ac:dyDescent="0.3">
      <c r="A625" s="3">
        <v>633</v>
      </c>
      <c r="B625" s="4">
        <v>30</v>
      </c>
      <c r="C625" s="4" t="s">
        <v>9</v>
      </c>
      <c r="D625" s="4" t="s">
        <v>19</v>
      </c>
      <c r="E625" s="4" t="s">
        <v>20</v>
      </c>
      <c r="F625" s="4">
        <v>500</v>
      </c>
      <c r="G625" s="4">
        <v>43</v>
      </c>
      <c r="H625" s="4" t="s">
        <v>12</v>
      </c>
      <c r="I625" s="4" t="s">
        <v>13</v>
      </c>
      <c r="J625" s="4">
        <v>5</v>
      </c>
      <c r="K625" s="5" t="str">
        <f t="shared" si="9"/>
        <v>long</v>
      </c>
    </row>
    <row r="626" spans="1:11" x14ac:dyDescent="0.3">
      <c r="A626" s="3">
        <v>634</v>
      </c>
      <c r="B626" s="4">
        <v>70</v>
      </c>
      <c r="C626" s="4" t="s">
        <v>14</v>
      </c>
      <c r="D626" s="4" t="s">
        <v>21</v>
      </c>
      <c r="E626" s="4" t="s">
        <v>22</v>
      </c>
      <c r="F626" s="4">
        <v>10000</v>
      </c>
      <c r="G626" s="4">
        <v>50</v>
      </c>
      <c r="H626" s="4" t="s">
        <v>17</v>
      </c>
      <c r="I626" s="4" t="s">
        <v>18</v>
      </c>
      <c r="J626" s="4">
        <v>2</v>
      </c>
      <c r="K626" s="5" t="str">
        <f t="shared" si="9"/>
        <v>long</v>
      </c>
    </row>
    <row r="627" spans="1:11" x14ac:dyDescent="0.3">
      <c r="A627" s="3">
        <v>635</v>
      </c>
      <c r="B627" s="4">
        <v>55</v>
      </c>
      <c r="C627" s="4" t="s">
        <v>9</v>
      </c>
      <c r="D627" s="4" t="s">
        <v>23</v>
      </c>
      <c r="E627" s="4" t="s">
        <v>24</v>
      </c>
      <c r="F627" s="4">
        <v>25000</v>
      </c>
      <c r="G627" s="4">
        <v>52</v>
      </c>
      <c r="H627" s="4" t="s">
        <v>12</v>
      </c>
      <c r="I627" s="4" t="s">
        <v>13</v>
      </c>
      <c r="J627" s="4">
        <v>4</v>
      </c>
      <c r="K627" s="5" t="str">
        <f t="shared" si="9"/>
        <v>long</v>
      </c>
    </row>
    <row r="628" spans="1:11" x14ac:dyDescent="0.3">
      <c r="A628" s="3">
        <v>636</v>
      </c>
      <c r="B628" s="4">
        <v>68</v>
      </c>
      <c r="C628" s="4" t="s">
        <v>14</v>
      </c>
      <c r="D628" s="4" t="s">
        <v>25</v>
      </c>
      <c r="E628" s="4" t="s">
        <v>26</v>
      </c>
      <c r="F628" s="4">
        <v>1000</v>
      </c>
      <c r="G628" s="4">
        <v>46</v>
      </c>
      <c r="H628" s="4" t="s">
        <v>12</v>
      </c>
      <c r="I628" s="4" t="s">
        <v>18</v>
      </c>
      <c r="J628" s="4">
        <v>4</v>
      </c>
      <c r="K628" s="5" t="str">
        <f t="shared" si="9"/>
        <v>long</v>
      </c>
    </row>
    <row r="629" spans="1:11" x14ac:dyDescent="0.3">
      <c r="A629" s="3">
        <v>637</v>
      </c>
      <c r="B629" s="4">
        <v>45</v>
      </c>
      <c r="C629" s="4" t="s">
        <v>9</v>
      </c>
      <c r="D629" s="4" t="s">
        <v>27</v>
      </c>
      <c r="E629" s="4" t="s">
        <v>28</v>
      </c>
      <c r="F629" s="4">
        <v>8000</v>
      </c>
      <c r="G629" s="4">
        <v>48</v>
      </c>
      <c r="H629" s="4" t="s">
        <v>12</v>
      </c>
      <c r="I629" s="4" t="s">
        <v>13</v>
      </c>
      <c r="J629" s="4">
        <v>3</v>
      </c>
      <c r="K629" s="5" t="str">
        <f t="shared" si="9"/>
        <v>long</v>
      </c>
    </row>
    <row r="630" spans="1:11" x14ac:dyDescent="0.3">
      <c r="A630" s="3">
        <v>638</v>
      </c>
      <c r="B630" s="4">
        <v>40</v>
      </c>
      <c r="C630" s="4" t="s">
        <v>14</v>
      </c>
      <c r="D630" s="4" t="s">
        <v>29</v>
      </c>
      <c r="E630" s="4" t="s">
        <v>30</v>
      </c>
      <c r="F630" s="4">
        <v>3000</v>
      </c>
      <c r="G630" s="4">
        <v>48</v>
      </c>
      <c r="H630" s="4" t="s">
        <v>12</v>
      </c>
      <c r="I630" s="4" t="s">
        <v>13</v>
      </c>
      <c r="J630" s="4">
        <v>4</v>
      </c>
      <c r="K630" s="5" t="str">
        <f t="shared" si="9"/>
        <v>long</v>
      </c>
    </row>
    <row r="631" spans="1:11" x14ac:dyDescent="0.3">
      <c r="A631" s="3">
        <v>639</v>
      </c>
      <c r="B631" s="4">
        <v>78</v>
      </c>
      <c r="C631" s="4" t="s">
        <v>9</v>
      </c>
      <c r="D631" s="4" t="s">
        <v>31</v>
      </c>
      <c r="E631" s="4" t="s">
        <v>32</v>
      </c>
      <c r="F631" s="4">
        <v>18000</v>
      </c>
      <c r="G631" s="4">
        <v>50</v>
      </c>
      <c r="H631" s="4" t="s">
        <v>17</v>
      </c>
      <c r="I631" s="4" t="s">
        <v>18</v>
      </c>
      <c r="J631" s="4">
        <v>2</v>
      </c>
      <c r="K631" s="5" t="str">
        <f t="shared" si="9"/>
        <v>long</v>
      </c>
    </row>
    <row r="632" spans="1:11" x14ac:dyDescent="0.3">
      <c r="A632" s="3">
        <v>640</v>
      </c>
      <c r="B632" s="4">
        <v>25</v>
      </c>
      <c r="C632" s="4" t="s">
        <v>14</v>
      </c>
      <c r="D632" s="4" t="s">
        <v>33</v>
      </c>
      <c r="E632" s="4" t="s">
        <v>34</v>
      </c>
      <c r="F632" s="4">
        <v>100</v>
      </c>
      <c r="G632" s="4">
        <v>43</v>
      </c>
      <c r="H632" s="4" t="s">
        <v>12</v>
      </c>
      <c r="I632" s="4" t="s">
        <v>13</v>
      </c>
      <c r="J632" s="4">
        <v>5</v>
      </c>
      <c r="K632" s="5" t="str">
        <f t="shared" si="9"/>
        <v>long</v>
      </c>
    </row>
    <row r="633" spans="1:11" x14ac:dyDescent="0.3">
      <c r="A633" s="3">
        <v>641</v>
      </c>
      <c r="B633" s="4">
        <v>52</v>
      </c>
      <c r="C633" s="4" t="s">
        <v>9</v>
      </c>
      <c r="D633" s="4" t="s">
        <v>35</v>
      </c>
      <c r="E633" s="4" t="s">
        <v>36</v>
      </c>
      <c r="F633" s="4">
        <v>800</v>
      </c>
      <c r="G633" s="4">
        <v>44</v>
      </c>
      <c r="H633" s="4" t="s">
        <v>12</v>
      </c>
      <c r="I633" s="4" t="s">
        <v>18</v>
      </c>
      <c r="J633" s="4">
        <v>4</v>
      </c>
      <c r="K633" s="5" t="str">
        <f t="shared" si="9"/>
        <v>long</v>
      </c>
    </row>
    <row r="634" spans="1:11" x14ac:dyDescent="0.3">
      <c r="A634" s="3">
        <v>642</v>
      </c>
      <c r="B634" s="4">
        <v>58</v>
      </c>
      <c r="C634" s="4" t="s">
        <v>14</v>
      </c>
      <c r="D634" s="4" t="s">
        <v>37</v>
      </c>
      <c r="E634" s="4" t="s">
        <v>38</v>
      </c>
      <c r="F634" s="4">
        <v>20000</v>
      </c>
      <c r="G634" s="4">
        <v>51</v>
      </c>
      <c r="H634" s="4" t="s">
        <v>12</v>
      </c>
      <c r="I634" s="4" t="s">
        <v>13</v>
      </c>
      <c r="J634" s="4">
        <v>3</v>
      </c>
      <c r="K634" s="5" t="str">
        <f t="shared" si="9"/>
        <v>long</v>
      </c>
    </row>
    <row r="635" spans="1:11" x14ac:dyDescent="0.3">
      <c r="A635" s="3">
        <v>643</v>
      </c>
      <c r="B635" s="4">
        <v>32</v>
      </c>
      <c r="C635" s="4" t="s">
        <v>9</v>
      </c>
      <c r="D635" s="4" t="s">
        <v>39</v>
      </c>
      <c r="E635" s="4" t="s">
        <v>40</v>
      </c>
      <c r="F635" s="4">
        <v>12000</v>
      </c>
      <c r="G635" s="4">
        <v>45</v>
      </c>
      <c r="H635" s="4" t="s">
        <v>12</v>
      </c>
      <c r="I635" s="4" t="s">
        <v>13</v>
      </c>
      <c r="J635" s="4">
        <v>4</v>
      </c>
      <c r="K635" s="5" t="str">
        <f t="shared" si="9"/>
        <v>long</v>
      </c>
    </row>
    <row r="636" spans="1:11" x14ac:dyDescent="0.3">
      <c r="A636" s="3">
        <v>644</v>
      </c>
      <c r="B636" s="4">
        <v>55</v>
      </c>
      <c r="C636" s="4" t="s">
        <v>14</v>
      </c>
      <c r="D636" s="4" t="s">
        <v>41</v>
      </c>
      <c r="E636" s="4" t="s">
        <v>42</v>
      </c>
      <c r="F636" s="4">
        <v>6000</v>
      </c>
      <c r="G636" s="4">
        <v>46</v>
      </c>
      <c r="H636" s="4" t="s">
        <v>12</v>
      </c>
      <c r="I636" s="4" t="s">
        <v>13</v>
      </c>
      <c r="J636" s="4">
        <v>3</v>
      </c>
      <c r="K636" s="5" t="str">
        <f t="shared" si="9"/>
        <v>long</v>
      </c>
    </row>
    <row r="637" spans="1:11" x14ac:dyDescent="0.3">
      <c r="A637" s="3">
        <v>645</v>
      </c>
      <c r="B637" s="4">
        <v>65</v>
      </c>
      <c r="C637" s="4" t="s">
        <v>9</v>
      </c>
      <c r="D637" s="4" t="s">
        <v>43</v>
      </c>
      <c r="E637" s="4" t="s">
        <v>44</v>
      </c>
      <c r="F637" s="4">
        <v>4000</v>
      </c>
      <c r="G637" s="4">
        <v>47</v>
      </c>
      <c r="H637" s="4" t="s">
        <v>12</v>
      </c>
      <c r="I637" s="4" t="s">
        <v>18</v>
      </c>
      <c r="J637" s="4">
        <v>4</v>
      </c>
      <c r="K637" s="5" t="str">
        <f t="shared" si="9"/>
        <v>long</v>
      </c>
    </row>
    <row r="638" spans="1:11" x14ac:dyDescent="0.3">
      <c r="A638" s="3">
        <v>646</v>
      </c>
      <c r="B638" s="4">
        <v>55</v>
      </c>
      <c r="C638" s="4" t="s">
        <v>9</v>
      </c>
      <c r="D638" s="4" t="s">
        <v>10</v>
      </c>
      <c r="E638" s="4" t="s">
        <v>11</v>
      </c>
      <c r="F638" s="4">
        <v>15000</v>
      </c>
      <c r="G638" s="4">
        <v>48</v>
      </c>
      <c r="H638" s="4" t="s">
        <v>17</v>
      </c>
      <c r="I638" s="4" t="s">
        <v>13</v>
      </c>
      <c r="J638" s="4">
        <v>3</v>
      </c>
      <c r="K638" s="5" t="str">
        <f t="shared" si="9"/>
        <v>long</v>
      </c>
    </row>
    <row r="639" spans="1:11" x14ac:dyDescent="0.3">
      <c r="A639" s="3">
        <v>647</v>
      </c>
      <c r="B639" s="4">
        <v>62</v>
      </c>
      <c r="C639" s="4" t="s">
        <v>14</v>
      </c>
      <c r="D639" s="4" t="s">
        <v>15</v>
      </c>
      <c r="E639" s="4" t="s">
        <v>16</v>
      </c>
      <c r="F639" s="4">
        <v>2000</v>
      </c>
      <c r="G639" s="4">
        <v>46</v>
      </c>
      <c r="H639" s="4" t="s">
        <v>12</v>
      </c>
      <c r="I639" s="4" t="s">
        <v>18</v>
      </c>
      <c r="J639" s="4">
        <v>4</v>
      </c>
      <c r="K639" s="5" t="str">
        <f t="shared" si="9"/>
        <v>long</v>
      </c>
    </row>
    <row r="640" spans="1:11" x14ac:dyDescent="0.3">
      <c r="A640" s="3">
        <v>648</v>
      </c>
      <c r="B640" s="4">
        <v>35</v>
      </c>
      <c r="C640" s="4" t="s">
        <v>9</v>
      </c>
      <c r="D640" s="4" t="s">
        <v>19</v>
      </c>
      <c r="E640" s="4" t="s">
        <v>20</v>
      </c>
      <c r="F640" s="4">
        <v>500</v>
      </c>
      <c r="G640" s="4">
        <v>44</v>
      </c>
      <c r="H640" s="4" t="s">
        <v>17</v>
      </c>
      <c r="I640" s="4" t="s">
        <v>13</v>
      </c>
      <c r="J640" s="4">
        <v>5</v>
      </c>
      <c r="K640" s="5" t="str">
        <f t="shared" si="9"/>
        <v>long</v>
      </c>
    </row>
    <row r="641" spans="1:11" x14ac:dyDescent="0.3">
      <c r="A641" s="3">
        <v>649</v>
      </c>
      <c r="B641" s="4">
        <v>78</v>
      </c>
      <c r="C641" s="4" t="s">
        <v>14</v>
      </c>
      <c r="D641" s="4" t="s">
        <v>21</v>
      </c>
      <c r="E641" s="4" t="s">
        <v>22</v>
      </c>
      <c r="F641" s="4">
        <v>10000</v>
      </c>
      <c r="G641" s="4">
        <v>51</v>
      </c>
      <c r="H641" s="4" t="s">
        <v>12</v>
      </c>
      <c r="I641" s="4" t="s">
        <v>18</v>
      </c>
      <c r="J641" s="4">
        <v>2</v>
      </c>
      <c r="K641" s="5" t="str">
        <f t="shared" si="9"/>
        <v>long</v>
      </c>
    </row>
    <row r="642" spans="1:11" x14ac:dyDescent="0.3">
      <c r="A642" s="3">
        <v>650</v>
      </c>
      <c r="B642" s="4">
        <v>53</v>
      </c>
      <c r="C642" s="4" t="s">
        <v>9</v>
      </c>
      <c r="D642" s="4" t="s">
        <v>23</v>
      </c>
      <c r="E642" s="4" t="s">
        <v>24</v>
      </c>
      <c r="F642" s="4">
        <v>25000</v>
      </c>
      <c r="G642" s="4">
        <v>53</v>
      </c>
      <c r="H642" s="4" t="s">
        <v>17</v>
      </c>
      <c r="I642" s="4" t="s">
        <v>13</v>
      </c>
      <c r="J642" s="4">
        <v>4</v>
      </c>
      <c r="K642" s="5" t="str">
        <f t="shared" si="9"/>
        <v>long</v>
      </c>
    </row>
    <row r="643" spans="1:11" x14ac:dyDescent="0.3">
      <c r="A643" s="3">
        <v>651</v>
      </c>
      <c r="B643" s="4">
        <v>72</v>
      </c>
      <c r="C643" s="4" t="s">
        <v>14</v>
      </c>
      <c r="D643" s="4" t="s">
        <v>25</v>
      </c>
      <c r="E643" s="4" t="s">
        <v>26</v>
      </c>
      <c r="F643" s="4">
        <v>1000</v>
      </c>
      <c r="G643" s="4">
        <v>47</v>
      </c>
      <c r="H643" s="4" t="s">
        <v>12</v>
      </c>
      <c r="I643" s="4" t="s">
        <v>18</v>
      </c>
      <c r="J643" s="4">
        <v>4</v>
      </c>
      <c r="K643" s="5" t="str">
        <f t="shared" si="9"/>
        <v>long</v>
      </c>
    </row>
    <row r="644" spans="1:11" x14ac:dyDescent="0.3">
      <c r="A644" s="3">
        <v>652</v>
      </c>
      <c r="B644" s="4">
        <v>60</v>
      </c>
      <c r="C644" s="4" t="s">
        <v>9</v>
      </c>
      <c r="D644" s="4" t="s">
        <v>27</v>
      </c>
      <c r="E644" s="4" t="s">
        <v>28</v>
      </c>
      <c r="F644" s="4">
        <v>8000</v>
      </c>
      <c r="G644" s="4">
        <v>49</v>
      </c>
      <c r="H644" s="4" t="s">
        <v>17</v>
      </c>
      <c r="I644" s="4" t="s">
        <v>13</v>
      </c>
      <c r="J644" s="4">
        <v>3</v>
      </c>
      <c r="K644" s="5" t="str">
        <f t="shared" ref="K644:K707" si="10">IF(G644&lt;=3,"short",IF(G644&lt;=7,"medium","long"))</f>
        <v>long</v>
      </c>
    </row>
    <row r="645" spans="1:11" x14ac:dyDescent="0.3">
      <c r="A645" s="3">
        <v>653</v>
      </c>
      <c r="B645" s="4">
        <v>45</v>
      </c>
      <c r="C645" s="4" t="s">
        <v>14</v>
      </c>
      <c r="D645" s="4" t="s">
        <v>29</v>
      </c>
      <c r="E645" s="4" t="s">
        <v>30</v>
      </c>
      <c r="F645" s="4">
        <v>3000</v>
      </c>
      <c r="G645" s="4">
        <v>49</v>
      </c>
      <c r="H645" s="4" t="s">
        <v>12</v>
      </c>
      <c r="I645" s="4" t="s">
        <v>13</v>
      </c>
      <c r="J645" s="4">
        <v>4</v>
      </c>
      <c r="K645" s="5" t="str">
        <f t="shared" si="10"/>
        <v>long</v>
      </c>
    </row>
    <row r="646" spans="1:11" x14ac:dyDescent="0.3">
      <c r="A646" s="3">
        <v>654</v>
      </c>
      <c r="B646" s="4">
        <v>75</v>
      </c>
      <c r="C646" s="4" t="s">
        <v>9</v>
      </c>
      <c r="D646" s="4" t="s">
        <v>31</v>
      </c>
      <c r="E646" s="4" t="s">
        <v>32</v>
      </c>
      <c r="F646" s="4">
        <v>18000</v>
      </c>
      <c r="G646" s="4">
        <v>51</v>
      </c>
      <c r="H646" s="4" t="s">
        <v>17</v>
      </c>
      <c r="I646" s="4" t="s">
        <v>18</v>
      </c>
      <c r="J646" s="4">
        <v>2</v>
      </c>
      <c r="K646" s="5" t="str">
        <f t="shared" si="10"/>
        <v>long</v>
      </c>
    </row>
    <row r="647" spans="1:11" x14ac:dyDescent="0.3">
      <c r="A647" s="3">
        <v>655</v>
      </c>
      <c r="B647" s="4">
        <v>28</v>
      </c>
      <c r="C647" s="4" t="s">
        <v>14</v>
      </c>
      <c r="D647" s="4" t="s">
        <v>33</v>
      </c>
      <c r="E647" s="4" t="s">
        <v>34</v>
      </c>
      <c r="F647" s="4">
        <v>100</v>
      </c>
      <c r="G647" s="4">
        <v>44</v>
      </c>
      <c r="H647" s="4" t="s">
        <v>12</v>
      </c>
      <c r="I647" s="4" t="s">
        <v>13</v>
      </c>
      <c r="J647" s="4">
        <v>5</v>
      </c>
      <c r="K647" s="5" t="str">
        <f t="shared" si="10"/>
        <v>long</v>
      </c>
    </row>
    <row r="648" spans="1:11" x14ac:dyDescent="0.3">
      <c r="A648" s="3">
        <v>656</v>
      </c>
      <c r="B648" s="4">
        <v>52</v>
      </c>
      <c r="C648" s="4" t="s">
        <v>9</v>
      </c>
      <c r="D648" s="4" t="s">
        <v>35</v>
      </c>
      <c r="E648" s="4" t="s">
        <v>36</v>
      </c>
      <c r="F648" s="4">
        <v>800</v>
      </c>
      <c r="G648" s="4">
        <v>45</v>
      </c>
      <c r="H648" s="4" t="s">
        <v>12</v>
      </c>
      <c r="I648" s="4" t="s">
        <v>18</v>
      </c>
      <c r="J648" s="4">
        <v>4</v>
      </c>
      <c r="K648" s="5" t="str">
        <f t="shared" si="10"/>
        <v>long</v>
      </c>
    </row>
    <row r="649" spans="1:11" x14ac:dyDescent="0.3">
      <c r="A649" s="3">
        <v>657</v>
      </c>
      <c r="B649" s="4">
        <v>67</v>
      </c>
      <c r="C649" s="4" t="s">
        <v>14</v>
      </c>
      <c r="D649" s="4" t="s">
        <v>37</v>
      </c>
      <c r="E649" s="4" t="s">
        <v>38</v>
      </c>
      <c r="F649" s="4">
        <v>20000</v>
      </c>
      <c r="G649" s="4">
        <v>52</v>
      </c>
      <c r="H649" s="4" t="s">
        <v>12</v>
      </c>
      <c r="I649" s="4" t="s">
        <v>13</v>
      </c>
      <c r="J649" s="4">
        <v>3</v>
      </c>
      <c r="K649" s="5" t="str">
        <f t="shared" si="10"/>
        <v>long</v>
      </c>
    </row>
    <row r="650" spans="1:11" x14ac:dyDescent="0.3">
      <c r="A650" s="3">
        <v>658</v>
      </c>
      <c r="B650" s="4">
        <v>35</v>
      </c>
      <c r="C650" s="4" t="s">
        <v>9</v>
      </c>
      <c r="D650" s="4" t="s">
        <v>39</v>
      </c>
      <c r="E650" s="4" t="s">
        <v>40</v>
      </c>
      <c r="F650" s="4">
        <v>12000</v>
      </c>
      <c r="G650" s="4">
        <v>46</v>
      </c>
      <c r="H650" s="4" t="s">
        <v>12</v>
      </c>
      <c r="I650" s="4" t="s">
        <v>13</v>
      </c>
      <c r="J650" s="4">
        <v>4</v>
      </c>
      <c r="K650" s="5" t="str">
        <f t="shared" si="10"/>
        <v>long</v>
      </c>
    </row>
    <row r="651" spans="1:11" x14ac:dyDescent="0.3">
      <c r="A651" s="3">
        <v>659</v>
      </c>
      <c r="B651" s="4">
        <v>50</v>
      </c>
      <c r="C651" s="4" t="s">
        <v>14</v>
      </c>
      <c r="D651" s="4" t="s">
        <v>41</v>
      </c>
      <c r="E651" s="4" t="s">
        <v>42</v>
      </c>
      <c r="F651" s="4">
        <v>6000</v>
      </c>
      <c r="G651" s="4">
        <v>47</v>
      </c>
      <c r="H651" s="4" t="s">
        <v>12</v>
      </c>
      <c r="I651" s="4" t="s">
        <v>13</v>
      </c>
      <c r="J651" s="4">
        <v>3</v>
      </c>
      <c r="K651" s="5" t="str">
        <f t="shared" si="10"/>
        <v>long</v>
      </c>
    </row>
    <row r="652" spans="1:11" x14ac:dyDescent="0.3">
      <c r="A652" s="3">
        <v>660</v>
      </c>
      <c r="B652" s="4">
        <v>60</v>
      </c>
      <c r="C652" s="4" t="s">
        <v>9</v>
      </c>
      <c r="D652" s="4" t="s">
        <v>43</v>
      </c>
      <c r="E652" s="4" t="s">
        <v>44</v>
      </c>
      <c r="F652" s="4">
        <v>4000</v>
      </c>
      <c r="G652" s="4">
        <v>48</v>
      </c>
      <c r="H652" s="4" t="s">
        <v>12</v>
      </c>
      <c r="I652" s="4" t="s">
        <v>18</v>
      </c>
      <c r="J652" s="4">
        <v>4</v>
      </c>
      <c r="K652" s="5" t="str">
        <f t="shared" si="10"/>
        <v>long</v>
      </c>
    </row>
    <row r="653" spans="1:11" x14ac:dyDescent="0.3">
      <c r="A653" s="3">
        <v>662</v>
      </c>
      <c r="B653" s="4">
        <v>65</v>
      </c>
      <c r="C653" s="4" t="s">
        <v>14</v>
      </c>
      <c r="D653" s="4" t="s">
        <v>15</v>
      </c>
      <c r="E653" s="4" t="s">
        <v>16</v>
      </c>
      <c r="F653" s="4">
        <v>2000</v>
      </c>
      <c r="G653" s="4">
        <v>47</v>
      </c>
      <c r="H653" s="4" t="s">
        <v>12</v>
      </c>
      <c r="I653" s="4" t="s">
        <v>18</v>
      </c>
      <c r="J653" s="4">
        <v>3</v>
      </c>
      <c r="K653" s="5" t="str">
        <f t="shared" si="10"/>
        <v>long</v>
      </c>
    </row>
    <row r="654" spans="1:11" x14ac:dyDescent="0.3">
      <c r="A654" s="3">
        <v>663</v>
      </c>
      <c r="B654" s="4">
        <v>30</v>
      </c>
      <c r="C654" s="4" t="s">
        <v>9</v>
      </c>
      <c r="D654" s="4" t="s">
        <v>19</v>
      </c>
      <c r="E654" s="4" t="s">
        <v>20</v>
      </c>
      <c r="F654" s="4">
        <v>500</v>
      </c>
      <c r="G654" s="4">
        <v>45</v>
      </c>
      <c r="H654" s="4" t="s">
        <v>12</v>
      </c>
      <c r="I654" s="4" t="s">
        <v>13</v>
      </c>
      <c r="J654" s="4">
        <v>5</v>
      </c>
      <c r="K654" s="5" t="str">
        <f t="shared" si="10"/>
        <v>long</v>
      </c>
    </row>
    <row r="655" spans="1:11" x14ac:dyDescent="0.3">
      <c r="A655" s="3">
        <v>664</v>
      </c>
      <c r="B655" s="4">
        <v>70</v>
      </c>
      <c r="C655" s="4" t="s">
        <v>14</v>
      </c>
      <c r="D655" s="4" t="s">
        <v>21</v>
      </c>
      <c r="E655" s="4" t="s">
        <v>22</v>
      </c>
      <c r="F655" s="4">
        <v>10000</v>
      </c>
      <c r="G655" s="4">
        <v>52</v>
      </c>
      <c r="H655" s="4" t="s">
        <v>17</v>
      </c>
      <c r="I655" s="4" t="s">
        <v>18</v>
      </c>
      <c r="J655" s="4">
        <v>2</v>
      </c>
      <c r="K655" s="5" t="str">
        <f t="shared" si="10"/>
        <v>long</v>
      </c>
    </row>
    <row r="656" spans="1:11" x14ac:dyDescent="0.3">
      <c r="A656" s="3">
        <v>665</v>
      </c>
      <c r="B656" s="4">
        <v>55</v>
      </c>
      <c r="C656" s="4" t="s">
        <v>9</v>
      </c>
      <c r="D656" s="4" t="s">
        <v>23</v>
      </c>
      <c r="E656" s="4" t="s">
        <v>24</v>
      </c>
      <c r="F656" s="4">
        <v>25000</v>
      </c>
      <c r="G656" s="4">
        <v>54</v>
      </c>
      <c r="H656" s="4" t="s">
        <v>12</v>
      </c>
      <c r="I656" s="4" t="s">
        <v>13</v>
      </c>
      <c r="J656" s="4">
        <v>4</v>
      </c>
      <c r="K656" s="5" t="str">
        <f t="shared" si="10"/>
        <v>long</v>
      </c>
    </row>
    <row r="657" spans="1:11" x14ac:dyDescent="0.3">
      <c r="A657" s="3">
        <v>666</v>
      </c>
      <c r="B657" s="4">
        <v>68</v>
      </c>
      <c r="C657" s="4" t="s">
        <v>14</v>
      </c>
      <c r="D657" s="4" t="s">
        <v>25</v>
      </c>
      <c r="E657" s="4" t="s">
        <v>26</v>
      </c>
      <c r="F657" s="4">
        <v>1000</v>
      </c>
      <c r="G657" s="4">
        <v>48</v>
      </c>
      <c r="H657" s="4" t="s">
        <v>12</v>
      </c>
      <c r="I657" s="4" t="s">
        <v>18</v>
      </c>
      <c r="J657" s="4">
        <v>4</v>
      </c>
      <c r="K657" s="5" t="str">
        <f t="shared" si="10"/>
        <v>long</v>
      </c>
    </row>
    <row r="658" spans="1:11" x14ac:dyDescent="0.3">
      <c r="A658" s="3">
        <v>667</v>
      </c>
      <c r="B658" s="4">
        <v>45</v>
      </c>
      <c r="C658" s="4" t="s">
        <v>9</v>
      </c>
      <c r="D658" s="4" t="s">
        <v>27</v>
      </c>
      <c r="E658" s="4" t="s">
        <v>28</v>
      </c>
      <c r="F658" s="4">
        <v>8000</v>
      </c>
      <c r="G658" s="4">
        <v>50</v>
      </c>
      <c r="H658" s="4" t="s">
        <v>12</v>
      </c>
      <c r="I658" s="4" t="s">
        <v>13</v>
      </c>
      <c r="J658" s="4">
        <v>3</v>
      </c>
      <c r="K658" s="5" t="str">
        <f t="shared" si="10"/>
        <v>long</v>
      </c>
    </row>
    <row r="659" spans="1:11" x14ac:dyDescent="0.3">
      <c r="A659" s="3">
        <v>668</v>
      </c>
      <c r="B659" s="4">
        <v>40</v>
      </c>
      <c r="C659" s="4" t="s">
        <v>14</v>
      </c>
      <c r="D659" s="4" t="s">
        <v>29</v>
      </c>
      <c r="E659" s="4" t="s">
        <v>30</v>
      </c>
      <c r="F659" s="4">
        <v>3000</v>
      </c>
      <c r="G659" s="4">
        <v>50</v>
      </c>
      <c r="H659" s="4" t="s">
        <v>12</v>
      </c>
      <c r="I659" s="4" t="s">
        <v>13</v>
      </c>
      <c r="J659" s="4">
        <v>4</v>
      </c>
      <c r="K659" s="5" t="str">
        <f t="shared" si="10"/>
        <v>long</v>
      </c>
    </row>
    <row r="660" spans="1:11" x14ac:dyDescent="0.3">
      <c r="A660" s="3">
        <v>669</v>
      </c>
      <c r="B660" s="4">
        <v>78</v>
      </c>
      <c r="C660" s="4" t="s">
        <v>9</v>
      </c>
      <c r="D660" s="4" t="s">
        <v>31</v>
      </c>
      <c r="E660" s="4" t="s">
        <v>32</v>
      </c>
      <c r="F660" s="4">
        <v>18000</v>
      </c>
      <c r="G660" s="4">
        <v>52</v>
      </c>
      <c r="H660" s="4" t="s">
        <v>17</v>
      </c>
      <c r="I660" s="4" t="s">
        <v>18</v>
      </c>
      <c r="J660" s="4">
        <v>2</v>
      </c>
      <c r="K660" s="5" t="str">
        <f t="shared" si="10"/>
        <v>long</v>
      </c>
    </row>
    <row r="661" spans="1:11" x14ac:dyDescent="0.3">
      <c r="A661" s="3">
        <v>670</v>
      </c>
      <c r="B661" s="4">
        <v>25</v>
      </c>
      <c r="C661" s="4" t="s">
        <v>14</v>
      </c>
      <c r="D661" s="4" t="s">
        <v>33</v>
      </c>
      <c r="E661" s="4" t="s">
        <v>34</v>
      </c>
      <c r="F661" s="4">
        <v>100</v>
      </c>
      <c r="G661" s="4">
        <v>45</v>
      </c>
      <c r="H661" s="4" t="s">
        <v>12</v>
      </c>
      <c r="I661" s="4" t="s">
        <v>13</v>
      </c>
      <c r="J661" s="4">
        <v>5</v>
      </c>
      <c r="K661" s="5" t="str">
        <f t="shared" si="10"/>
        <v>long</v>
      </c>
    </row>
    <row r="662" spans="1:11" x14ac:dyDescent="0.3">
      <c r="A662" s="3">
        <v>671</v>
      </c>
      <c r="B662" s="4">
        <v>52</v>
      </c>
      <c r="C662" s="4" t="s">
        <v>9</v>
      </c>
      <c r="D662" s="4" t="s">
        <v>35</v>
      </c>
      <c r="E662" s="4" t="s">
        <v>36</v>
      </c>
      <c r="F662" s="4">
        <v>800</v>
      </c>
      <c r="G662" s="4">
        <v>46</v>
      </c>
      <c r="H662" s="4" t="s">
        <v>12</v>
      </c>
      <c r="I662" s="4" t="s">
        <v>18</v>
      </c>
      <c r="J662" s="4">
        <v>4</v>
      </c>
      <c r="K662" s="5" t="str">
        <f t="shared" si="10"/>
        <v>long</v>
      </c>
    </row>
    <row r="663" spans="1:11" x14ac:dyDescent="0.3">
      <c r="A663" s="3">
        <v>672</v>
      </c>
      <c r="B663" s="4">
        <v>58</v>
      </c>
      <c r="C663" s="4" t="s">
        <v>14</v>
      </c>
      <c r="D663" s="4" t="s">
        <v>37</v>
      </c>
      <c r="E663" s="4" t="s">
        <v>38</v>
      </c>
      <c r="F663" s="4">
        <v>20000</v>
      </c>
      <c r="G663" s="4">
        <v>53</v>
      </c>
      <c r="H663" s="4" t="s">
        <v>12</v>
      </c>
      <c r="I663" s="4" t="s">
        <v>13</v>
      </c>
      <c r="J663" s="4">
        <v>3</v>
      </c>
      <c r="K663" s="5" t="str">
        <f t="shared" si="10"/>
        <v>long</v>
      </c>
    </row>
    <row r="664" spans="1:11" x14ac:dyDescent="0.3">
      <c r="A664" s="3">
        <v>673</v>
      </c>
      <c r="B664" s="4">
        <v>32</v>
      </c>
      <c r="C664" s="4" t="s">
        <v>9</v>
      </c>
      <c r="D664" s="4" t="s">
        <v>39</v>
      </c>
      <c r="E664" s="4" t="s">
        <v>40</v>
      </c>
      <c r="F664" s="4">
        <v>12000</v>
      </c>
      <c r="G664" s="4">
        <v>47</v>
      </c>
      <c r="H664" s="4" t="s">
        <v>12</v>
      </c>
      <c r="I664" s="4" t="s">
        <v>13</v>
      </c>
      <c r="J664" s="4">
        <v>4</v>
      </c>
      <c r="K664" s="5" t="str">
        <f t="shared" si="10"/>
        <v>long</v>
      </c>
    </row>
    <row r="665" spans="1:11" x14ac:dyDescent="0.3">
      <c r="A665" s="3">
        <v>674</v>
      </c>
      <c r="B665" s="4">
        <v>55</v>
      </c>
      <c r="C665" s="4" t="s">
        <v>14</v>
      </c>
      <c r="D665" s="4" t="s">
        <v>41</v>
      </c>
      <c r="E665" s="4" t="s">
        <v>42</v>
      </c>
      <c r="F665" s="4">
        <v>6000</v>
      </c>
      <c r="G665" s="4">
        <v>48</v>
      </c>
      <c r="H665" s="4" t="s">
        <v>12</v>
      </c>
      <c r="I665" s="4" t="s">
        <v>13</v>
      </c>
      <c r="J665" s="4">
        <v>3</v>
      </c>
      <c r="K665" s="5" t="str">
        <f t="shared" si="10"/>
        <v>long</v>
      </c>
    </row>
    <row r="666" spans="1:11" x14ac:dyDescent="0.3">
      <c r="A666" s="3">
        <v>675</v>
      </c>
      <c r="B666" s="4">
        <v>65</v>
      </c>
      <c r="C666" s="4" t="s">
        <v>9</v>
      </c>
      <c r="D666" s="4" t="s">
        <v>43</v>
      </c>
      <c r="E666" s="4" t="s">
        <v>44</v>
      </c>
      <c r="F666" s="4">
        <v>4000</v>
      </c>
      <c r="G666" s="4">
        <v>49</v>
      </c>
      <c r="H666" s="4" t="s">
        <v>12</v>
      </c>
      <c r="I666" s="4" t="s">
        <v>18</v>
      </c>
      <c r="J666" s="4">
        <v>4</v>
      </c>
      <c r="K666" s="5" t="str">
        <f t="shared" si="10"/>
        <v>long</v>
      </c>
    </row>
    <row r="667" spans="1:11" x14ac:dyDescent="0.3">
      <c r="A667" s="3">
        <v>676</v>
      </c>
      <c r="B667" s="4">
        <v>55</v>
      </c>
      <c r="C667" s="4" t="s">
        <v>9</v>
      </c>
      <c r="D667" s="4" t="s">
        <v>10</v>
      </c>
      <c r="E667" s="4" t="s">
        <v>11</v>
      </c>
      <c r="F667" s="4">
        <v>15000</v>
      </c>
      <c r="G667" s="4">
        <v>50</v>
      </c>
      <c r="H667" s="4" t="s">
        <v>17</v>
      </c>
      <c r="I667" s="4" t="s">
        <v>13</v>
      </c>
      <c r="J667" s="4">
        <v>3</v>
      </c>
      <c r="K667" s="5" t="str">
        <f t="shared" si="10"/>
        <v>long</v>
      </c>
    </row>
    <row r="668" spans="1:11" x14ac:dyDescent="0.3">
      <c r="A668" s="3">
        <v>677</v>
      </c>
      <c r="B668" s="4">
        <v>62</v>
      </c>
      <c r="C668" s="4" t="s">
        <v>14</v>
      </c>
      <c r="D668" s="4" t="s">
        <v>15</v>
      </c>
      <c r="E668" s="4" t="s">
        <v>16</v>
      </c>
      <c r="F668" s="4">
        <v>2000</v>
      </c>
      <c r="G668" s="4">
        <v>48</v>
      </c>
      <c r="H668" s="4" t="s">
        <v>12</v>
      </c>
      <c r="I668" s="4" t="s">
        <v>18</v>
      </c>
      <c r="J668" s="4">
        <v>4</v>
      </c>
      <c r="K668" s="5" t="str">
        <f t="shared" si="10"/>
        <v>long</v>
      </c>
    </row>
    <row r="669" spans="1:11" x14ac:dyDescent="0.3">
      <c r="A669" s="3">
        <v>678</v>
      </c>
      <c r="B669" s="4">
        <v>35</v>
      </c>
      <c r="C669" s="4" t="s">
        <v>9</v>
      </c>
      <c r="D669" s="4" t="s">
        <v>19</v>
      </c>
      <c r="E669" s="4" t="s">
        <v>20</v>
      </c>
      <c r="F669" s="4">
        <v>500</v>
      </c>
      <c r="G669" s="4">
        <v>46</v>
      </c>
      <c r="H669" s="4" t="s">
        <v>17</v>
      </c>
      <c r="I669" s="4" t="s">
        <v>13</v>
      </c>
      <c r="J669" s="4">
        <v>5</v>
      </c>
      <c r="K669" s="5" t="str">
        <f t="shared" si="10"/>
        <v>long</v>
      </c>
    </row>
    <row r="670" spans="1:11" x14ac:dyDescent="0.3">
      <c r="A670" s="3">
        <v>679</v>
      </c>
      <c r="B670" s="4">
        <v>78</v>
      </c>
      <c r="C670" s="4" t="s">
        <v>14</v>
      </c>
      <c r="D670" s="4" t="s">
        <v>21</v>
      </c>
      <c r="E670" s="4" t="s">
        <v>22</v>
      </c>
      <c r="F670" s="4">
        <v>10000</v>
      </c>
      <c r="G670" s="4">
        <v>53</v>
      </c>
      <c r="H670" s="4" t="s">
        <v>12</v>
      </c>
      <c r="I670" s="4" t="s">
        <v>18</v>
      </c>
      <c r="J670" s="4">
        <v>2</v>
      </c>
      <c r="K670" s="5" t="str">
        <f t="shared" si="10"/>
        <v>long</v>
      </c>
    </row>
    <row r="671" spans="1:11" x14ac:dyDescent="0.3">
      <c r="A671" s="3">
        <v>680</v>
      </c>
      <c r="B671" s="4">
        <v>53</v>
      </c>
      <c r="C671" s="4" t="s">
        <v>9</v>
      </c>
      <c r="D671" s="4" t="s">
        <v>23</v>
      </c>
      <c r="E671" s="4" t="s">
        <v>24</v>
      </c>
      <c r="F671" s="4">
        <v>25000</v>
      </c>
      <c r="G671" s="4">
        <v>55</v>
      </c>
      <c r="H671" s="4" t="s">
        <v>17</v>
      </c>
      <c r="I671" s="4" t="s">
        <v>13</v>
      </c>
      <c r="J671" s="4">
        <v>4</v>
      </c>
      <c r="K671" s="5" t="str">
        <f t="shared" si="10"/>
        <v>long</v>
      </c>
    </row>
    <row r="672" spans="1:11" x14ac:dyDescent="0.3">
      <c r="A672" s="3">
        <v>681</v>
      </c>
      <c r="B672" s="4">
        <v>72</v>
      </c>
      <c r="C672" s="4" t="s">
        <v>14</v>
      </c>
      <c r="D672" s="4" t="s">
        <v>25</v>
      </c>
      <c r="E672" s="4" t="s">
        <v>26</v>
      </c>
      <c r="F672" s="4">
        <v>1000</v>
      </c>
      <c r="G672" s="4">
        <v>49</v>
      </c>
      <c r="H672" s="4" t="s">
        <v>12</v>
      </c>
      <c r="I672" s="4" t="s">
        <v>18</v>
      </c>
      <c r="J672" s="4">
        <v>4</v>
      </c>
      <c r="K672" s="5" t="str">
        <f t="shared" si="10"/>
        <v>long</v>
      </c>
    </row>
    <row r="673" spans="1:11" x14ac:dyDescent="0.3">
      <c r="A673" s="3">
        <v>682</v>
      </c>
      <c r="B673" s="4">
        <v>60</v>
      </c>
      <c r="C673" s="4" t="s">
        <v>9</v>
      </c>
      <c r="D673" s="4" t="s">
        <v>27</v>
      </c>
      <c r="E673" s="4" t="s">
        <v>28</v>
      </c>
      <c r="F673" s="4">
        <v>8000</v>
      </c>
      <c r="G673" s="4">
        <v>51</v>
      </c>
      <c r="H673" s="4" t="s">
        <v>17</v>
      </c>
      <c r="I673" s="4" t="s">
        <v>13</v>
      </c>
      <c r="J673" s="4">
        <v>3</v>
      </c>
      <c r="K673" s="5" t="str">
        <f t="shared" si="10"/>
        <v>long</v>
      </c>
    </row>
    <row r="674" spans="1:11" x14ac:dyDescent="0.3">
      <c r="A674" s="3">
        <v>683</v>
      </c>
      <c r="B674" s="4">
        <v>45</v>
      </c>
      <c r="C674" s="4" t="s">
        <v>14</v>
      </c>
      <c r="D674" s="4" t="s">
        <v>29</v>
      </c>
      <c r="E674" s="4" t="s">
        <v>30</v>
      </c>
      <c r="F674" s="4">
        <v>3000</v>
      </c>
      <c r="G674" s="4">
        <v>51</v>
      </c>
      <c r="H674" s="4" t="s">
        <v>12</v>
      </c>
      <c r="I674" s="4" t="s">
        <v>13</v>
      </c>
      <c r="J674" s="4">
        <v>4</v>
      </c>
      <c r="K674" s="5" t="str">
        <f t="shared" si="10"/>
        <v>long</v>
      </c>
    </row>
    <row r="675" spans="1:11" x14ac:dyDescent="0.3">
      <c r="A675" s="3">
        <v>684</v>
      </c>
      <c r="B675" s="4">
        <v>75</v>
      </c>
      <c r="C675" s="4" t="s">
        <v>9</v>
      </c>
      <c r="D675" s="4" t="s">
        <v>31</v>
      </c>
      <c r="E675" s="4" t="s">
        <v>32</v>
      </c>
      <c r="F675" s="4">
        <v>18000</v>
      </c>
      <c r="G675" s="4">
        <v>53</v>
      </c>
      <c r="H675" s="4" t="s">
        <v>17</v>
      </c>
      <c r="I675" s="4" t="s">
        <v>18</v>
      </c>
      <c r="J675" s="4">
        <v>2</v>
      </c>
      <c r="K675" s="5" t="str">
        <f t="shared" si="10"/>
        <v>long</v>
      </c>
    </row>
    <row r="676" spans="1:11" x14ac:dyDescent="0.3">
      <c r="A676" s="3">
        <v>685</v>
      </c>
      <c r="B676" s="4">
        <v>28</v>
      </c>
      <c r="C676" s="4" t="s">
        <v>14</v>
      </c>
      <c r="D676" s="4" t="s">
        <v>33</v>
      </c>
      <c r="E676" s="4" t="s">
        <v>34</v>
      </c>
      <c r="F676" s="4">
        <v>100</v>
      </c>
      <c r="G676" s="4">
        <v>46</v>
      </c>
      <c r="H676" s="4" t="s">
        <v>12</v>
      </c>
      <c r="I676" s="4" t="s">
        <v>13</v>
      </c>
      <c r="J676" s="4">
        <v>5</v>
      </c>
      <c r="K676" s="5" t="str">
        <f t="shared" si="10"/>
        <v>long</v>
      </c>
    </row>
    <row r="677" spans="1:11" x14ac:dyDescent="0.3">
      <c r="A677" s="3">
        <v>686</v>
      </c>
      <c r="B677" s="4">
        <v>52</v>
      </c>
      <c r="C677" s="4" t="s">
        <v>9</v>
      </c>
      <c r="D677" s="4" t="s">
        <v>35</v>
      </c>
      <c r="E677" s="4" t="s">
        <v>36</v>
      </c>
      <c r="F677" s="4">
        <v>800</v>
      </c>
      <c r="G677" s="4">
        <v>47</v>
      </c>
      <c r="H677" s="4" t="s">
        <v>12</v>
      </c>
      <c r="I677" s="4" t="s">
        <v>18</v>
      </c>
      <c r="J677" s="4">
        <v>4</v>
      </c>
      <c r="K677" s="5" t="str">
        <f t="shared" si="10"/>
        <v>long</v>
      </c>
    </row>
    <row r="678" spans="1:11" x14ac:dyDescent="0.3">
      <c r="A678" s="3">
        <v>687</v>
      </c>
      <c r="B678" s="4">
        <v>67</v>
      </c>
      <c r="C678" s="4" t="s">
        <v>14</v>
      </c>
      <c r="D678" s="4" t="s">
        <v>37</v>
      </c>
      <c r="E678" s="4" t="s">
        <v>38</v>
      </c>
      <c r="F678" s="4">
        <v>20000</v>
      </c>
      <c r="G678" s="4">
        <v>54</v>
      </c>
      <c r="H678" s="4" t="s">
        <v>12</v>
      </c>
      <c r="I678" s="4" t="s">
        <v>13</v>
      </c>
      <c r="J678" s="4">
        <v>3</v>
      </c>
      <c r="K678" s="5" t="str">
        <f t="shared" si="10"/>
        <v>long</v>
      </c>
    </row>
    <row r="679" spans="1:11" x14ac:dyDescent="0.3">
      <c r="A679" s="3">
        <v>688</v>
      </c>
      <c r="B679" s="4">
        <v>35</v>
      </c>
      <c r="C679" s="4" t="s">
        <v>9</v>
      </c>
      <c r="D679" s="4" t="s">
        <v>39</v>
      </c>
      <c r="E679" s="4" t="s">
        <v>40</v>
      </c>
      <c r="F679" s="4">
        <v>12000</v>
      </c>
      <c r="G679" s="4">
        <v>48</v>
      </c>
      <c r="H679" s="4" t="s">
        <v>12</v>
      </c>
      <c r="I679" s="4" t="s">
        <v>13</v>
      </c>
      <c r="J679" s="4">
        <v>4</v>
      </c>
      <c r="K679" s="5" t="str">
        <f t="shared" si="10"/>
        <v>long</v>
      </c>
    </row>
    <row r="680" spans="1:11" x14ac:dyDescent="0.3">
      <c r="A680" s="3">
        <v>689</v>
      </c>
      <c r="B680" s="4">
        <v>50</v>
      </c>
      <c r="C680" s="4" t="s">
        <v>14</v>
      </c>
      <c r="D680" s="4" t="s">
        <v>41</v>
      </c>
      <c r="E680" s="4" t="s">
        <v>42</v>
      </c>
      <c r="F680" s="4">
        <v>6000</v>
      </c>
      <c r="G680" s="4">
        <v>49</v>
      </c>
      <c r="H680" s="4" t="s">
        <v>12</v>
      </c>
      <c r="I680" s="4" t="s">
        <v>13</v>
      </c>
      <c r="J680" s="4">
        <v>3</v>
      </c>
      <c r="K680" s="5" t="str">
        <f t="shared" si="10"/>
        <v>long</v>
      </c>
    </row>
    <row r="681" spans="1:11" x14ac:dyDescent="0.3">
      <c r="A681" s="3">
        <v>690</v>
      </c>
      <c r="B681" s="4">
        <v>60</v>
      </c>
      <c r="C681" s="4" t="s">
        <v>9</v>
      </c>
      <c r="D681" s="4" t="s">
        <v>43</v>
      </c>
      <c r="E681" s="4" t="s">
        <v>44</v>
      </c>
      <c r="F681" s="4">
        <v>4000</v>
      </c>
      <c r="G681" s="4">
        <v>50</v>
      </c>
      <c r="H681" s="4" t="s">
        <v>12</v>
      </c>
      <c r="I681" s="4" t="s">
        <v>18</v>
      </c>
      <c r="J681" s="4">
        <v>4</v>
      </c>
      <c r="K681" s="5" t="str">
        <f t="shared" si="10"/>
        <v>long</v>
      </c>
    </row>
    <row r="682" spans="1:11" x14ac:dyDescent="0.3">
      <c r="A682" s="3">
        <v>691</v>
      </c>
      <c r="B682" s="4">
        <v>48</v>
      </c>
      <c r="C682" s="4" t="s">
        <v>9</v>
      </c>
      <c r="D682" s="4" t="s">
        <v>10</v>
      </c>
      <c r="E682" s="4" t="s">
        <v>11</v>
      </c>
      <c r="F682" s="4">
        <v>15000</v>
      </c>
      <c r="G682" s="4">
        <v>51</v>
      </c>
      <c r="H682" s="4" t="s">
        <v>17</v>
      </c>
      <c r="I682" s="4" t="s">
        <v>13</v>
      </c>
      <c r="J682" s="4">
        <v>4</v>
      </c>
      <c r="K682" s="5" t="str">
        <f t="shared" si="10"/>
        <v>long</v>
      </c>
    </row>
    <row r="683" spans="1:11" x14ac:dyDescent="0.3">
      <c r="A683" s="3">
        <v>692</v>
      </c>
      <c r="B683" s="4">
        <v>65</v>
      </c>
      <c r="C683" s="4" t="s">
        <v>14</v>
      </c>
      <c r="D683" s="4" t="s">
        <v>15</v>
      </c>
      <c r="E683" s="4" t="s">
        <v>16</v>
      </c>
      <c r="F683" s="4">
        <v>2000</v>
      </c>
      <c r="G683" s="4">
        <v>49</v>
      </c>
      <c r="H683" s="4" t="s">
        <v>12</v>
      </c>
      <c r="I683" s="4" t="s">
        <v>18</v>
      </c>
      <c r="J683" s="4">
        <v>3</v>
      </c>
      <c r="K683" s="5" t="str">
        <f t="shared" si="10"/>
        <v>long</v>
      </c>
    </row>
    <row r="684" spans="1:11" x14ac:dyDescent="0.3">
      <c r="A684" s="3">
        <v>693</v>
      </c>
      <c r="B684" s="4">
        <v>30</v>
      </c>
      <c r="C684" s="4" t="s">
        <v>9</v>
      </c>
      <c r="D684" s="4" t="s">
        <v>19</v>
      </c>
      <c r="E684" s="4" t="s">
        <v>20</v>
      </c>
      <c r="F684" s="4">
        <v>500</v>
      </c>
      <c r="G684" s="4">
        <v>47</v>
      </c>
      <c r="H684" s="4" t="s">
        <v>12</v>
      </c>
      <c r="I684" s="4" t="s">
        <v>13</v>
      </c>
      <c r="J684" s="4">
        <v>5</v>
      </c>
      <c r="K684" s="5" t="str">
        <f t="shared" si="10"/>
        <v>long</v>
      </c>
    </row>
    <row r="685" spans="1:11" x14ac:dyDescent="0.3">
      <c r="A685" s="3">
        <v>694</v>
      </c>
      <c r="B685" s="4">
        <v>70</v>
      </c>
      <c r="C685" s="4" t="s">
        <v>14</v>
      </c>
      <c r="D685" s="4" t="s">
        <v>21</v>
      </c>
      <c r="E685" s="4" t="s">
        <v>22</v>
      </c>
      <c r="F685" s="4">
        <v>10000</v>
      </c>
      <c r="G685" s="4">
        <v>54</v>
      </c>
      <c r="H685" s="4" t="s">
        <v>17</v>
      </c>
      <c r="I685" s="4" t="s">
        <v>18</v>
      </c>
      <c r="J685" s="4">
        <v>2</v>
      </c>
      <c r="K685" s="5" t="str">
        <f t="shared" si="10"/>
        <v>long</v>
      </c>
    </row>
    <row r="686" spans="1:11" x14ac:dyDescent="0.3">
      <c r="A686" s="3">
        <v>695</v>
      </c>
      <c r="B686" s="4">
        <v>55</v>
      </c>
      <c r="C686" s="4" t="s">
        <v>9</v>
      </c>
      <c r="D686" s="4" t="s">
        <v>23</v>
      </c>
      <c r="E686" s="4" t="s">
        <v>24</v>
      </c>
      <c r="F686" s="4">
        <v>25000</v>
      </c>
      <c r="G686" s="4">
        <v>56</v>
      </c>
      <c r="H686" s="4" t="s">
        <v>12</v>
      </c>
      <c r="I686" s="4" t="s">
        <v>13</v>
      </c>
      <c r="J686" s="4">
        <v>4</v>
      </c>
      <c r="K686" s="5" t="str">
        <f t="shared" si="10"/>
        <v>long</v>
      </c>
    </row>
    <row r="687" spans="1:11" x14ac:dyDescent="0.3">
      <c r="A687" s="3">
        <v>696</v>
      </c>
      <c r="B687" s="4">
        <v>68</v>
      </c>
      <c r="C687" s="4" t="s">
        <v>14</v>
      </c>
      <c r="D687" s="4" t="s">
        <v>25</v>
      </c>
      <c r="E687" s="4" t="s">
        <v>26</v>
      </c>
      <c r="F687" s="4">
        <v>1000</v>
      </c>
      <c r="G687" s="4">
        <v>50</v>
      </c>
      <c r="H687" s="4" t="s">
        <v>12</v>
      </c>
      <c r="I687" s="4" t="s">
        <v>18</v>
      </c>
      <c r="J687" s="4">
        <v>4</v>
      </c>
      <c r="K687" s="5" t="str">
        <f t="shared" si="10"/>
        <v>long</v>
      </c>
    </row>
    <row r="688" spans="1:11" x14ac:dyDescent="0.3">
      <c r="A688" s="3">
        <v>697</v>
      </c>
      <c r="B688" s="4">
        <v>45</v>
      </c>
      <c r="C688" s="4" t="s">
        <v>9</v>
      </c>
      <c r="D688" s="4" t="s">
        <v>27</v>
      </c>
      <c r="E688" s="4" t="s">
        <v>28</v>
      </c>
      <c r="F688" s="4">
        <v>8000</v>
      </c>
      <c r="G688" s="4">
        <v>52</v>
      </c>
      <c r="H688" s="4" t="s">
        <v>12</v>
      </c>
      <c r="I688" s="4" t="s">
        <v>13</v>
      </c>
      <c r="J688" s="4">
        <v>3</v>
      </c>
      <c r="K688" s="5" t="str">
        <f t="shared" si="10"/>
        <v>long</v>
      </c>
    </row>
    <row r="689" spans="1:11" x14ac:dyDescent="0.3">
      <c r="A689" s="3">
        <v>698</v>
      </c>
      <c r="B689" s="4">
        <v>40</v>
      </c>
      <c r="C689" s="4" t="s">
        <v>14</v>
      </c>
      <c r="D689" s="4" t="s">
        <v>29</v>
      </c>
      <c r="E689" s="4" t="s">
        <v>30</v>
      </c>
      <c r="F689" s="4">
        <v>3000</v>
      </c>
      <c r="G689" s="4">
        <v>52</v>
      </c>
      <c r="H689" s="4" t="s">
        <v>12</v>
      </c>
      <c r="I689" s="4" t="s">
        <v>13</v>
      </c>
      <c r="J689" s="4">
        <v>4</v>
      </c>
      <c r="K689" s="5" t="str">
        <f t="shared" si="10"/>
        <v>long</v>
      </c>
    </row>
    <row r="690" spans="1:11" x14ac:dyDescent="0.3">
      <c r="A690" s="3">
        <v>699</v>
      </c>
      <c r="B690" s="4">
        <v>78</v>
      </c>
      <c r="C690" s="4" t="s">
        <v>9</v>
      </c>
      <c r="D690" s="4" t="s">
        <v>31</v>
      </c>
      <c r="E690" s="4" t="s">
        <v>32</v>
      </c>
      <c r="F690" s="4">
        <v>18000</v>
      </c>
      <c r="G690" s="4">
        <v>54</v>
      </c>
      <c r="H690" s="4" t="s">
        <v>17</v>
      </c>
      <c r="I690" s="4" t="s">
        <v>18</v>
      </c>
      <c r="J690" s="4">
        <v>2</v>
      </c>
      <c r="K690" s="5" t="str">
        <f t="shared" si="10"/>
        <v>long</v>
      </c>
    </row>
    <row r="691" spans="1:11" x14ac:dyDescent="0.3">
      <c r="A691" s="3">
        <v>700</v>
      </c>
      <c r="B691" s="4">
        <v>25</v>
      </c>
      <c r="C691" s="4" t="s">
        <v>14</v>
      </c>
      <c r="D691" s="4" t="s">
        <v>33</v>
      </c>
      <c r="E691" s="4" t="s">
        <v>34</v>
      </c>
      <c r="F691" s="4">
        <v>100</v>
      </c>
      <c r="G691" s="4">
        <v>47</v>
      </c>
      <c r="H691" s="4" t="s">
        <v>12</v>
      </c>
      <c r="I691" s="4" t="s">
        <v>13</v>
      </c>
      <c r="J691" s="4">
        <v>5</v>
      </c>
      <c r="K691" s="5" t="str">
        <f t="shared" si="10"/>
        <v>long</v>
      </c>
    </row>
    <row r="692" spans="1:11" x14ac:dyDescent="0.3">
      <c r="A692" s="3">
        <v>701</v>
      </c>
      <c r="B692" s="4">
        <v>52</v>
      </c>
      <c r="C692" s="4" t="s">
        <v>9</v>
      </c>
      <c r="D692" s="4" t="s">
        <v>35</v>
      </c>
      <c r="E692" s="4" t="s">
        <v>36</v>
      </c>
      <c r="F692" s="4">
        <v>800</v>
      </c>
      <c r="G692" s="4">
        <v>48</v>
      </c>
      <c r="H692" s="4" t="s">
        <v>12</v>
      </c>
      <c r="I692" s="4" t="s">
        <v>18</v>
      </c>
      <c r="J692" s="4">
        <v>4</v>
      </c>
      <c r="K692" s="5" t="str">
        <f t="shared" si="10"/>
        <v>long</v>
      </c>
    </row>
    <row r="693" spans="1:11" x14ac:dyDescent="0.3">
      <c r="A693" s="3">
        <v>702</v>
      </c>
      <c r="B693" s="4">
        <v>58</v>
      </c>
      <c r="C693" s="4" t="s">
        <v>14</v>
      </c>
      <c r="D693" s="4" t="s">
        <v>37</v>
      </c>
      <c r="E693" s="4" t="s">
        <v>38</v>
      </c>
      <c r="F693" s="4">
        <v>20000</v>
      </c>
      <c r="G693" s="4">
        <v>55</v>
      </c>
      <c r="H693" s="4" t="s">
        <v>12</v>
      </c>
      <c r="I693" s="4" t="s">
        <v>13</v>
      </c>
      <c r="J693" s="4">
        <v>3</v>
      </c>
      <c r="K693" s="5" t="str">
        <f t="shared" si="10"/>
        <v>long</v>
      </c>
    </row>
    <row r="694" spans="1:11" x14ac:dyDescent="0.3">
      <c r="A694" s="3">
        <v>703</v>
      </c>
      <c r="B694" s="4">
        <v>32</v>
      </c>
      <c r="C694" s="4" t="s">
        <v>9</v>
      </c>
      <c r="D694" s="4" t="s">
        <v>39</v>
      </c>
      <c r="E694" s="4" t="s">
        <v>40</v>
      </c>
      <c r="F694" s="4">
        <v>12000</v>
      </c>
      <c r="G694" s="4">
        <v>49</v>
      </c>
      <c r="H694" s="4" t="s">
        <v>12</v>
      </c>
      <c r="I694" s="4" t="s">
        <v>13</v>
      </c>
      <c r="J694" s="4">
        <v>4</v>
      </c>
      <c r="K694" s="5" t="str">
        <f t="shared" si="10"/>
        <v>long</v>
      </c>
    </row>
    <row r="695" spans="1:11" x14ac:dyDescent="0.3">
      <c r="A695" s="3">
        <v>704</v>
      </c>
      <c r="B695" s="4">
        <v>55</v>
      </c>
      <c r="C695" s="4" t="s">
        <v>14</v>
      </c>
      <c r="D695" s="4" t="s">
        <v>41</v>
      </c>
      <c r="E695" s="4" t="s">
        <v>42</v>
      </c>
      <c r="F695" s="4">
        <v>6000</v>
      </c>
      <c r="G695" s="4">
        <v>50</v>
      </c>
      <c r="H695" s="4" t="s">
        <v>12</v>
      </c>
      <c r="I695" s="4" t="s">
        <v>13</v>
      </c>
      <c r="J695" s="4">
        <v>3</v>
      </c>
      <c r="K695" s="5" t="str">
        <f t="shared" si="10"/>
        <v>long</v>
      </c>
    </row>
    <row r="696" spans="1:11" x14ac:dyDescent="0.3">
      <c r="A696" s="3">
        <v>705</v>
      </c>
      <c r="B696" s="4">
        <v>65</v>
      </c>
      <c r="C696" s="4" t="s">
        <v>9</v>
      </c>
      <c r="D696" s="4" t="s">
        <v>43</v>
      </c>
      <c r="E696" s="4" t="s">
        <v>44</v>
      </c>
      <c r="F696" s="4">
        <v>4000</v>
      </c>
      <c r="G696" s="4">
        <v>51</v>
      </c>
      <c r="H696" s="4" t="s">
        <v>12</v>
      </c>
      <c r="I696" s="4" t="s">
        <v>18</v>
      </c>
      <c r="J696" s="4">
        <v>4</v>
      </c>
      <c r="K696" s="5" t="str">
        <f t="shared" si="10"/>
        <v>long</v>
      </c>
    </row>
    <row r="697" spans="1:11" x14ac:dyDescent="0.3">
      <c r="A697" s="3">
        <v>706</v>
      </c>
      <c r="B697" s="4">
        <v>55</v>
      </c>
      <c r="C697" s="4" t="s">
        <v>9</v>
      </c>
      <c r="D697" s="4" t="s">
        <v>10</v>
      </c>
      <c r="E697" s="4" t="s">
        <v>11</v>
      </c>
      <c r="F697" s="4">
        <v>15000</v>
      </c>
      <c r="G697" s="4">
        <v>52</v>
      </c>
      <c r="H697" s="4" t="s">
        <v>17</v>
      </c>
      <c r="I697" s="4" t="s">
        <v>13</v>
      </c>
      <c r="J697" s="4">
        <v>3</v>
      </c>
      <c r="K697" s="5" t="str">
        <f t="shared" si="10"/>
        <v>long</v>
      </c>
    </row>
    <row r="698" spans="1:11" x14ac:dyDescent="0.3">
      <c r="A698" s="3">
        <v>707</v>
      </c>
      <c r="B698" s="4">
        <v>62</v>
      </c>
      <c r="C698" s="4" t="s">
        <v>14</v>
      </c>
      <c r="D698" s="4" t="s">
        <v>15</v>
      </c>
      <c r="E698" s="4" t="s">
        <v>16</v>
      </c>
      <c r="F698" s="4">
        <v>2000</v>
      </c>
      <c r="G698" s="4">
        <v>50</v>
      </c>
      <c r="H698" s="4" t="s">
        <v>12</v>
      </c>
      <c r="I698" s="4" t="s">
        <v>18</v>
      </c>
      <c r="J698" s="4">
        <v>4</v>
      </c>
      <c r="K698" s="5" t="str">
        <f t="shared" si="10"/>
        <v>long</v>
      </c>
    </row>
    <row r="699" spans="1:11" x14ac:dyDescent="0.3">
      <c r="A699" s="3">
        <v>708</v>
      </c>
      <c r="B699" s="4">
        <v>35</v>
      </c>
      <c r="C699" s="4" t="s">
        <v>9</v>
      </c>
      <c r="D699" s="4" t="s">
        <v>19</v>
      </c>
      <c r="E699" s="4" t="s">
        <v>20</v>
      </c>
      <c r="F699" s="4">
        <v>500</v>
      </c>
      <c r="G699" s="4">
        <v>48</v>
      </c>
      <c r="H699" s="4" t="s">
        <v>17</v>
      </c>
      <c r="I699" s="4" t="s">
        <v>13</v>
      </c>
      <c r="J699" s="4">
        <v>5</v>
      </c>
      <c r="K699" s="5" t="str">
        <f t="shared" si="10"/>
        <v>long</v>
      </c>
    </row>
    <row r="700" spans="1:11" x14ac:dyDescent="0.3">
      <c r="A700" s="3">
        <v>709</v>
      </c>
      <c r="B700" s="4">
        <v>78</v>
      </c>
      <c r="C700" s="4" t="s">
        <v>14</v>
      </c>
      <c r="D700" s="4" t="s">
        <v>21</v>
      </c>
      <c r="E700" s="4" t="s">
        <v>22</v>
      </c>
      <c r="F700" s="4">
        <v>10000</v>
      </c>
      <c r="G700" s="4">
        <v>55</v>
      </c>
      <c r="H700" s="4" t="s">
        <v>12</v>
      </c>
      <c r="I700" s="4" t="s">
        <v>18</v>
      </c>
      <c r="J700" s="4">
        <v>2</v>
      </c>
      <c r="K700" s="5" t="str">
        <f t="shared" si="10"/>
        <v>long</v>
      </c>
    </row>
    <row r="701" spans="1:11" x14ac:dyDescent="0.3">
      <c r="A701" s="3">
        <v>710</v>
      </c>
      <c r="B701" s="4">
        <v>53</v>
      </c>
      <c r="C701" s="4" t="s">
        <v>9</v>
      </c>
      <c r="D701" s="4" t="s">
        <v>23</v>
      </c>
      <c r="E701" s="4" t="s">
        <v>24</v>
      </c>
      <c r="F701" s="4">
        <v>25000</v>
      </c>
      <c r="G701" s="4">
        <v>57</v>
      </c>
      <c r="H701" s="4" t="s">
        <v>17</v>
      </c>
      <c r="I701" s="4" t="s">
        <v>13</v>
      </c>
      <c r="J701" s="4">
        <v>4</v>
      </c>
      <c r="K701" s="5" t="str">
        <f t="shared" si="10"/>
        <v>long</v>
      </c>
    </row>
    <row r="702" spans="1:11" x14ac:dyDescent="0.3">
      <c r="A702" s="3">
        <v>711</v>
      </c>
      <c r="B702" s="4">
        <v>72</v>
      </c>
      <c r="C702" s="4" t="s">
        <v>14</v>
      </c>
      <c r="D702" s="4" t="s">
        <v>25</v>
      </c>
      <c r="E702" s="4" t="s">
        <v>26</v>
      </c>
      <c r="F702" s="4">
        <v>1000</v>
      </c>
      <c r="G702" s="4">
        <v>51</v>
      </c>
      <c r="H702" s="4" t="s">
        <v>12</v>
      </c>
      <c r="I702" s="4" t="s">
        <v>18</v>
      </c>
      <c r="J702" s="4">
        <v>4</v>
      </c>
      <c r="K702" s="5" t="str">
        <f t="shared" si="10"/>
        <v>long</v>
      </c>
    </row>
    <row r="703" spans="1:11" x14ac:dyDescent="0.3">
      <c r="A703" s="3">
        <v>712</v>
      </c>
      <c r="B703" s="4">
        <v>60</v>
      </c>
      <c r="C703" s="4" t="s">
        <v>9</v>
      </c>
      <c r="D703" s="4" t="s">
        <v>27</v>
      </c>
      <c r="E703" s="4" t="s">
        <v>28</v>
      </c>
      <c r="F703" s="4">
        <v>8000</v>
      </c>
      <c r="G703" s="4">
        <v>53</v>
      </c>
      <c r="H703" s="4" t="s">
        <v>17</v>
      </c>
      <c r="I703" s="4" t="s">
        <v>13</v>
      </c>
      <c r="J703" s="4">
        <v>3</v>
      </c>
      <c r="K703" s="5" t="str">
        <f t="shared" si="10"/>
        <v>long</v>
      </c>
    </row>
    <row r="704" spans="1:11" x14ac:dyDescent="0.3">
      <c r="A704" s="3">
        <v>713</v>
      </c>
      <c r="B704" s="4">
        <v>45</v>
      </c>
      <c r="C704" s="4" t="s">
        <v>14</v>
      </c>
      <c r="D704" s="4" t="s">
        <v>29</v>
      </c>
      <c r="E704" s="4" t="s">
        <v>30</v>
      </c>
      <c r="F704" s="4">
        <v>3000</v>
      </c>
      <c r="G704" s="4">
        <v>53</v>
      </c>
      <c r="H704" s="4" t="s">
        <v>12</v>
      </c>
      <c r="I704" s="4" t="s">
        <v>13</v>
      </c>
      <c r="J704" s="4">
        <v>4</v>
      </c>
      <c r="K704" s="5" t="str">
        <f t="shared" si="10"/>
        <v>long</v>
      </c>
    </row>
    <row r="705" spans="1:11" x14ac:dyDescent="0.3">
      <c r="A705" s="3">
        <v>714</v>
      </c>
      <c r="B705" s="4">
        <v>75</v>
      </c>
      <c r="C705" s="4" t="s">
        <v>9</v>
      </c>
      <c r="D705" s="4" t="s">
        <v>31</v>
      </c>
      <c r="E705" s="4" t="s">
        <v>32</v>
      </c>
      <c r="F705" s="4">
        <v>18000</v>
      </c>
      <c r="G705" s="4">
        <v>55</v>
      </c>
      <c r="H705" s="4" t="s">
        <v>17</v>
      </c>
      <c r="I705" s="4" t="s">
        <v>18</v>
      </c>
      <c r="J705" s="4">
        <v>2</v>
      </c>
      <c r="K705" s="5" t="str">
        <f t="shared" si="10"/>
        <v>long</v>
      </c>
    </row>
    <row r="706" spans="1:11" x14ac:dyDescent="0.3">
      <c r="A706" s="3">
        <v>715</v>
      </c>
      <c r="B706" s="4">
        <v>28</v>
      </c>
      <c r="C706" s="4" t="s">
        <v>14</v>
      </c>
      <c r="D706" s="4" t="s">
        <v>33</v>
      </c>
      <c r="E706" s="4" t="s">
        <v>34</v>
      </c>
      <c r="F706" s="4">
        <v>100</v>
      </c>
      <c r="G706" s="4">
        <v>48</v>
      </c>
      <c r="H706" s="4" t="s">
        <v>12</v>
      </c>
      <c r="I706" s="4" t="s">
        <v>13</v>
      </c>
      <c r="J706" s="4">
        <v>5</v>
      </c>
      <c r="K706" s="5" t="str">
        <f t="shared" si="10"/>
        <v>long</v>
      </c>
    </row>
    <row r="707" spans="1:11" x14ac:dyDescent="0.3">
      <c r="A707" s="3">
        <v>716</v>
      </c>
      <c r="B707" s="4">
        <v>52</v>
      </c>
      <c r="C707" s="4" t="s">
        <v>9</v>
      </c>
      <c r="D707" s="4" t="s">
        <v>35</v>
      </c>
      <c r="E707" s="4" t="s">
        <v>36</v>
      </c>
      <c r="F707" s="4">
        <v>800</v>
      </c>
      <c r="G707" s="4">
        <v>49</v>
      </c>
      <c r="H707" s="4" t="s">
        <v>12</v>
      </c>
      <c r="I707" s="4" t="s">
        <v>18</v>
      </c>
      <c r="J707" s="4">
        <v>4</v>
      </c>
      <c r="K707" s="5" t="str">
        <f t="shared" si="10"/>
        <v>long</v>
      </c>
    </row>
    <row r="708" spans="1:11" x14ac:dyDescent="0.3">
      <c r="A708" s="3">
        <v>717</v>
      </c>
      <c r="B708" s="4">
        <v>67</v>
      </c>
      <c r="C708" s="4" t="s">
        <v>14</v>
      </c>
      <c r="D708" s="4" t="s">
        <v>37</v>
      </c>
      <c r="E708" s="4" t="s">
        <v>38</v>
      </c>
      <c r="F708" s="4">
        <v>20000</v>
      </c>
      <c r="G708" s="4">
        <v>56</v>
      </c>
      <c r="H708" s="4" t="s">
        <v>12</v>
      </c>
      <c r="I708" s="4" t="s">
        <v>13</v>
      </c>
      <c r="J708" s="4">
        <v>3</v>
      </c>
      <c r="K708" s="5" t="str">
        <f t="shared" ref="K708:K771" si="11">IF(G708&lt;=3,"short",IF(G708&lt;=7,"medium","long"))</f>
        <v>long</v>
      </c>
    </row>
    <row r="709" spans="1:11" x14ac:dyDescent="0.3">
      <c r="A709" s="3">
        <v>718</v>
      </c>
      <c r="B709" s="4">
        <v>35</v>
      </c>
      <c r="C709" s="4" t="s">
        <v>9</v>
      </c>
      <c r="D709" s="4" t="s">
        <v>39</v>
      </c>
      <c r="E709" s="4" t="s">
        <v>40</v>
      </c>
      <c r="F709" s="4">
        <v>12000</v>
      </c>
      <c r="G709" s="4">
        <v>50</v>
      </c>
      <c r="H709" s="4" t="s">
        <v>12</v>
      </c>
      <c r="I709" s="4" t="s">
        <v>13</v>
      </c>
      <c r="J709" s="4">
        <v>4</v>
      </c>
      <c r="K709" s="5" t="str">
        <f t="shared" si="11"/>
        <v>long</v>
      </c>
    </row>
    <row r="710" spans="1:11" x14ac:dyDescent="0.3">
      <c r="A710" s="3">
        <v>719</v>
      </c>
      <c r="B710" s="4">
        <v>50</v>
      </c>
      <c r="C710" s="4" t="s">
        <v>14</v>
      </c>
      <c r="D710" s="4" t="s">
        <v>41</v>
      </c>
      <c r="E710" s="4" t="s">
        <v>42</v>
      </c>
      <c r="F710" s="4">
        <v>6000</v>
      </c>
      <c r="G710" s="4">
        <v>51</v>
      </c>
      <c r="H710" s="4" t="s">
        <v>12</v>
      </c>
      <c r="I710" s="4" t="s">
        <v>13</v>
      </c>
      <c r="J710" s="4">
        <v>3</v>
      </c>
      <c r="K710" s="5" t="str">
        <f t="shared" si="11"/>
        <v>long</v>
      </c>
    </row>
    <row r="711" spans="1:11" x14ac:dyDescent="0.3">
      <c r="A711" s="3">
        <v>720</v>
      </c>
      <c r="B711" s="4">
        <v>60</v>
      </c>
      <c r="C711" s="4" t="s">
        <v>9</v>
      </c>
      <c r="D711" s="4" t="s">
        <v>43</v>
      </c>
      <c r="E711" s="4" t="s">
        <v>44</v>
      </c>
      <c r="F711" s="4">
        <v>4000</v>
      </c>
      <c r="G711" s="4">
        <v>52</v>
      </c>
      <c r="H711" s="4" t="s">
        <v>12</v>
      </c>
      <c r="I711" s="4" t="s">
        <v>18</v>
      </c>
      <c r="J711" s="4">
        <v>4</v>
      </c>
      <c r="K711" s="5" t="str">
        <f t="shared" si="11"/>
        <v>long</v>
      </c>
    </row>
    <row r="712" spans="1:11" x14ac:dyDescent="0.3">
      <c r="A712" s="3">
        <v>721</v>
      </c>
      <c r="B712" s="4">
        <v>48</v>
      </c>
      <c r="C712" s="4" t="s">
        <v>9</v>
      </c>
      <c r="D712" s="4" t="s">
        <v>10</v>
      </c>
      <c r="E712" s="4" t="s">
        <v>11</v>
      </c>
      <c r="F712" s="4">
        <v>15000</v>
      </c>
      <c r="G712" s="4">
        <v>53</v>
      </c>
      <c r="H712" s="4" t="s">
        <v>17</v>
      </c>
      <c r="I712" s="4" t="s">
        <v>13</v>
      </c>
      <c r="J712" s="4">
        <v>4</v>
      </c>
      <c r="K712" s="5" t="str">
        <f t="shared" si="11"/>
        <v>long</v>
      </c>
    </row>
    <row r="713" spans="1:11" x14ac:dyDescent="0.3">
      <c r="A713" s="3">
        <v>723</v>
      </c>
      <c r="B713" s="4">
        <v>30</v>
      </c>
      <c r="C713" s="4" t="s">
        <v>9</v>
      </c>
      <c r="D713" s="4" t="s">
        <v>19</v>
      </c>
      <c r="E713" s="4" t="s">
        <v>20</v>
      </c>
      <c r="F713" s="4">
        <v>500</v>
      </c>
      <c r="G713" s="4">
        <v>49</v>
      </c>
      <c r="H713" s="4" t="s">
        <v>12</v>
      </c>
      <c r="I713" s="4" t="s">
        <v>13</v>
      </c>
      <c r="J713" s="4">
        <v>5</v>
      </c>
      <c r="K713" s="5" t="str">
        <f t="shared" si="11"/>
        <v>long</v>
      </c>
    </row>
    <row r="714" spans="1:11" x14ac:dyDescent="0.3">
      <c r="A714" s="3">
        <v>724</v>
      </c>
      <c r="B714" s="4">
        <v>70</v>
      </c>
      <c r="C714" s="4" t="s">
        <v>14</v>
      </c>
      <c r="D714" s="4" t="s">
        <v>21</v>
      </c>
      <c r="E714" s="4" t="s">
        <v>22</v>
      </c>
      <c r="F714" s="4">
        <v>10000</v>
      </c>
      <c r="G714" s="4">
        <v>56</v>
      </c>
      <c r="H714" s="4" t="s">
        <v>17</v>
      </c>
      <c r="I714" s="4" t="s">
        <v>18</v>
      </c>
      <c r="J714" s="4">
        <v>2</v>
      </c>
      <c r="K714" s="5" t="str">
        <f t="shared" si="11"/>
        <v>long</v>
      </c>
    </row>
    <row r="715" spans="1:11" x14ac:dyDescent="0.3">
      <c r="A715" s="3">
        <v>725</v>
      </c>
      <c r="B715" s="4">
        <v>55</v>
      </c>
      <c r="C715" s="4" t="s">
        <v>9</v>
      </c>
      <c r="D715" s="4" t="s">
        <v>23</v>
      </c>
      <c r="E715" s="4" t="s">
        <v>24</v>
      </c>
      <c r="F715" s="4">
        <v>25000</v>
      </c>
      <c r="G715" s="4">
        <v>58</v>
      </c>
      <c r="H715" s="4" t="s">
        <v>12</v>
      </c>
      <c r="I715" s="4" t="s">
        <v>13</v>
      </c>
      <c r="J715" s="4">
        <v>4</v>
      </c>
      <c r="K715" s="5" t="str">
        <f t="shared" si="11"/>
        <v>long</v>
      </c>
    </row>
    <row r="716" spans="1:11" x14ac:dyDescent="0.3">
      <c r="A716" s="3">
        <v>726</v>
      </c>
      <c r="B716" s="4">
        <v>68</v>
      </c>
      <c r="C716" s="4" t="s">
        <v>14</v>
      </c>
      <c r="D716" s="4" t="s">
        <v>25</v>
      </c>
      <c r="E716" s="4" t="s">
        <v>26</v>
      </c>
      <c r="F716" s="4">
        <v>1000</v>
      </c>
      <c r="G716" s="4">
        <v>52</v>
      </c>
      <c r="H716" s="4" t="s">
        <v>12</v>
      </c>
      <c r="I716" s="4" t="s">
        <v>18</v>
      </c>
      <c r="J716" s="4">
        <v>4</v>
      </c>
      <c r="K716" s="5" t="str">
        <f t="shared" si="11"/>
        <v>long</v>
      </c>
    </row>
    <row r="717" spans="1:11" x14ac:dyDescent="0.3">
      <c r="A717" s="3">
        <v>727</v>
      </c>
      <c r="B717" s="4">
        <v>45</v>
      </c>
      <c r="C717" s="4" t="s">
        <v>9</v>
      </c>
      <c r="D717" s="4" t="s">
        <v>27</v>
      </c>
      <c r="E717" s="4" t="s">
        <v>28</v>
      </c>
      <c r="F717" s="4">
        <v>8000</v>
      </c>
      <c r="G717" s="4">
        <v>54</v>
      </c>
      <c r="H717" s="4" t="s">
        <v>12</v>
      </c>
      <c r="I717" s="4" t="s">
        <v>13</v>
      </c>
      <c r="J717" s="4">
        <v>3</v>
      </c>
      <c r="K717" s="5" t="str">
        <f t="shared" si="11"/>
        <v>long</v>
      </c>
    </row>
    <row r="718" spans="1:11" x14ac:dyDescent="0.3">
      <c r="A718" s="3">
        <v>728</v>
      </c>
      <c r="B718" s="4">
        <v>40</v>
      </c>
      <c r="C718" s="4" t="s">
        <v>14</v>
      </c>
      <c r="D718" s="4" t="s">
        <v>29</v>
      </c>
      <c r="E718" s="4" t="s">
        <v>30</v>
      </c>
      <c r="F718" s="4">
        <v>3000</v>
      </c>
      <c r="G718" s="4">
        <v>54</v>
      </c>
      <c r="H718" s="4" t="s">
        <v>12</v>
      </c>
      <c r="I718" s="4" t="s">
        <v>13</v>
      </c>
      <c r="J718" s="4">
        <v>4</v>
      </c>
      <c r="K718" s="5" t="str">
        <f t="shared" si="11"/>
        <v>long</v>
      </c>
    </row>
    <row r="719" spans="1:11" x14ac:dyDescent="0.3">
      <c r="A719" s="3">
        <v>729</v>
      </c>
      <c r="B719" s="4">
        <v>78</v>
      </c>
      <c r="C719" s="4" t="s">
        <v>9</v>
      </c>
      <c r="D719" s="4" t="s">
        <v>31</v>
      </c>
      <c r="E719" s="4" t="s">
        <v>32</v>
      </c>
      <c r="F719" s="4">
        <v>18000</v>
      </c>
      <c r="G719" s="4">
        <v>56</v>
      </c>
      <c r="H719" s="4" t="s">
        <v>17</v>
      </c>
      <c r="I719" s="4" t="s">
        <v>18</v>
      </c>
      <c r="J719" s="4">
        <v>2</v>
      </c>
      <c r="K719" s="5" t="str">
        <f t="shared" si="11"/>
        <v>long</v>
      </c>
    </row>
    <row r="720" spans="1:11" x14ac:dyDescent="0.3">
      <c r="A720" s="3">
        <v>730</v>
      </c>
      <c r="B720" s="4">
        <v>25</v>
      </c>
      <c r="C720" s="4" t="s">
        <v>14</v>
      </c>
      <c r="D720" s="4" t="s">
        <v>33</v>
      </c>
      <c r="E720" s="4" t="s">
        <v>34</v>
      </c>
      <c r="F720" s="4">
        <v>100</v>
      </c>
      <c r="G720" s="4">
        <v>49</v>
      </c>
      <c r="H720" s="4" t="s">
        <v>12</v>
      </c>
      <c r="I720" s="4" t="s">
        <v>13</v>
      </c>
      <c r="J720" s="4">
        <v>5</v>
      </c>
      <c r="K720" s="5" t="str">
        <f t="shared" si="11"/>
        <v>long</v>
      </c>
    </row>
    <row r="721" spans="1:11" x14ac:dyDescent="0.3">
      <c r="A721" s="3">
        <v>731</v>
      </c>
      <c r="B721" s="4">
        <v>52</v>
      </c>
      <c r="C721" s="4" t="s">
        <v>9</v>
      </c>
      <c r="D721" s="4" t="s">
        <v>35</v>
      </c>
      <c r="E721" s="4" t="s">
        <v>36</v>
      </c>
      <c r="F721" s="4">
        <v>800</v>
      </c>
      <c r="G721" s="4">
        <v>50</v>
      </c>
      <c r="H721" s="4" t="s">
        <v>12</v>
      </c>
      <c r="I721" s="4" t="s">
        <v>18</v>
      </c>
      <c r="J721" s="4">
        <v>4</v>
      </c>
      <c r="K721" s="5" t="str">
        <f t="shared" si="11"/>
        <v>long</v>
      </c>
    </row>
    <row r="722" spans="1:11" x14ac:dyDescent="0.3">
      <c r="A722" s="3">
        <v>732</v>
      </c>
      <c r="B722" s="4">
        <v>58</v>
      </c>
      <c r="C722" s="4" t="s">
        <v>14</v>
      </c>
      <c r="D722" s="4" t="s">
        <v>37</v>
      </c>
      <c r="E722" s="4" t="s">
        <v>38</v>
      </c>
      <c r="F722" s="4">
        <v>20000</v>
      </c>
      <c r="G722" s="4">
        <v>57</v>
      </c>
      <c r="H722" s="4" t="s">
        <v>12</v>
      </c>
      <c r="I722" s="4" t="s">
        <v>13</v>
      </c>
      <c r="J722" s="4">
        <v>3</v>
      </c>
      <c r="K722" s="5" t="str">
        <f t="shared" si="11"/>
        <v>long</v>
      </c>
    </row>
    <row r="723" spans="1:11" x14ac:dyDescent="0.3">
      <c r="A723" s="3">
        <v>733</v>
      </c>
      <c r="B723" s="4">
        <v>32</v>
      </c>
      <c r="C723" s="4" t="s">
        <v>9</v>
      </c>
      <c r="D723" s="4" t="s">
        <v>39</v>
      </c>
      <c r="E723" s="4" t="s">
        <v>40</v>
      </c>
      <c r="F723" s="4">
        <v>12000</v>
      </c>
      <c r="G723" s="4">
        <v>51</v>
      </c>
      <c r="H723" s="4" t="s">
        <v>12</v>
      </c>
      <c r="I723" s="4" t="s">
        <v>13</v>
      </c>
      <c r="J723" s="4">
        <v>4</v>
      </c>
      <c r="K723" s="5" t="str">
        <f t="shared" si="11"/>
        <v>long</v>
      </c>
    </row>
    <row r="724" spans="1:11" x14ac:dyDescent="0.3">
      <c r="A724" s="3">
        <v>734</v>
      </c>
      <c r="B724" s="4">
        <v>55</v>
      </c>
      <c r="C724" s="4" t="s">
        <v>14</v>
      </c>
      <c r="D724" s="4" t="s">
        <v>41</v>
      </c>
      <c r="E724" s="4" t="s">
        <v>42</v>
      </c>
      <c r="F724" s="4">
        <v>6000</v>
      </c>
      <c r="G724" s="4">
        <v>52</v>
      </c>
      <c r="H724" s="4" t="s">
        <v>12</v>
      </c>
      <c r="I724" s="4" t="s">
        <v>13</v>
      </c>
      <c r="J724" s="4">
        <v>3</v>
      </c>
      <c r="K724" s="5" t="str">
        <f t="shared" si="11"/>
        <v>long</v>
      </c>
    </row>
    <row r="725" spans="1:11" x14ac:dyDescent="0.3">
      <c r="A725" s="3">
        <v>735</v>
      </c>
      <c r="B725" s="4">
        <v>65</v>
      </c>
      <c r="C725" s="4" t="s">
        <v>9</v>
      </c>
      <c r="D725" s="4" t="s">
        <v>43</v>
      </c>
      <c r="E725" s="4" t="s">
        <v>44</v>
      </c>
      <c r="F725" s="4">
        <v>4000</v>
      </c>
      <c r="G725" s="4">
        <v>53</v>
      </c>
      <c r="H725" s="4" t="s">
        <v>12</v>
      </c>
      <c r="I725" s="4" t="s">
        <v>18</v>
      </c>
      <c r="J725" s="4">
        <v>4</v>
      </c>
      <c r="K725" s="5" t="str">
        <f t="shared" si="11"/>
        <v>long</v>
      </c>
    </row>
    <row r="726" spans="1:11" x14ac:dyDescent="0.3">
      <c r="A726" s="3">
        <v>736</v>
      </c>
      <c r="B726" s="4">
        <v>55</v>
      </c>
      <c r="C726" s="4" t="s">
        <v>9</v>
      </c>
      <c r="D726" s="4" t="s">
        <v>10</v>
      </c>
      <c r="E726" s="4" t="s">
        <v>11</v>
      </c>
      <c r="F726" s="4">
        <v>15000</v>
      </c>
      <c r="G726" s="4">
        <v>54</v>
      </c>
      <c r="H726" s="4" t="s">
        <v>17</v>
      </c>
      <c r="I726" s="4" t="s">
        <v>13</v>
      </c>
      <c r="J726" s="4">
        <v>3</v>
      </c>
      <c r="K726" s="5" t="str">
        <f t="shared" si="11"/>
        <v>long</v>
      </c>
    </row>
    <row r="727" spans="1:11" x14ac:dyDescent="0.3">
      <c r="A727" s="3">
        <v>737</v>
      </c>
      <c r="B727" s="4">
        <v>62</v>
      </c>
      <c r="C727" s="4" t="s">
        <v>14</v>
      </c>
      <c r="D727" s="4" t="s">
        <v>15</v>
      </c>
      <c r="E727" s="4" t="s">
        <v>16</v>
      </c>
      <c r="F727" s="4">
        <v>2000</v>
      </c>
      <c r="G727" s="4">
        <v>52</v>
      </c>
      <c r="H727" s="4" t="s">
        <v>12</v>
      </c>
      <c r="I727" s="4" t="s">
        <v>18</v>
      </c>
      <c r="J727" s="4">
        <v>4</v>
      </c>
      <c r="K727" s="5" t="str">
        <f t="shared" si="11"/>
        <v>long</v>
      </c>
    </row>
    <row r="728" spans="1:11" x14ac:dyDescent="0.3">
      <c r="A728" s="3">
        <v>738</v>
      </c>
      <c r="B728" s="4">
        <v>35</v>
      </c>
      <c r="C728" s="4" t="s">
        <v>9</v>
      </c>
      <c r="D728" s="4" t="s">
        <v>19</v>
      </c>
      <c r="E728" s="4" t="s">
        <v>20</v>
      </c>
      <c r="F728" s="4">
        <v>500</v>
      </c>
      <c r="G728" s="4">
        <v>50</v>
      </c>
      <c r="H728" s="4" t="s">
        <v>17</v>
      </c>
      <c r="I728" s="4" t="s">
        <v>13</v>
      </c>
      <c r="J728" s="4">
        <v>5</v>
      </c>
      <c r="K728" s="5" t="str">
        <f t="shared" si="11"/>
        <v>long</v>
      </c>
    </row>
    <row r="729" spans="1:11" x14ac:dyDescent="0.3">
      <c r="A729" s="3">
        <v>739</v>
      </c>
      <c r="B729" s="4">
        <v>78</v>
      </c>
      <c r="C729" s="4" t="s">
        <v>14</v>
      </c>
      <c r="D729" s="4" t="s">
        <v>21</v>
      </c>
      <c r="E729" s="4" t="s">
        <v>22</v>
      </c>
      <c r="F729" s="4">
        <v>10000</v>
      </c>
      <c r="G729" s="4">
        <v>57</v>
      </c>
      <c r="H729" s="4" t="s">
        <v>12</v>
      </c>
      <c r="I729" s="4" t="s">
        <v>18</v>
      </c>
      <c r="J729" s="4">
        <v>2</v>
      </c>
      <c r="K729" s="5" t="str">
        <f t="shared" si="11"/>
        <v>long</v>
      </c>
    </row>
    <row r="730" spans="1:11" x14ac:dyDescent="0.3">
      <c r="A730" s="3">
        <v>740</v>
      </c>
      <c r="B730" s="4">
        <v>53</v>
      </c>
      <c r="C730" s="4" t="s">
        <v>9</v>
      </c>
      <c r="D730" s="4" t="s">
        <v>23</v>
      </c>
      <c r="E730" s="4" t="s">
        <v>24</v>
      </c>
      <c r="F730" s="4">
        <v>25000</v>
      </c>
      <c r="G730" s="4">
        <v>59</v>
      </c>
      <c r="H730" s="4" t="s">
        <v>17</v>
      </c>
      <c r="I730" s="4" t="s">
        <v>13</v>
      </c>
      <c r="J730" s="4">
        <v>4</v>
      </c>
      <c r="K730" s="5" t="str">
        <f t="shared" si="11"/>
        <v>long</v>
      </c>
    </row>
    <row r="731" spans="1:11" x14ac:dyDescent="0.3">
      <c r="A731" s="3">
        <v>741</v>
      </c>
      <c r="B731" s="4">
        <v>72</v>
      </c>
      <c r="C731" s="4" t="s">
        <v>14</v>
      </c>
      <c r="D731" s="4" t="s">
        <v>25</v>
      </c>
      <c r="E731" s="4" t="s">
        <v>26</v>
      </c>
      <c r="F731" s="4">
        <v>1000</v>
      </c>
      <c r="G731" s="4">
        <v>53</v>
      </c>
      <c r="H731" s="4" t="s">
        <v>12</v>
      </c>
      <c r="I731" s="4" t="s">
        <v>18</v>
      </c>
      <c r="J731" s="4">
        <v>4</v>
      </c>
      <c r="K731" s="5" t="str">
        <f t="shared" si="11"/>
        <v>long</v>
      </c>
    </row>
    <row r="732" spans="1:11" x14ac:dyDescent="0.3">
      <c r="A732" s="3">
        <v>742</v>
      </c>
      <c r="B732" s="4">
        <v>60</v>
      </c>
      <c r="C732" s="4" t="s">
        <v>9</v>
      </c>
      <c r="D732" s="4" t="s">
        <v>27</v>
      </c>
      <c r="E732" s="4" t="s">
        <v>28</v>
      </c>
      <c r="F732" s="4">
        <v>8000</v>
      </c>
      <c r="G732" s="4">
        <v>55</v>
      </c>
      <c r="H732" s="4" t="s">
        <v>17</v>
      </c>
      <c r="I732" s="4" t="s">
        <v>13</v>
      </c>
      <c r="J732" s="4">
        <v>3</v>
      </c>
      <c r="K732" s="5" t="str">
        <f t="shared" si="11"/>
        <v>long</v>
      </c>
    </row>
    <row r="733" spans="1:11" x14ac:dyDescent="0.3">
      <c r="A733" s="3">
        <v>743</v>
      </c>
      <c r="B733" s="4">
        <v>45</v>
      </c>
      <c r="C733" s="4" t="s">
        <v>14</v>
      </c>
      <c r="D733" s="4" t="s">
        <v>29</v>
      </c>
      <c r="E733" s="4" t="s">
        <v>30</v>
      </c>
      <c r="F733" s="4">
        <v>3000</v>
      </c>
      <c r="G733" s="4">
        <v>55</v>
      </c>
      <c r="H733" s="4" t="s">
        <v>12</v>
      </c>
      <c r="I733" s="4" t="s">
        <v>13</v>
      </c>
      <c r="J733" s="4">
        <v>4</v>
      </c>
      <c r="K733" s="5" t="str">
        <f t="shared" si="11"/>
        <v>long</v>
      </c>
    </row>
    <row r="734" spans="1:11" x14ac:dyDescent="0.3">
      <c r="A734" s="3">
        <v>744</v>
      </c>
      <c r="B734" s="4">
        <v>75</v>
      </c>
      <c r="C734" s="4" t="s">
        <v>9</v>
      </c>
      <c r="D734" s="4" t="s">
        <v>31</v>
      </c>
      <c r="E734" s="4" t="s">
        <v>32</v>
      </c>
      <c r="F734" s="4">
        <v>18000</v>
      </c>
      <c r="G734" s="4">
        <v>57</v>
      </c>
      <c r="H734" s="4" t="s">
        <v>17</v>
      </c>
      <c r="I734" s="4" t="s">
        <v>18</v>
      </c>
      <c r="J734" s="4">
        <v>2</v>
      </c>
      <c r="K734" s="5" t="str">
        <f t="shared" si="11"/>
        <v>long</v>
      </c>
    </row>
    <row r="735" spans="1:11" x14ac:dyDescent="0.3">
      <c r="A735" s="3">
        <v>745</v>
      </c>
      <c r="B735" s="4">
        <v>28</v>
      </c>
      <c r="C735" s="4" t="s">
        <v>14</v>
      </c>
      <c r="D735" s="4" t="s">
        <v>33</v>
      </c>
      <c r="E735" s="4" t="s">
        <v>34</v>
      </c>
      <c r="F735" s="4">
        <v>100</v>
      </c>
      <c r="G735" s="4">
        <v>50</v>
      </c>
      <c r="H735" s="4" t="s">
        <v>12</v>
      </c>
      <c r="I735" s="4" t="s">
        <v>13</v>
      </c>
      <c r="J735" s="4">
        <v>5</v>
      </c>
      <c r="K735" s="5" t="str">
        <f t="shared" si="11"/>
        <v>long</v>
      </c>
    </row>
    <row r="736" spans="1:11" x14ac:dyDescent="0.3">
      <c r="A736" s="3">
        <v>746</v>
      </c>
      <c r="B736" s="4">
        <v>52</v>
      </c>
      <c r="C736" s="4" t="s">
        <v>9</v>
      </c>
      <c r="D736" s="4" t="s">
        <v>35</v>
      </c>
      <c r="E736" s="4" t="s">
        <v>36</v>
      </c>
      <c r="F736" s="4">
        <v>800</v>
      </c>
      <c r="G736" s="4">
        <v>51</v>
      </c>
      <c r="H736" s="4" t="s">
        <v>12</v>
      </c>
      <c r="I736" s="4" t="s">
        <v>18</v>
      </c>
      <c r="J736" s="4">
        <v>4</v>
      </c>
      <c r="K736" s="5" t="str">
        <f t="shared" si="11"/>
        <v>long</v>
      </c>
    </row>
    <row r="737" spans="1:11" x14ac:dyDescent="0.3">
      <c r="A737" s="3">
        <v>747</v>
      </c>
      <c r="B737" s="4">
        <v>67</v>
      </c>
      <c r="C737" s="4" t="s">
        <v>14</v>
      </c>
      <c r="D737" s="4" t="s">
        <v>37</v>
      </c>
      <c r="E737" s="4" t="s">
        <v>38</v>
      </c>
      <c r="F737" s="4">
        <v>20000</v>
      </c>
      <c r="G737" s="4">
        <v>58</v>
      </c>
      <c r="H737" s="4" t="s">
        <v>12</v>
      </c>
      <c r="I737" s="4" t="s">
        <v>13</v>
      </c>
      <c r="J737" s="4">
        <v>3</v>
      </c>
      <c r="K737" s="5" t="str">
        <f t="shared" si="11"/>
        <v>long</v>
      </c>
    </row>
    <row r="738" spans="1:11" x14ac:dyDescent="0.3">
      <c r="A738" s="3">
        <v>748</v>
      </c>
      <c r="B738" s="4">
        <v>35</v>
      </c>
      <c r="C738" s="4" t="s">
        <v>9</v>
      </c>
      <c r="D738" s="4" t="s">
        <v>39</v>
      </c>
      <c r="E738" s="4" t="s">
        <v>40</v>
      </c>
      <c r="F738" s="4">
        <v>12000</v>
      </c>
      <c r="G738" s="4">
        <v>52</v>
      </c>
      <c r="H738" s="4" t="s">
        <v>12</v>
      </c>
      <c r="I738" s="4" t="s">
        <v>13</v>
      </c>
      <c r="J738" s="4">
        <v>4</v>
      </c>
      <c r="K738" s="5" t="str">
        <f t="shared" si="11"/>
        <v>long</v>
      </c>
    </row>
    <row r="739" spans="1:11" x14ac:dyDescent="0.3">
      <c r="A739" s="3">
        <v>749</v>
      </c>
      <c r="B739" s="4">
        <v>50</v>
      </c>
      <c r="C739" s="4" t="s">
        <v>14</v>
      </c>
      <c r="D739" s="4" t="s">
        <v>41</v>
      </c>
      <c r="E739" s="4" t="s">
        <v>42</v>
      </c>
      <c r="F739" s="4">
        <v>6000</v>
      </c>
      <c r="G739" s="4">
        <v>53</v>
      </c>
      <c r="H739" s="4" t="s">
        <v>12</v>
      </c>
      <c r="I739" s="4" t="s">
        <v>13</v>
      </c>
      <c r="J739" s="4">
        <v>3</v>
      </c>
      <c r="K739" s="5" t="str">
        <f t="shared" si="11"/>
        <v>long</v>
      </c>
    </row>
    <row r="740" spans="1:11" x14ac:dyDescent="0.3">
      <c r="A740" s="3">
        <v>750</v>
      </c>
      <c r="B740" s="4">
        <v>60</v>
      </c>
      <c r="C740" s="4" t="s">
        <v>9</v>
      </c>
      <c r="D740" s="4" t="s">
        <v>43</v>
      </c>
      <c r="E740" s="4" t="s">
        <v>44</v>
      </c>
      <c r="F740" s="4">
        <v>4000</v>
      </c>
      <c r="G740" s="4">
        <v>54</v>
      </c>
      <c r="H740" s="4" t="s">
        <v>12</v>
      </c>
      <c r="I740" s="4" t="s">
        <v>18</v>
      </c>
      <c r="J740" s="4">
        <v>4</v>
      </c>
      <c r="K740" s="5" t="str">
        <f t="shared" si="11"/>
        <v>long</v>
      </c>
    </row>
    <row r="741" spans="1:11" x14ac:dyDescent="0.3">
      <c r="A741" s="3">
        <v>751</v>
      </c>
      <c r="B741" s="4">
        <v>48</v>
      </c>
      <c r="C741" s="4" t="s">
        <v>9</v>
      </c>
      <c r="D741" s="4" t="s">
        <v>10</v>
      </c>
      <c r="E741" s="4" t="s">
        <v>11</v>
      </c>
      <c r="F741" s="4">
        <v>15000</v>
      </c>
      <c r="G741" s="4">
        <v>55</v>
      </c>
      <c r="H741" s="4" t="s">
        <v>17</v>
      </c>
      <c r="I741" s="4" t="s">
        <v>13</v>
      </c>
      <c r="J741" s="4">
        <v>4</v>
      </c>
      <c r="K741" s="5" t="str">
        <f t="shared" si="11"/>
        <v>long</v>
      </c>
    </row>
    <row r="742" spans="1:11" x14ac:dyDescent="0.3">
      <c r="A742" s="3">
        <v>752</v>
      </c>
      <c r="B742" s="4">
        <v>65</v>
      </c>
      <c r="C742" s="4" t="s">
        <v>14</v>
      </c>
      <c r="D742" s="4" t="s">
        <v>15</v>
      </c>
      <c r="E742" s="4" t="s">
        <v>16</v>
      </c>
      <c r="F742" s="4">
        <v>2000</v>
      </c>
      <c r="G742" s="4">
        <v>53</v>
      </c>
      <c r="H742" s="4" t="s">
        <v>12</v>
      </c>
      <c r="I742" s="4" t="s">
        <v>18</v>
      </c>
      <c r="J742" s="4">
        <v>3</v>
      </c>
      <c r="K742" s="5" t="str">
        <f t="shared" si="11"/>
        <v>long</v>
      </c>
    </row>
    <row r="743" spans="1:11" x14ac:dyDescent="0.3">
      <c r="A743" s="3">
        <v>753</v>
      </c>
      <c r="B743" s="4">
        <v>30</v>
      </c>
      <c r="C743" s="4" t="s">
        <v>9</v>
      </c>
      <c r="D743" s="4" t="s">
        <v>19</v>
      </c>
      <c r="E743" s="4" t="s">
        <v>20</v>
      </c>
      <c r="F743" s="4">
        <v>500</v>
      </c>
      <c r="G743" s="4">
        <v>51</v>
      </c>
      <c r="H743" s="4" t="s">
        <v>12</v>
      </c>
      <c r="I743" s="4" t="s">
        <v>13</v>
      </c>
      <c r="J743" s="4">
        <v>5</v>
      </c>
      <c r="K743" s="5" t="str">
        <f t="shared" si="11"/>
        <v>long</v>
      </c>
    </row>
    <row r="744" spans="1:11" x14ac:dyDescent="0.3">
      <c r="A744" s="3">
        <v>754</v>
      </c>
      <c r="B744" s="4">
        <v>70</v>
      </c>
      <c r="C744" s="4" t="s">
        <v>14</v>
      </c>
      <c r="D744" s="4" t="s">
        <v>21</v>
      </c>
      <c r="E744" s="4" t="s">
        <v>22</v>
      </c>
      <c r="F744" s="4">
        <v>10000</v>
      </c>
      <c r="G744" s="4">
        <v>58</v>
      </c>
      <c r="H744" s="4" t="s">
        <v>17</v>
      </c>
      <c r="I744" s="4" t="s">
        <v>18</v>
      </c>
      <c r="J744" s="4">
        <v>2</v>
      </c>
      <c r="K744" s="5" t="str">
        <f t="shared" si="11"/>
        <v>long</v>
      </c>
    </row>
    <row r="745" spans="1:11" x14ac:dyDescent="0.3">
      <c r="A745" s="3">
        <v>755</v>
      </c>
      <c r="B745" s="4">
        <v>55</v>
      </c>
      <c r="C745" s="4" t="s">
        <v>9</v>
      </c>
      <c r="D745" s="4" t="s">
        <v>23</v>
      </c>
      <c r="E745" s="4" t="s">
        <v>24</v>
      </c>
      <c r="F745" s="4">
        <v>25000</v>
      </c>
      <c r="G745" s="4">
        <v>60</v>
      </c>
      <c r="H745" s="4" t="s">
        <v>12</v>
      </c>
      <c r="I745" s="4" t="s">
        <v>13</v>
      </c>
      <c r="J745" s="4">
        <v>4</v>
      </c>
      <c r="K745" s="5" t="str">
        <f t="shared" si="11"/>
        <v>long</v>
      </c>
    </row>
    <row r="746" spans="1:11" x14ac:dyDescent="0.3">
      <c r="A746" s="3">
        <v>756</v>
      </c>
      <c r="B746" s="4">
        <v>68</v>
      </c>
      <c r="C746" s="4" t="s">
        <v>14</v>
      </c>
      <c r="D746" s="4" t="s">
        <v>25</v>
      </c>
      <c r="E746" s="4" t="s">
        <v>26</v>
      </c>
      <c r="F746" s="4">
        <v>1000</v>
      </c>
      <c r="G746" s="4">
        <v>54</v>
      </c>
      <c r="H746" s="4" t="s">
        <v>12</v>
      </c>
      <c r="I746" s="4" t="s">
        <v>18</v>
      </c>
      <c r="J746" s="4">
        <v>4</v>
      </c>
      <c r="K746" s="5" t="str">
        <f t="shared" si="11"/>
        <v>long</v>
      </c>
    </row>
    <row r="747" spans="1:11" x14ac:dyDescent="0.3">
      <c r="A747" s="3">
        <v>757</v>
      </c>
      <c r="B747" s="4">
        <v>45</v>
      </c>
      <c r="C747" s="4" t="s">
        <v>9</v>
      </c>
      <c r="D747" s="4" t="s">
        <v>27</v>
      </c>
      <c r="E747" s="4" t="s">
        <v>28</v>
      </c>
      <c r="F747" s="4">
        <v>8000</v>
      </c>
      <c r="G747" s="4">
        <v>56</v>
      </c>
      <c r="H747" s="4" t="s">
        <v>12</v>
      </c>
      <c r="I747" s="4" t="s">
        <v>13</v>
      </c>
      <c r="J747" s="4">
        <v>3</v>
      </c>
      <c r="K747" s="5" t="str">
        <f t="shared" si="11"/>
        <v>long</v>
      </c>
    </row>
    <row r="748" spans="1:11" x14ac:dyDescent="0.3">
      <c r="A748" s="3">
        <v>758</v>
      </c>
      <c r="B748" s="4">
        <v>40</v>
      </c>
      <c r="C748" s="4" t="s">
        <v>14</v>
      </c>
      <c r="D748" s="4" t="s">
        <v>29</v>
      </c>
      <c r="E748" s="4" t="s">
        <v>30</v>
      </c>
      <c r="F748" s="4">
        <v>3000</v>
      </c>
      <c r="G748" s="4">
        <v>56</v>
      </c>
      <c r="H748" s="4" t="s">
        <v>12</v>
      </c>
      <c r="I748" s="4" t="s">
        <v>13</v>
      </c>
      <c r="J748" s="4">
        <v>4</v>
      </c>
      <c r="K748" s="5" t="str">
        <f t="shared" si="11"/>
        <v>long</v>
      </c>
    </row>
    <row r="749" spans="1:11" x14ac:dyDescent="0.3">
      <c r="A749" s="3">
        <v>759</v>
      </c>
      <c r="B749" s="4">
        <v>78</v>
      </c>
      <c r="C749" s="4" t="s">
        <v>9</v>
      </c>
      <c r="D749" s="4" t="s">
        <v>31</v>
      </c>
      <c r="E749" s="4" t="s">
        <v>32</v>
      </c>
      <c r="F749" s="4">
        <v>18000</v>
      </c>
      <c r="G749" s="4">
        <v>58</v>
      </c>
      <c r="H749" s="4" t="s">
        <v>17</v>
      </c>
      <c r="I749" s="4" t="s">
        <v>18</v>
      </c>
      <c r="J749" s="4">
        <v>2</v>
      </c>
      <c r="K749" s="5" t="str">
        <f t="shared" si="11"/>
        <v>long</v>
      </c>
    </row>
    <row r="750" spans="1:11" x14ac:dyDescent="0.3">
      <c r="A750" s="3">
        <v>760</v>
      </c>
      <c r="B750" s="4">
        <v>25</v>
      </c>
      <c r="C750" s="4" t="s">
        <v>14</v>
      </c>
      <c r="D750" s="4" t="s">
        <v>33</v>
      </c>
      <c r="E750" s="4" t="s">
        <v>34</v>
      </c>
      <c r="F750" s="4">
        <v>100</v>
      </c>
      <c r="G750" s="4">
        <v>51</v>
      </c>
      <c r="H750" s="4" t="s">
        <v>12</v>
      </c>
      <c r="I750" s="4" t="s">
        <v>13</v>
      </c>
      <c r="J750" s="4">
        <v>5</v>
      </c>
      <c r="K750" s="5" t="str">
        <f t="shared" si="11"/>
        <v>long</v>
      </c>
    </row>
    <row r="751" spans="1:11" x14ac:dyDescent="0.3">
      <c r="A751" s="3">
        <v>761</v>
      </c>
      <c r="B751" s="4">
        <v>52</v>
      </c>
      <c r="C751" s="4" t="s">
        <v>9</v>
      </c>
      <c r="D751" s="4" t="s">
        <v>35</v>
      </c>
      <c r="E751" s="4" t="s">
        <v>36</v>
      </c>
      <c r="F751" s="4">
        <v>800</v>
      </c>
      <c r="G751" s="4">
        <v>52</v>
      </c>
      <c r="H751" s="4" t="s">
        <v>12</v>
      </c>
      <c r="I751" s="4" t="s">
        <v>18</v>
      </c>
      <c r="J751" s="4">
        <v>4</v>
      </c>
      <c r="K751" s="5" t="str">
        <f t="shared" si="11"/>
        <v>long</v>
      </c>
    </row>
    <row r="752" spans="1:11" x14ac:dyDescent="0.3">
      <c r="A752" s="3">
        <v>762</v>
      </c>
      <c r="B752" s="4">
        <v>58</v>
      </c>
      <c r="C752" s="4" t="s">
        <v>14</v>
      </c>
      <c r="D752" s="4" t="s">
        <v>37</v>
      </c>
      <c r="E752" s="4" t="s">
        <v>38</v>
      </c>
      <c r="F752" s="4">
        <v>20000</v>
      </c>
      <c r="G752" s="4">
        <v>59</v>
      </c>
      <c r="H752" s="4" t="s">
        <v>12</v>
      </c>
      <c r="I752" s="4" t="s">
        <v>13</v>
      </c>
      <c r="J752" s="4">
        <v>3</v>
      </c>
      <c r="K752" s="5" t="str">
        <f t="shared" si="11"/>
        <v>long</v>
      </c>
    </row>
    <row r="753" spans="1:11" x14ac:dyDescent="0.3">
      <c r="A753" s="3">
        <v>763</v>
      </c>
      <c r="B753" s="4">
        <v>32</v>
      </c>
      <c r="C753" s="4" t="s">
        <v>9</v>
      </c>
      <c r="D753" s="4" t="s">
        <v>39</v>
      </c>
      <c r="E753" s="4" t="s">
        <v>40</v>
      </c>
      <c r="F753" s="4">
        <v>12000</v>
      </c>
      <c r="G753" s="4">
        <v>53</v>
      </c>
      <c r="H753" s="4" t="s">
        <v>12</v>
      </c>
      <c r="I753" s="4" t="s">
        <v>13</v>
      </c>
      <c r="J753" s="4">
        <v>4</v>
      </c>
      <c r="K753" s="5" t="str">
        <f t="shared" si="11"/>
        <v>long</v>
      </c>
    </row>
    <row r="754" spans="1:11" x14ac:dyDescent="0.3">
      <c r="A754" s="3">
        <v>764</v>
      </c>
      <c r="B754" s="4">
        <v>55</v>
      </c>
      <c r="C754" s="4" t="s">
        <v>14</v>
      </c>
      <c r="D754" s="4" t="s">
        <v>41</v>
      </c>
      <c r="E754" s="4" t="s">
        <v>42</v>
      </c>
      <c r="F754" s="4">
        <v>6000</v>
      </c>
      <c r="G754" s="4">
        <v>54</v>
      </c>
      <c r="H754" s="4" t="s">
        <v>12</v>
      </c>
      <c r="I754" s="4" t="s">
        <v>13</v>
      </c>
      <c r="J754" s="4">
        <v>3</v>
      </c>
      <c r="K754" s="5" t="str">
        <f t="shared" si="11"/>
        <v>long</v>
      </c>
    </row>
    <row r="755" spans="1:11" x14ac:dyDescent="0.3">
      <c r="A755" s="3">
        <v>765</v>
      </c>
      <c r="B755" s="4">
        <v>65</v>
      </c>
      <c r="C755" s="4" t="s">
        <v>9</v>
      </c>
      <c r="D755" s="4" t="s">
        <v>43</v>
      </c>
      <c r="E755" s="4" t="s">
        <v>44</v>
      </c>
      <c r="F755" s="4">
        <v>4000</v>
      </c>
      <c r="G755" s="4">
        <v>55</v>
      </c>
      <c r="H755" s="4" t="s">
        <v>12</v>
      </c>
      <c r="I755" s="4" t="s">
        <v>18</v>
      </c>
      <c r="J755" s="4">
        <v>4</v>
      </c>
      <c r="K755" s="5" t="str">
        <f t="shared" si="11"/>
        <v>long</v>
      </c>
    </row>
    <row r="756" spans="1:11" x14ac:dyDescent="0.3">
      <c r="A756" s="3">
        <v>766</v>
      </c>
      <c r="B756" s="4">
        <v>55</v>
      </c>
      <c r="C756" s="4" t="s">
        <v>9</v>
      </c>
      <c r="D756" s="4" t="s">
        <v>10</v>
      </c>
      <c r="E756" s="4" t="s">
        <v>11</v>
      </c>
      <c r="F756" s="4">
        <v>15000</v>
      </c>
      <c r="G756" s="4">
        <v>56</v>
      </c>
      <c r="H756" s="4" t="s">
        <v>17</v>
      </c>
      <c r="I756" s="4" t="s">
        <v>13</v>
      </c>
      <c r="J756" s="4">
        <v>3</v>
      </c>
      <c r="K756" s="5" t="str">
        <f t="shared" si="11"/>
        <v>long</v>
      </c>
    </row>
    <row r="757" spans="1:11" x14ac:dyDescent="0.3">
      <c r="A757" s="3">
        <v>767</v>
      </c>
      <c r="B757" s="4">
        <v>62</v>
      </c>
      <c r="C757" s="4" t="s">
        <v>14</v>
      </c>
      <c r="D757" s="4" t="s">
        <v>15</v>
      </c>
      <c r="E757" s="4" t="s">
        <v>16</v>
      </c>
      <c r="F757" s="4">
        <v>2000</v>
      </c>
      <c r="G757" s="4">
        <v>54</v>
      </c>
      <c r="H757" s="4" t="s">
        <v>12</v>
      </c>
      <c r="I757" s="4" t="s">
        <v>18</v>
      </c>
      <c r="J757" s="4">
        <v>4</v>
      </c>
      <c r="K757" s="5" t="str">
        <f t="shared" si="11"/>
        <v>long</v>
      </c>
    </row>
    <row r="758" spans="1:11" x14ac:dyDescent="0.3">
      <c r="A758" s="3">
        <v>768</v>
      </c>
      <c r="B758" s="4">
        <v>35</v>
      </c>
      <c r="C758" s="4" t="s">
        <v>9</v>
      </c>
      <c r="D758" s="4" t="s">
        <v>19</v>
      </c>
      <c r="E758" s="4" t="s">
        <v>20</v>
      </c>
      <c r="F758" s="4">
        <v>500</v>
      </c>
      <c r="G758" s="4">
        <v>52</v>
      </c>
      <c r="H758" s="4" t="s">
        <v>17</v>
      </c>
      <c r="I758" s="4" t="s">
        <v>13</v>
      </c>
      <c r="J758" s="4">
        <v>5</v>
      </c>
      <c r="K758" s="5" t="str">
        <f t="shared" si="11"/>
        <v>long</v>
      </c>
    </row>
    <row r="759" spans="1:11" x14ac:dyDescent="0.3">
      <c r="A759" s="3">
        <v>769</v>
      </c>
      <c r="B759" s="4">
        <v>78</v>
      </c>
      <c r="C759" s="4" t="s">
        <v>14</v>
      </c>
      <c r="D759" s="4" t="s">
        <v>21</v>
      </c>
      <c r="E759" s="4" t="s">
        <v>22</v>
      </c>
      <c r="F759" s="4">
        <v>10000</v>
      </c>
      <c r="G759" s="4">
        <v>59</v>
      </c>
      <c r="H759" s="4" t="s">
        <v>12</v>
      </c>
      <c r="I759" s="4" t="s">
        <v>18</v>
      </c>
      <c r="J759" s="4">
        <v>2</v>
      </c>
      <c r="K759" s="5" t="str">
        <f t="shared" si="11"/>
        <v>long</v>
      </c>
    </row>
    <row r="760" spans="1:11" x14ac:dyDescent="0.3">
      <c r="A760" s="3">
        <v>770</v>
      </c>
      <c r="B760" s="4">
        <v>53</v>
      </c>
      <c r="C760" s="4" t="s">
        <v>9</v>
      </c>
      <c r="D760" s="4" t="s">
        <v>23</v>
      </c>
      <c r="E760" s="4" t="s">
        <v>24</v>
      </c>
      <c r="F760" s="4">
        <v>25000</v>
      </c>
      <c r="G760" s="4">
        <v>61</v>
      </c>
      <c r="H760" s="4" t="s">
        <v>17</v>
      </c>
      <c r="I760" s="4" t="s">
        <v>13</v>
      </c>
      <c r="J760" s="4">
        <v>4</v>
      </c>
      <c r="K760" s="5" t="str">
        <f t="shared" si="11"/>
        <v>long</v>
      </c>
    </row>
    <row r="761" spans="1:11" x14ac:dyDescent="0.3">
      <c r="A761" s="3">
        <v>771</v>
      </c>
      <c r="B761" s="4">
        <v>72</v>
      </c>
      <c r="C761" s="4" t="s">
        <v>14</v>
      </c>
      <c r="D761" s="4" t="s">
        <v>25</v>
      </c>
      <c r="E761" s="4" t="s">
        <v>26</v>
      </c>
      <c r="F761" s="4">
        <v>1000</v>
      </c>
      <c r="G761" s="4">
        <v>55</v>
      </c>
      <c r="H761" s="4" t="s">
        <v>12</v>
      </c>
      <c r="I761" s="4" t="s">
        <v>18</v>
      </c>
      <c r="J761" s="4">
        <v>4</v>
      </c>
      <c r="K761" s="5" t="str">
        <f t="shared" si="11"/>
        <v>long</v>
      </c>
    </row>
    <row r="762" spans="1:11" x14ac:dyDescent="0.3">
      <c r="A762" s="3">
        <v>772</v>
      </c>
      <c r="B762" s="4">
        <v>60</v>
      </c>
      <c r="C762" s="4" t="s">
        <v>9</v>
      </c>
      <c r="D762" s="4" t="s">
        <v>27</v>
      </c>
      <c r="E762" s="4" t="s">
        <v>28</v>
      </c>
      <c r="F762" s="4">
        <v>8000</v>
      </c>
      <c r="G762" s="4">
        <v>57</v>
      </c>
      <c r="H762" s="4" t="s">
        <v>17</v>
      </c>
      <c r="I762" s="4" t="s">
        <v>13</v>
      </c>
      <c r="J762" s="4">
        <v>3</v>
      </c>
      <c r="K762" s="5" t="str">
        <f t="shared" si="11"/>
        <v>long</v>
      </c>
    </row>
    <row r="763" spans="1:11" x14ac:dyDescent="0.3">
      <c r="A763" s="3">
        <v>773</v>
      </c>
      <c r="B763" s="4">
        <v>45</v>
      </c>
      <c r="C763" s="4" t="s">
        <v>14</v>
      </c>
      <c r="D763" s="4" t="s">
        <v>29</v>
      </c>
      <c r="E763" s="4" t="s">
        <v>30</v>
      </c>
      <c r="F763" s="4">
        <v>3000</v>
      </c>
      <c r="G763" s="4">
        <v>57</v>
      </c>
      <c r="H763" s="4" t="s">
        <v>12</v>
      </c>
      <c r="I763" s="4" t="s">
        <v>13</v>
      </c>
      <c r="J763" s="4">
        <v>4</v>
      </c>
      <c r="K763" s="5" t="str">
        <f t="shared" si="11"/>
        <v>long</v>
      </c>
    </row>
    <row r="764" spans="1:11" x14ac:dyDescent="0.3">
      <c r="A764" s="3">
        <v>774</v>
      </c>
      <c r="B764" s="4">
        <v>75</v>
      </c>
      <c r="C764" s="4" t="s">
        <v>9</v>
      </c>
      <c r="D764" s="4" t="s">
        <v>31</v>
      </c>
      <c r="E764" s="4" t="s">
        <v>32</v>
      </c>
      <c r="F764" s="4">
        <v>18000</v>
      </c>
      <c r="G764" s="4">
        <v>59</v>
      </c>
      <c r="H764" s="4" t="s">
        <v>17</v>
      </c>
      <c r="I764" s="4" t="s">
        <v>18</v>
      </c>
      <c r="J764" s="4">
        <v>2</v>
      </c>
      <c r="K764" s="5" t="str">
        <f t="shared" si="11"/>
        <v>long</v>
      </c>
    </row>
    <row r="765" spans="1:11" x14ac:dyDescent="0.3">
      <c r="A765" s="3">
        <v>775</v>
      </c>
      <c r="B765" s="4">
        <v>28</v>
      </c>
      <c r="C765" s="4" t="s">
        <v>14</v>
      </c>
      <c r="D765" s="4" t="s">
        <v>33</v>
      </c>
      <c r="E765" s="4" t="s">
        <v>34</v>
      </c>
      <c r="F765" s="4">
        <v>100</v>
      </c>
      <c r="G765" s="4">
        <v>52</v>
      </c>
      <c r="H765" s="4" t="s">
        <v>12</v>
      </c>
      <c r="I765" s="4" t="s">
        <v>13</v>
      </c>
      <c r="J765" s="4">
        <v>5</v>
      </c>
      <c r="K765" s="5" t="str">
        <f t="shared" si="11"/>
        <v>long</v>
      </c>
    </row>
    <row r="766" spans="1:11" x14ac:dyDescent="0.3">
      <c r="A766" s="3">
        <v>776</v>
      </c>
      <c r="B766" s="4">
        <v>52</v>
      </c>
      <c r="C766" s="4" t="s">
        <v>9</v>
      </c>
      <c r="D766" s="4" t="s">
        <v>35</v>
      </c>
      <c r="E766" s="4" t="s">
        <v>36</v>
      </c>
      <c r="F766" s="4">
        <v>800</v>
      </c>
      <c r="G766" s="4">
        <v>53</v>
      </c>
      <c r="H766" s="4" t="s">
        <v>12</v>
      </c>
      <c r="I766" s="4" t="s">
        <v>18</v>
      </c>
      <c r="J766" s="4">
        <v>4</v>
      </c>
      <c r="K766" s="5" t="str">
        <f t="shared" si="11"/>
        <v>long</v>
      </c>
    </row>
    <row r="767" spans="1:11" x14ac:dyDescent="0.3">
      <c r="A767" s="3">
        <v>777</v>
      </c>
      <c r="B767" s="4">
        <v>67</v>
      </c>
      <c r="C767" s="4" t="s">
        <v>14</v>
      </c>
      <c r="D767" s="4" t="s">
        <v>37</v>
      </c>
      <c r="E767" s="4" t="s">
        <v>38</v>
      </c>
      <c r="F767" s="4">
        <v>20000</v>
      </c>
      <c r="G767" s="4">
        <v>60</v>
      </c>
      <c r="H767" s="4" t="s">
        <v>12</v>
      </c>
      <c r="I767" s="4" t="s">
        <v>13</v>
      </c>
      <c r="J767" s="4">
        <v>3</v>
      </c>
      <c r="K767" s="5" t="str">
        <f t="shared" si="11"/>
        <v>long</v>
      </c>
    </row>
    <row r="768" spans="1:11" x14ac:dyDescent="0.3">
      <c r="A768" s="3">
        <v>778</v>
      </c>
      <c r="B768" s="4">
        <v>35</v>
      </c>
      <c r="C768" s="4" t="s">
        <v>9</v>
      </c>
      <c r="D768" s="4" t="s">
        <v>39</v>
      </c>
      <c r="E768" s="4" t="s">
        <v>40</v>
      </c>
      <c r="F768" s="4">
        <v>12000</v>
      </c>
      <c r="G768" s="4">
        <v>54</v>
      </c>
      <c r="H768" s="4" t="s">
        <v>12</v>
      </c>
      <c r="I768" s="4" t="s">
        <v>13</v>
      </c>
      <c r="J768" s="4">
        <v>4</v>
      </c>
      <c r="K768" s="5" t="str">
        <f t="shared" si="11"/>
        <v>long</v>
      </c>
    </row>
    <row r="769" spans="1:11" x14ac:dyDescent="0.3">
      <c r="A769" s="3">
        <v>779</v>
      </c>
      <c r="B769" s="4">
        <v>50</v>
      </c>
      <c r="C769" s="4" t="s">
        <v>14</v>
      </c>
      <c r="D769" s="4" t="s">
        <v>41</v>
      </c>
      <c r="E769" s="4" t="s">
        <v>42</v>
      </c>
      <c r="F769" s="4">
        <v>6000</v>
      </c>
      <c r="G769" s="4">
        <v>55</v>
      </c>
      <c r="H769" s="4" t="s">
        <v>12</v>
      </c>
      <c r="I769" s="4" t="s">
        <v>13</v>
      </c>
      <c r="J769" s="4">
        <v>3</v>
      </c>
      <c r="K769" s="5" t="str">
        <f t="shared" si="11"/>
        <v>long</v>
      </c>
    </row>
    <row r="770" spans="1:11" x14ac:dyDescent="0.3">
      <c r="A770" s="3">
        <v>780</v>
      </c>
      <c r="B770" s="4">
        <v>60</v>
      </c>
      <c r="C770" s="4" t="s">
        <v>9</v>
      </c>
      <c r="D770" s="4" t="s">
        <v>43</v>
      </c>
      <c r="E770" s="4" t="s">
        <v>44</v>
      </c>
      <c r="F770" s="4">
        <v>4000</v>
      </c>
      <c r="G770" s="4">
        <v>56</v>
      </c>
      <c r="H770" s="4" t="s">
        <v>12</v>
      </c>
      <c r="I770" s="4" t="s">
        <v>18</v>
      </c>
      <c r="J770" s="4">
        <v>4</v>
      </c>
      <c r="K770" s="5" t="str">
        <f t="shared" si="11"/>
        <v>long</v>
      </c>
    </row>
    <row r="771" spans="1:11" x14ac:dyDescent="0.3">
      <c r="A771" s="3">
        <v>781</v>
      </c>
      <c r="B771" s="4">
        <v>48</v>
      </c>
      <c r="C771" s="4" t="s">
        <v>9</v>
      </c>
      <c r="D771" s="4" t="s">
        <v>10</v>
      </c>
      <c r="E771" s="4" t="s">
        <v>11</v>
      </c>
      <c r="F771" s="4">
        <v>15000</v>
      </c>
      <c r="G771" s="4">
        <v>57</v>
      </c>
      <c r="H771" s="4" t="s">
        <v>17</v>
      </c>
      <c r="I771" s="4" t="s">
        <v>13</v>
      </c>
      <c r="J771" s="4">
        <v>4</v>
      </c>
      <c r="K771" s="5" t="str">
        <f t="shared" si="11"/>
        <v>long</v>
      </c>
    </row>
    <row r="772" spans="1:11" x14ac:dyDescent="0.3">
      <c r="A772" s="3">
        <v>782</v>
      </c>
      <c r="B772" s="4">
        <v>65</v>
      </c>
      <c r="C772" s="4" t="s">
        <v>14</v>
      </c>
      <c r="D772" s="4" t="s">
        <v>15</v>
      </c>
      <c r="E772" s="4" t="s">
        <v>16</v>
      </c>
      <c r="F772" s="4">
        <v>2000</v>
      </c>
      <c r="G772" s="4">
        <v>55</v>
      </c>
      <c r="H772" s="4" t="s">
        <v>12</v>
      </c>
      <c r="I772" s="4" t="s">
        <v>18</v>
      </c>
      <c r="J772" s="4">
        <v>3</v>
      </c>
      <c r="K772" s="5" t="str">
        <f t="shared" ref="K772:K835" si="12">IF(G772&lt;=3,"short",IF(G772&lt;=7,"medium","long"))</f>
        <v>long</v>
      </c>
    </row>
    <row r="773" spans="1:11" x14ac:dyDescent="0.3">
      <c r="A773" s="3">
        <v>783</v>
      </c>
      <c r="B773" s="4">
        <v>30</v>
      </c>
      <c r="C773" s="4" t="s">
        <v>9</v>
      </c>
      <c r="D773" s="4" t="s">
        <v>19</v>
      </c>
      <c r="E773" s="4" t="s">
        <v>20</v>
      </c>
      <c r="F773" s="4">
        <v>500</v>
      </c>
      <c r="G773" s="4">
        <v>53</v>
      </c>
      <c r="H773" s="4" t="s">
        <v>12</v>
      </c>
      <c r="I773" s="4" t="s">
        <v>13</v>
      </c>
      <c r="J773" s="4">
        <v>5</v>
      </c>
      <c r="K773" s="5" t="str">
        <f t="shared" si="12"/>
        <v>long</v>
      </c>
    </row>
    <row r="774" spans="1:11" x14ac:dyDescent="0.3">
      <c r="A774" s="3">
        <v>785</v>
      </c>
      <c r="B774" s="4">
        <v>55</v>
      </c>
      <c r="C774" s="4" t="s">
        <v>9</v>
      </c>
      <c r="D774" s="4" t="s">
        <v>23</v>
      </c>
      <c r="E774" s="4" t="s">
        <v>24</v>
      </c>
      <c r="F774" s="4">
        <v>25000</v>
      </c>
      <c r="G774" s="4">
        <v>62</v>
      </c>
      <c r="H774" s="4" t="s">
        <v>12</v>
      </c>
      <c r="I774" s="4" t="s">
        <v>13</v>
      </c>
      <c r="J774" s="4">
        <v>4</v>
      </c>
      <c r="K774" s="5" t="str">
        <f t="shared" si="12"/>
        <v>long</v>
      </c>
    </row>
    <row r="775" spans="1:11" x14ac:dyDescent="0.3">
      <c r="A775" s="3">
        <v>786</v>
      </c>
      <c r="B775" s="4">
        <v>68</v>
      </c>
      <c r="C775" s="4" t="s">
        <v>14</v>
      </c>
      <c r="D775" s="4" t="s">
        <v>25</v>
      </c>
      <c r="E775" s="4" t="s">
        <v>26</v>
      </c>
      <c r="F775" s="4">
        <v>1000</v>
      </c>
      <c r="G775" s="4">
        <v>56</v>
      </c>
      <c r="H775" s="4" t="s">
        <v>12</v>
      </c>
      <c r="I775" s="4" t="s">
        <v>18</v>
      </c>
      <c r="J775" s="4">
        <v>4</v>
      </c>
      <c r="K775" s="5" t="str">
        <f t="shared" si="12"/>
        <v>long</v>
      </c>
    </row>
    <row r="776" spans="1:11" x14ac:dyDescent="0.3">
      <c r="A776" s="3">
        <v>787</v>
      </c>
      <c r="B776" s="4">
        <v>45</v>
      </c>
      <c r="C776" s="4" t="s">
        <v>9</v>
      </c>
      <c r="D776" s="4" t="s">
        <v>27</v>
      </c>
      <c r="E776" s="4" t="s">
        <v>28</v>
      </c>
      <c r="F776" s="4">
        <v>8000</v>
      </c>
      <c r="G776" s="4">
        <v>58</v>
      </c>
      <c r="H776" s="4" t="s">
        <v>12</v>
      </c>
      <c r="I776" s="4" t="s">
        <v>13</v>
      </c>
      <c r="J776" s="4">
        <v>3</v>
      </c>
      <c r="K776" s="5" t="str">
        <f t="shared" si="12"/>
        <v>long</v>
      </c>
    </row>
    <row r="777" spans="1:11" x14ac:dyDescent="0.3">
      <c r="A777" s="3">
        <v>788</v>
      </c>
      <c r="B777" s="4">
        <v>40</v>
      </c>
      <c r="C777" s="4" t="s">
        <v>14</v>
      </c>
      <c r="D777" s="4" t="s">
        <v>29</v>
      </c>
      <c r="E777" s="4" t="s">
        <v>30</v>
      </c>
      <c r="F777" s="4">
        <v>3000</v>
      </c>
      <c r="G777" s="4">
        <v>58</v>
      </c>
      <c r="H777" s="4" t="s">
        <v>12</v>
      </c>
      <c r="I777" s="4" t="s">
        <v>13</v>
      </c>
      <c r="J777" s="4">
        <v>4</v>
      </c>
      <c r="K777" s="5" t="str">
        <f t="shared" si="12"/>
        <v>long</v>
      </c>
    </row>
    <row r="778" spans="1:11" x14ac:dyDescent="0.3">
      <c r="A778" s="3">
        <v>789</v>
      </c>
      <c r="B778" s="4">
        <v>78</v>
      </c>
      <c r="C778" s="4" t="s">
        <v>9</v>
      </c>
      <c r="D778" s="4" t="s">
        <v>31</v>
      </c>
      <c r="E778" s="4" t="s">
        <v>32</v>
      </c>
      <c r="F778" s="4">
        <v>18000</v>
      </c>
      <c r="G778" s="4">
        <v>60</v>
      </c>
      <c r="H778" s="4" t="s">
        <v>17</v>
      </c>
      <c r="I778" s="4" t="s">
        <v>18</v>
      </c>
      <c r="J778" s="4">
        <v>2</v>
      </c>
      <c r="K778" s="5" t="str">
        <f t="shared" si="12"/>
        <v>long</v>
      </c>
    </row>
    <row r="779" spans="1:11" x14ac:dyDescent="0.3">
      <c r="A779" s="3">
        <v>790</v>
      </c>
      <c r="B779" s="4">
        <v>25</v>
      </c>
      <c r="C779" s="4" t="s">
        <v>14</v>
      </c>
      <c r="D779" s="4" t="s">
        <v>33</v>
      </c>
      <c r="E779" s="4" t="s">
        <v>34</v>
      </c>
      <c r="F779" s="4">
        <v>100</v>
      </c>
      <c r="G779" s="4">
        <v>53</v>
      </c>
      <c r="H779" s="4" t="s">
        <v>12</v>
      </c>
      <c r="I779" s="4" t="s">
        <v>13</v>
      </c>
      <c r="J779" s="4">
        <v>5</v>
      </c>
      <c r="K779" s="5" t="str">
        <f t="shared" si="12"/>
        <v>long</v>
      </c>
    </row>
    <row r="780" spans="1:11" x14ac:dyDescent="0.3">
      <c r="A780" s="3">
        <v>791</v>
      </c>
      <c r="B780" s="4">
        <v>52</v>
      </c>
      <c r="C780" s="4" t="s">
        <v>9</v>
      </c>
      <c r="D780" s="4" t="s">
        <v>35</v>
      </c>
      <c r="E780" s="4" t="s">
        <v>36</v>
      </c>
      <c r="F780" s="4">
        <v>800</v>
      </c>
      <c r="G780" s="4">
        <v>54</v>
      </c>
      <c r="H780" s="4" t="s">
        <v>12</v>
      </c>
      <c r="I780" s="4" t="s">
        <v>18</v>
      </c>
      <c r="J780" s="4">
        <v>4</v>
      </c>
      <c r="K780" s="5" t="str">
        <f t="shared" si="12"/>
        <v>long</v>
      </c>
    </row>
    <row r="781" spans="1:11" x14ac:dyDescent="0.3">
      <c r="A781" s="3">
        <v>792</v>
      </c>
      <c r="B781" s="4">
        <v>58</v>
      </c>
      <c r="C781" s="4" t="s">
        <v>14</v>
      </c>
      <c r="D781" s="4" t="s">
        <v>37</v>
      </c>
      <c r="E781" s="4" t="s">
        <v>38</v>
      </c>
      <c r="F781" s="4">
        <v>20000</v>
      </c>
      <c r="G781" s="4">
        <v>61</v>
      </c>
      <c r="H781" s="4" t="s">
        <v>12</v>
      </c>
      <c r="I781" s="4" t="s">
        <v>13</v>
      </c>
      <c r="J781" s="4">
        <v>3</v>
      </c>
      <c r="K781" s="5" t="str">
        <f t="shared" si="12"/>
        <v>long</v>
      </c>
    </row>
    <row r="782" spans="1:11" x14ac:dyDescent="0.3">
      <c r="A782" s="3">
        <v>793</v>
      </c>
      <c r="B782" s="4">
        <v>32</v>
      </c>
      <c r="C782" s="4" t="s">
        <v>9</v>
      </c>
      <c r="D782" s="4" t="s">
        <v>39</v>
      </c>
      <c r="E782" s="4" t="s">
        <v>40</v>
      </c>
      <c r="F782" s="4">
        <v>12000</v>
      </c>
      <c r="G782" s="4">
        <v>55</v>
      </c>
      <c r="H782" s="4" t="s">
        <v>12</v>
      </c>
      <c r="I782" s="4" t="s">
        <v>13</v>
      </c>
      <c r="J782" s="4">
        <v>4</v>
      </c>
      <c r="K782" s="5" t="str">
        <f t="shared" si="12"/>
        <v>long</v>
      </c>
    </row>
    <row r="783" spans="1:11" x14ac:dyDescent="0.3">
      <c r="A783" s="3">
        <v>794</v>
      </c>
      <c r="B783" s="4">
        <v>55</v>
      </c>
      <c r="C783" s="4" t="s">
        <v>14</v>
      </c>
      <c r="D783" s="4" t="s">
        <v>41</v>
      </c>
      <c r="E783" s="4" t="s">
        <v>42</v>
      </c>
      <c r="F783" s="4">
        <v>6000</v>
      </c>
      <c r="G783" s="4">
        <v>56</v>
      </c>
      <c r="H783" s="4" t="s">
        <v>12</v>
      </c>
      <c r="I783" s="4" t="s">
        <v>13</v>
      </c>
      <c r="J783" s="4">
        <v>3</v>
      </c>
      <c r="K783" s="5" t="str">
        <f t="shared" si="12"/>
        <v>long</v>
      </c>
    </row>
    <row r="784" spans="1:11" x14ac:dyDescent="0.3">
      <c r="A784" s="3">
        <v>795</v>
      </c>
      <c r="B784" s="4">
        <v>65</v>
      </c>
      <c r="C784" s="4" t="s">
        <v>9</v>
      </c>
      <c r="D784" s="4" t="s">
        <v>43</v>
      </c>
      <c r="E784" s="4" t="s">
        <v>44</v>
      </c>
      <c r="F784" s="4">
        <v>4000</v>
      </c>
      <c r="G784" s="4">
        <v>57</v>
      </c>
      <c r="H784" s="4" t="s">
        <v>12</v>
      </c>
      <c r="I784" s="4" t="s">
        <v>18</v>
      </c>
      <c r="J784" s="4">
        <v>4</v>
      </c>
      <c r="K784" s="5" t="str">
        <f t="shared" si="12"/>
        <v>long</v>
      </c>
    </row>
    <row r="785" spans="1:11" x14ac:dyDescent="0.3">
      <c r="A785" s="3">
        <v>796</v>
      </c>
      <c r="B785" s="4">
        <v>55</v>
      </c>
      <c r="C785" s="4" t="s">
        <v>9</v>
      </c>
      <c r="D785" s="4" t="s">
        <v>10</v>
      </c>
      <c r="E785" s="4" t="s">
        <v>11</v>
      </c>
      <c r="F785" s="4">
        <v>15000</v>
      </c>
      <c r="G785" s="4">
        <v>58</v>
      </c>
      <c r="H785" s="4" t="s">
        <v>17</v>
      </c>
      <c r="I785" s="4" t="s">
        <v>13</v>
      </c>
      <c r="J785" s="4">
        <v>3</v>
      </c>
      <c r="K785" s="5" t="str">
        <f t="shared" si="12"/>
        <v>long</v>
      </c>
    </row>
    <row r="786" spans="1:11" x14ac:dyDescent="0.3">
      <c r="A786" s="3">
        <v>797</v>
      </c>
      <c r="B786" s="4">
        <v>62</v>
      </c>
      <c r="C786" s="4" t="s">
        <v>14</v>
      </c>
      <c r="D786" s="4" t="s">
        <v>15</v>
      </c>
      <c r="E786" s="4" t="s">
        <v>16</v>
      </c>
      <c r="F786" s="4">
        <v>2000</v>
      </c>
      <c r="G786" s="4">
        <v>56</v>
      </c>
      <c r="H786" s="4" t="s">
        <v>12</v>
      </c>
      <c r="I786" s="4" t="s">
        <v>18</v>
      </c>
      <c r="J786" s="4">
        <v>4</v>
      </c>
      <c r="K786" s="5" t="str">
        <f t="shared" si="12"/>
        <v>long</v>
      </c>
    </row>
    <row r="787" spans="1:11" x14ac:dyDescent="0.3">
      <c r="A787" s="3">
        <v>798</v>
      </c>
      <c r="B787" s="4">
        <v>35</v>
      </c>
      <c r="C787" s="4" t="s">
        <v>9</v>
      </c>
      <c r="D787" s="4" t="s">
        <v>19</v>
      </c>
      <c r="E787" s="4" t="s">
        <v>20</v>
      </c>
      <c r="F787" s="4">
        <v>500</v>
      </c>
      <c r="G787" s="4">
        <v>54</v>
      </c>
      <c r="H787" s="4" t="s">
        <v>17</v>
      </c>
      <c r="I787" s="4" t="s">
        <v>13</v>
      </c>
      <c r="J787" s="4">
        <v>5</v>
      </c>
      <c r="K787" s="5" t="str">
        <f t="shared" si="12"/>
        <v>long</v>
      </c>
    </row>
    <row r="788" spans="1:11" x14ac:dyDescent="0.3">
      <c r="A788" s="3">
        <v>799</v>
      </c>
      <c r="B788" s="4">
        <v>78</v>
      </c>
      <c r="C788" s="4" t="s">
        <v>14</v>
      </c>
      <c r="D788" s="4" t="s">
        <v>21</v>
      </c>
      <c r="E788" s="4" t="s">
        <v>22</v>
      </c>
      <c r="F788" s="4">
        <v>10000</v>
      </c>
      <c r="G788" s="4">
        <v>61</v>
      </c>
      <c r="H788" s="4" t="s">
        <v>12</v>
      </c>
      <c r="I788" s="4" t="s">
        <v>18</v>
      </c>
      <c r="J788" s="4">
        <v>2</v>
      </c>
      <c r="K788" s="5" t="str">
        <f t="shared" si="12"/>
        <v>long</v>
      </c>
    </row>
    <row r="789" spans="1:11" x14ac:dyDescent="0.3">
      <c r="A789" s="3">
        <v>800</v>
      </c>
      <c r="B789" s="4">
        <v>53</v>
      </c>
      <c r="C789" s="4" t="s">
        <v>9</v>
      </c>
      <c r="D789" s="4" t="s">
        <v>23</v>
      </c>
      <c r="E789" s="4" t="s">
        <v>24</v>
      </c>
      <c r="F789" s="4">
        <v>25000</v>
      </c>
      <c r="G789" s="4">
        <v>63</v>
      </c>
      <c r="H789" s="4" t="s">
        <v>17</v>
      </c>
      <c r="I789" s="4" t="s">
        <v>13</v>
      </c>
      <c r="J789" s="4">
        <v>4</v>
      </c>
      <c r="K789" s="5" t="str">
        <f t="shared" si="12"/>
        <v>long</v>
      </c>
    </row>
    <row r="790" spans="1:11" x14ac:dyDescent="0.3">
      <c r="A790" s="3">
        <v>801</v>
      </c>
      <c r="B790" s="4">
        <v>72</v>
      </c>
      <c r="C790" s="4" t="s">
        <v>14</v>
      </c>
      <c r="D790" s="4" t="s">
        <v>25</v>
      </c>
      <c r="E790" s="4" t="s">
        <v>26</v>
      </c>
      <c r="F790" s="4">
        <v>1000</v>
      </c>
      <c r="G790" s="4">
        <v>57</v>
      </c>
      <c r="H790" s="4" t="s">
        <v>12</v>
      </c>
      <c r="I790" s="4" t="s">
        <v>18</v>
      </c>
      <c r="J790" s="4">
        <v>4</v>
      </c>
      <c r="K790" s="5" t="str">
        <f t="shared" si="12"/>
        <v>long</v>
      </c>
    </row>
    <row r="791" spans="1:11" x14ac:dyDescent="0.3">
      <c r="A791" s="3">
        <v>802</v>
      </c>
      <c r="B791" s="4">
        <v>60</v>
      </c>
      <c r="C791" s="4" t="s">
        <v>9</v>
      </c>
      <c r="D791" s="4" t="s">
        <v>27</v>
      </c>
      <c r="E791" s="4" t="s">
        <v>28</v>
      </c>
      <c r="F791" s="4">
        <v>8000</v>
      </c>
      <c r="G791" s="4">
        <v>59</v>
      </c>
      <c r="H791" s="4" t="s">
        <v>17</v>
      </c>
      <c r="I791" s="4" t="s">
        <v>13</v>
      </c>
      <c r="J791" s="4">
        <v>3</v>
      </c>
      <c r="K791" s="5" t="str">
        <f t="shared" si="12"/>
        <v>long</v>
      </c>
    </row>
    <row r="792" spans="1:11" x14ac:dyDescent="0.3">
      <c r="A792" s="3">
        <v>803</v>
      </c>
      <c r="B792" s="4">
        <v>45</v>
      </c>
      <c r="C792" s="4" t="s">
        <v>14</v>
      </c>
      <c r="D792" s="4" t="s">
        <v>29</v>
      </c>
      <c r="E792" s="4" t="s">
        <v>30</v>
      </c>
      <c r="F792" s="4">
        <v>3000</v>
      </c>
      <c r="G792" s="4">
        <v>59</v>
      </c>
      <c r="H792" s="4" t="s">
        <v>12</v>
      </c>
      <c r="I792" s="4" t="s">
        <v>13</v>
      </c>
      <c r="J792" s="4">
        <v>4</v>
      </c>
      <c r="K792" s="5" t="str">
        <f t="shared" si="12"/>
        <v>long</v>
      </c>
    </row>
    <row r="793" spans="1:11" x14ac:dyDescent="0.3">
      <c r="A793" s="3">
        <v>804</v>
      </c>
      <c r="B793" s="4">
        <v>75</v>
      </c>
      <c r="C793" s="4" t="s">
        <v>9</v>
      </c>
      <c r="D793" s="4" t="s">
        <v>31</v>
      </c>
      <c r="E793" s="4" t="s">
        <v>32</v>
      </c>
      <c r="F793" s="4">
        <v>18000</v>
      </c>
      <c r="G793" s="4">
        <v>61</v>
      </c>
      <c r="H793" s="4" t="s">
        <v>17</v>
      </c>
      <c r="I793" s="4" t="s">
        <v>18</v>
      </c>
      <c r="J793" s="4">
        <v>2</v>
      </c>
      <c r="K793" s="5" t="str">
        <f t="shared" si="12"/>
        <v>long</v>
      </c>
    </row>
    <row r="794" spans="1:11" x14ac:dyDescent="0.3">
      <c r="A794" s="3">
        <v>805</v>
      </c>
      <c r="B794" s="4">
        <v>28</v>
      </c>
      <c r="C794" s="4" t="s">
        <v>14</v>
      </c>
      <c r="D794" s="4" t="s">
        <v>33</v>
      </c>
      <c r="E794" s="4" t="s">
        <v>34</v>
      </c>
      <c r="F794" s="4">
        <v>100</v>
      </c>
      <c r="G794" s="4">
        <v>54</v>
      </c>
      <c r="H794" s="4" t="s">
        <v>12</v>
      </c>
      <c r="I794" s="4" t="s">
        <v>13</v>
      </c>
      <c r="J794" s="4">
        <v>5</v>
      </c>
      <c r="K794" s="5" t="str">
        <f t="shared" si="12"/>
        <v>long</v>
      </c>
    </row>
    <row r="795" spans="1:11" x14ac:dyDescent="0.3">
      <c r="A795" s="3">
        <v>806</v>
      </c>
      <c r="B795" s="4">
        <v>52</v>
      </c>
      <c r="C795" s="4" t="s">
        <v>9</v>
      </c>
      <c r="D795" s="4" t="s">
        <v>35</v>
      </c>
      <c r="E795" s="4" t="s">
        <v>36</v>
      </c>
      <c r="F795" s="4">
        <v>800</v>
      </c>
      <c r="G795" s="4">
        <v>55</v>
      </c>
      <c r="H795" s="4" t="s">
        <v>12</v>
      </c>
      <c r="I795" s="4" t="s">
        <v>18</v>
      </c>
      <c r="J795" s="4">
        <v>4</v>
      </c>
      <c r="K795" s="5" t="str">
        <f t="shared" si="12"/>
        <v>long</v>
      </c>
    </row>
    <row r="796" spans="1:11" x14ac:dyDescent="0.3">
      <c r="A796" s="3">
        <v>807</v>
      </c>
      <c r="B796" s="4">
        <v>67</v>
      </c>
      <c r="C796" s="4" t="s">
        <v>14</v>
      </c>
      <c r="D796" s="4" t="s">
        <v>37</v>
      </c>
      <c r="E796" s="4" t="s">
        <v>38</v>
      </c>
      <c r="F796" s="4">
        <v>20000</v>
      </c>
      <c r="G796" s="4">
        <v>62</v>
      </c>
      <c r="H796" s="4" t="s">
        <v>12</v>
      </c>
      <c r="I796" s="4" t="s">
        <v>13</v>
      </c>
      <c r="J796" s="4">
        <v>3</v>
      </c>
      <c r="K796" s="5" t="str">
        <f t="shared" si="12"/>
        <v>long</v>
      </c>
    </row>
    <row r="797" spans="1:11" x14ac:dyDescent="0.3">
      <c r="A797" s="3">
        <v>808</v>
      </c>
      <c r="B797" s="4">
        <v>35</v>
      </c>
      <c r="C797" s="4" t="s">
        <v>9</v>
      </c>
      <c r="D797" s="4" t="s">
        <v>39</v>
      </c>
      <c r="E797" s="4" t="s">
        <v>40</v>
      </c>
      <c r="F797" s="4">
        <v>12000</v>
      </c>
      <c r="G797" s="4">
        <v>56</v>
      </c>
      <c r="H797" s="4" t="s">
        <v>12</v>
      </c>
      <c r="I797" s="4" t="s">
        <v>13</v>
      </c>
      <c r="J797" s="4">
        <v>4</v>
      </c>
      <c r="K797" s="5" t="str">
        <f t="shared" si="12"/>
        <v>long</v>
      </c>
    </row>
    <row r="798" spans="1:11" x14ac:dyDescent="0.3">
      <c r="A798" s="3">
        <v>809</v>
      </c>
      <c r="B798" s="4">
        <v>50</v>
      </c>
      <c r="C798" s="4" t="s">
        <v>14</v>
      </c>
      <c r="D798" s="4" t="s">
        <v>41</v>
      </c>
      <c r="E798" s="4" t="s">
        <v>42</v>
      </c>
      <c r="F798" s="4">
        <v>6000</v>
      </c>
      <c r="G798" s="4">
        <v>57</v>
      </c>
      <c r="H798" s="4" t="s">
        <v>12</v>
      </c>
      <c r="I798" s="4" t="s">
        <v>13</v>
      </c>
      <c r="J798" s="4">
        <v>3</v>
      </c>
      <c r="K798" s="5" t="str">
        <f t="shared" si="12"/>
        <v>long</v>
      </c>
    </row>
    <row r="799" spans="1:11" x14ac:dyDescent="0.3">
      <c r="A799" s="3">
        <v>810</v>
      </c>
      <c r="B799" s="4">
        <v>60</v>
      </c>
      <c r="C799" s="4" t="s">
        <v>9</v>
      </c>
      <c r="D799" s="4" t="s">
        <v>43</v>
      </c>
      <c r="E799" s="4" t="s">
        <v>44</v>
      </c>
      <c r="F799" s="4">
        <v>4000</v>
      </c>
      <c r="G799" s="4">
        <v>58</v>
      </c>
      <c r="H799" s="4" t="s">
        <v>12</v>
      </c>
      <c r="I799" s="4" t="s">
        <v>18</v>
      </c>
      <c r="J799" s="4">
        <v>4</v>
      </c>
      <c r="K799" s="5" t="str">
        <f t="shared" si="12"/>
        <v>long</v>
      </c>
    </row>
    <row r="800" spans="1:11" x14ac:dyDescent="0.3">
      <c r="A800" s="3">
        <v>811</v>
      </c>
      <c r="B800" s="4">
        <v>48</v>
      </c>
      <c r="C800" s="4" t="s">
        <v>9</v>
      </c>
      <c r="D800" s="4" t="s">
        <v>10</v>
      </c>
      <c r="E800" s="4" t="s">
        <v>11</v>
      </c>
      <c r="F800" s="4">
        <v>15000</v>
      </c>
      <c r="G800" s="4">
        <v>59</v>
      </c>
      <c r="H800" s="4" t="s">
        <v>17</v>
      </c>
      <c r="I800" s="4" t="s">
        <v>13</v>
      </c>
      <c r="J800" s="4">
        <v>4</v>
      </c>
      <c r="K800" s="5" t="str">
        <f t="shared" si="12"/>
        <v>long</v>
      </c>
    </row>
    <row r="801" spans="1:11" x14ac:dyDescent="0.3">
      <c r="A801" s="3">
        <v>812</v>
      </c>
      <c r="B801" s="4">
        <v>65</v>
      </c>
      <c r="C801" s="4" t="s">
        <v>14</v>
      </c>
      <c r="D801" s="4" t="s">
        <v>15</v>
      </c>
      <c r="E801" s="4" t="s">
        <v>16</v>
      </c>
      <c r="F801" s="4">
        <v>2000</v>
      </c>
      <c r="G801" s="4">
        <v>57</v>
      </c>
      <c r="H801" s="4" t="s">
        <v>12</v>
      </c>
      <c r="I801" s="4" t="s">
        <v>18</v>
      </c>
      <c r="J801" s="4">
        <v>3</v>
      </c>
      <c r="K801" s="5" t="str">
        <f t="shared" si="12"/>
        <v>long</v>
      </c>
    </row>
    <row r="802" spans="1:11" x14ac:dyDescent="0.3">
      <c r="A802" s="3">
        <v>813</v>
      </c>
      <c r="B802" s="4">
        <v>30</v>
      </c>
      <c r="C802" s="4" t="s">
        <v>9</v>
      </c>
      <c r="D802" s="4" t="s">
        <v>19</v>
      </c>
      <c r="E802" s="4" t="s">
        <v>20</v>
      </c>
      <c r="F802" s="4">
        <v>500</v>
      </c>
      <c r="G802" s="4">
        <v>55</v>
      </c>
      <c r="H802" s="4" t="s">
        <v>12</v>
      </c>
      <c r="I802" s="4" t="s">
        <v>13</v>
      </c>
      <c r="J802" s="4">
        <v>5</v>
      </c>
      <c r="K802" s="5" t="str">
        <f t="shared" si="12"/>
        <v>long</v>
      </c>
    </row>
    <row r="803" spans="1:11" x14ac:dyDescent="0.3">
      <c r="A803" s="3">
        <v>814</v>
      </c>
      <c r="B803" s="4">
        <v>70</v>
      </c>
      <c r="C803" s="4" t="s">
        <v>14</v>
      </c>
      <c r="D803" s="4" t="s">
        <v>21</v>
      </c>
      <c r="E803" s="4" t="s">
        <v>22</v>
      </c>
      <c r="F803" s="4">
        <v>10000</v>
      </c>
      <c r="G803" s="4">
        <v>62</v>
      </c>
      <c r="H803" s="4" t="s">
        <v>17</v>
      </c>
      <c r="I803" s="4" t="s">
        <v>18</v>
      </c>
      <c r="J803" s="4">
        <v>2</v>
      </c>
      <c r="K803" s="5" t="str">
        <f t="shared" si="12"/>
        <v>long</v>
      </c>
    </row>
    <row r="804" spans="1:11" x14ac:dyDescent="0.3">
      <c r="A804" s="3">
        <v>815</v>
      </c>
      <c r="B804" s="4">
        <v>55</v>
      </c>
      <c r="C804" s="4" t="s">
        <v>9</v>
      </c>
      <c r="D804" s="4" t="s">
        <v>23</v>
      </c>
      <c r="E804" s="4" t="s">
        <v>24</v>
      </c>
      <c r="F804" s="4">
        <v>25000</v>
      </c>
      <c r="G804" s="4">
        <v>64</v>
      </c>
      <c r="H804" s="4" t="s">
        <v>12</v>
      </c>
      <c r="I804" s="4" t="s">
        <v>13</v>
      </c>
      <c r="J804" s="4">
        <v>4</v>
      </c>
      <c r="K804" s="5" t="str">
        <f t="shared" si="12"/>
        <v>long</v>
      </c>
    </row>
    <row r="805" spans="1:11" x14ac:dyDescent="0.3">
      <c r="A805" s="3">
        <v>816</v>
      </c>
      <c r="B805" s="4">
        <v>68</v>
      </c>
      <c r="C805" s="4" t="s">
        <v>14</v>
      </c>
      <c r="D805" s="4" t="s">
        <v>25</v>
      </c>
      <c r="E805" s="4" t="s">
        <v>26</v>
      </c>
      <c r="F805" s="4">
        <v>1000</v>
      </c>
      <c r="G805" s="4">
        <v>58</v>
      </c>
      <c r="H805" s="4" t="s">
        <v>12</v>
      </c>
      <c r="I805" s="4" t="s">
        <v>18</v>
      </c>
      <c r="J805" s="4">
        <v>4</v>
      </c>
      <c r="K805" s="5" t="str">
        <f t="shared" si="12"/>
        <v>long</v>
      </c>
    </row>
    <row r="806" spans="1:11" x14ac:dyDescent="0.3">
      <c r="A806" s="3">
        <v>817</v>
      </c>
      <c r="B806" s="4">
        <v>45</v>
      </c>
      <c r="C806" s="4" t="s">
        <v>9</v>
      </c>
      <c r="D806" s="4" t="s">
        <v>27</v>
      </c>
      <c r="E806" s="4" t="s">
        <v>28</v>
      </c>
      <c r="F806" s="4">
        <v>8000</v>
      </c>
      <c r="G806" s="4">
        <v>60</v>
      </c>
      <c r="H806" s="4" t="s">
        <v>12</v>
      </c>
      <c r="I806" s="4" t="s">
        <v>13</v>
      </c>
      <c r="J806" s="4">
        <v>3</v>
      </c>
      <c r="K806" s="5" t="str">
        <f t="shared" si="12"/>
        <v>long</v>
      </c>
    </row>
    <row r="807" spans="1:11" x14ac:dyDescent="0.3">
      <c r="A807" s="3">
        <v>818</v>
      </c>
      <c r="B807" s="4">
        <v>40</v>
      </c>
      <c r="C807" s="4" t="s">
        <v>14</v>
      </c>
      <c r="D807" s="4" t="s">
        <v>29</v>
      </c>
      <c r="E807" s="4" t="s">
        <v>30</v>
      </c>
      <c r="F807" s="4">
        <v>3000</v>
      </c>
      <c r="G807" s="4">
        <v>60</v>
      </c>
      <c r="H807" s="4" t="s">
        <v>12</v>
      </c>
      <c r="I807" s="4" t="s">
        <v>13</v>
      </c>
      <c r="J807" s="4">
        <v>4</v>
      </c>
      <c r="K807" s="5" t="str">
        <f t="shared" si="12"/>
        <v>long</v>
      </c>
    </row>
    <row r="808" spans="1:11" x14ac:dyDescent="0.3">
      <c r="A808" s="3">
        <v>819</v>
      </c>
      <c r="B808" s="4">
        <v>78</v>
      </c>
      <c r="C808" s="4" t="s">
        <v>9</v>
      </c>
      <c r="D808" s="4" t="s">
        <v>31</v>
      </c>
      <c r="E808" s="4" t="s">
        <v>32</v>
      </c>
      <c r="F808" s="4">
        <v>18000</v>
      </c>
      <c r="G808" s="4">
        <v>62</v>
      </c>
      <c r="H808" s="4" t="s">
        <v>17</v>
      </c>
      <c r="I808" s="4" t="s">
        <v>18</v>
      </c>
      <c r="J808" s="4">
        <v>2</v>
      </c>
      <c r="K808" s="5" t="str">
        <f t="shared" si="12"/>
        <v>long</v>
      </c>
    </row>
    <row r="809" spans="1:11" x14ac:dyDescent="0.3">
      <c r="A809" s="3">
        <v>820</v>
      </c>
      <c r="B809" s="4">
        <v>25</v>
      </c>
      <c r="C809" s="4" t="s">
        <v>14</v>
      </c>
      <c r="D809" s="4" t="s">
        <v>33</v>
      </c>
      <c r="E809" s="4" t="s">
        <v>34</v>
      </c>
      <c r="F809" s="4">
        <v>100</v>
      </c>
      <c r="G809" s="4">
        <v>55</v>
      </c>
      <c r="H809" s="4" t="s">
        <v>12</v>
      </c>
      <c r="I809" s="4" t="s">
        <v>13</v>
      </c>
      <c r="J809" s="4">
        <v>5</v>
      </c>
      <c r="K809" s="5" t="str">
        <f t="shared" si="12"/>
        <v>long</v>
      </c>
    </row>
    <row r="810" spans="1:11" x14ac:dyDescent="0.3">
      <c r="A810" s="3">
        <v>821</v>
      </c>
      <c r="B810" s="4">
        <v>52</v>
      </c>
      <c r="C810" s="4" t="s">
        <v>9</v>
      </c>
      <c r="D810" s="4" t="s">
        <v>35</v>
      </c>
      <c r="E810" s="4" t="s">
        <v>36</v>
      </c>
      <c r="F810" s="4">
        <v>800</v>
      </c>
      <c r="G810" s="4">
        <v>56</v>
      </c>
      <c r="H810" s="4" t="s">
        <v>12</v>
      </c>
      <c r="I810" s="4" t="s">
        <v>18</v>
      </c>
      <c r="J810" s="4">
        <v>4</v>
      </c>
      <c r="K810" s="5" t="str">
        <f t="shared" si="12"/>
        <v>long</v>
      </c>
    </row>
    <row r="811" spans="1:11" x14ac:dyDescent="0.3">
      <c r="A811" s="3">
        <v>822</v>
      </c>
      <c r="B811" s="4">
        <v>58</v>
      </c>
      <c r="C811" s="4" t="s">
        <v>14</v>
      </c>
      <c r="D811" s="4" t="s">
        <v>37</v>
      </c>
      <c r="E811" s="4" t="s">
        <v>38</v>
      </c>
      <c r="F811" s="4">
        <v>20000</v>
      </c>
      <c r="G811" s="4">
        <v>63</v>
      </c>
      <c r="H811" s="4" t="s">
        <v>12</v>
      </c>
      <c r="I811" s="4" t="s">
        <v>13</v>
      </c>
      <c r="J811" s="4">
        <v>3</v>
      </c>
      <c r="K811" s="5" t="str">
        <f t="shared" si="12"/>
        <v>long</v>
      </c>
    </row>
    <row r="812" spans="1:11" x14ac:dyDescent="0.3">
      <c r="A812" s="3">
        <v>823</v>
      </c>
      <c r="B812" s="4">
        <v>32</v>
      </c>
      <c r="C812" s="4" t="s">
        <v>9</v>
      </c>
      <c r="D812" s="4" t="s">
        <v>39</v>
      </c>
      <c r="E812" s="4" t="s">
        <v>40</v>
      </c>
      <c r="F812" s="4">
        <v>12000</v>
      </c>
      <c r="G812" s="4">
        <v>57</v>
      </c>
      <c r="H812" s="4" t="s">
        <v>12</v>
      </c>
      <c r="I812" s="4" t="s">
        <v>13</v>
      </c>
      <c r="J812" s="4">
        <v>4</v>
      </c>
      <c r="K812" s="5" t="str">
        <f t="shared" si="12"/>
        <v>long</v>
      </c>
    </row>
    <row r="813" spans="1:11" x14ac:dyDescent="0.3">
      <c r="A813" s="3">
        <v>824</v>
      </c>
      <c r="B813" s="4">
        <v>55</v>
      </c>
      <c r="C813" s="4" t="s">
        <v>14</v>
      </c>
      <c r="D813" s="4" t="s">
        <v>41</v>
      </c>
      <c r="E813" s="4" t="s">
        <v>42</v>
      </c>
      <c r="F813" s="4">
        <v>6000</v>
      </c>
      <c r="G813" s="4">
        <v>58</v>
      </c>
      <c r="H813" s="4" t="s">
        <v>12</v>
      </c>
      <c r="I813" s="4" t="s">
        <v>13</v>
      </c>
      <c r="J813" s="4">
        <v>3</v>
      </c>
      <c r="K813" s="5" t="str">
        <f t="shared" si="12"/>
        <v>long</v>
      </c>
    </row>
    <row r="814" spans="1:11" x14ac:dyDescent="0.3">
      <c r="A814" s="3">
        <v>825</v>
      </c>
      <c r="B814" s="4">
        <v>65</v>
      </c>
      <c r="C814" s="4" t="s">
        <v>9</v>
      </c>
      <c r="D814" s="4" t="s">
        <v>43</v>
      </c>
      <c r="E814" s="4" t="s">
        <v>44</v>
      </c>
      <c r="F814" s="4">
        <v>4000</v>
      </c>
      <c r="G814" s="4">
        <v>59</v>
      </c>
      <c r="H814" s="4" t="s">
        <v>12</v>
      </c>
      <c r="I814" s="4" t="s">
        <v>18</v>
      </c>
      <c r="J814" s="4">
        <v>4</v>
      </c>
      <c r="K814" s="5" t="str">
        <f t="shared" si="12"/>
        <v>long</v>
      </c>
    </row>
    <row r="815" spans="1:11" x14ac:dyDescent="0.3">
      <c r="A815" s="3">
        <v>826</v>
      </c>
      <c r="B815" s="4">
        <v>55</v>
      </c>
      <c r="C815" s="4" t="s">
        <v>9</v>
      </c>
      <c r="D815" s="4" t="s">
        <v>10</v>
      </c>
      <c r="E815" s="4" t="s">
        <v>11</v>
      </c>
      <c r="F815" s="4">
        <v>15000</v>
      </c>
      <c r="G815" s="4">
        <v>60</v>
      </c>
      <c r="H815" s="4" t="s">
        <v>17</v>
      </c>
      <c r="I815" s="4" t="s">
        <v>13</v>
      </c>
      <c r="J815" s="4">
        <v>3</v>
      </c>
      <c r="K815" s="5" t="str">
        <f t="shared" si="12"/>
        <v>long</v>
      </c>
    </row>
    <row r="816" spans="1:11" x14ac:dyDescent="0.3">
      <c r="A816" s="3">
        <v>827</v>
      </c>
      <c r="B816" s="4">
        <v>62</v>
      </c>
      <c r="C816" s="4" t="s">
        <v>14</v>
      </c>
      <c r="D816" s="4" t="s">
        <v>15</v>
      </c>
      <c r="E816" s="4" t="s">
        <v>16</v>
      </c>
      <c r="F816" s="4">
        <v>2000</v>
      </c>
      <c r="G816" s="4">
        <v>58</v>
      </c>
      <c r="H816" s="4" t="s">
        <v>12</v>
      </c>
      <c r="I816" s="4" t="s">
        <v>18</v>
      </c>
      <c r="J816" s="4">
        <v>4</v>
      </c>
      <c r="K816" s="5" t="str">
        <f t="shared" si="12"/>
        <v>long</v>
      </c>
    </row>
    <row r="817" spans="1:11" x14ac:dyDescent="0.3">
      <c r="A817" s="3">
        <v>828</v>
      </c>
      <c r="B817" s="4">
        <v>35</v>
      </c>
      <c r="C817" s="4" t="s">
        <v>9</v>
      </c>
      <c r="D817" s="4" t="s">
        <v>19</v>
      </c>
      <c r="E817" s="4" t="s">
        <v>20</v>
      </c>
      <c r="F817" s="4">
        <v>500</v>
      </c>
      <c r="G817" s="4">
        <v>56</v>
      </c>
      <c r="H817" s="4" t="s">
        <v>17</v>
      </c>
      <c r="I817" s="4" t="s">
        <v>13</v>
      </c>
      <c r="J817" s="4">
        <v>5</v>
      </c>
      <c r="K817" s="5" t="str">
        <f t="shared" si="12"/>
        <v>long</v>
      </c>
    </row>
    <row r="818" spans="1:11" x14ac:dyDescent="0.3">
      <c r="A818" s="3">
        <v>829</v>
      </c>
      <c r="B818" s="4">
        <v>78</v>
      </c>
      <c r="C818" s="4" t="s">
        <v>14</v>
      </c>
      <c r="D818" s="4" t="s">
        <v>21</v>
      </c>
      <c r="E818" s="4" t="s">
        <v>22</v>
      </c>
      <c r="F818" s="4">
        <v>10000</v>
      </c>
      <c r="G818" s="4">
        <v>63</v>
      </c>
      <c r="H818" s="4" t="s">
        <v>12</v>
      </c>
      <c r="I818" s="4" t="s">
        <v>18</v>
      </c>
      <c r="J818" s="4">
        <v>2</v>
      </c>
      <c r="K818" s="5" t="str">
        <f t="shared" si="12"/>
        <v>long</v>
      </c>
    </row>
    <row r="819" spans="1:11" x14ac:dyDescent="0.3">
      <c r="A819" s="3">
        <v>830</v>
      </c>
      <c r="B819" s="4">
        <v>53</v>
      </c>
      <c r="C819" s="4" t="s">
        <v>9</v>
      </c>
      <c r="D819" s="4" t="s">
        <v>23</v>
      </c>
      <c r="E819" s="4" t="s">
        <v>24</v>
      </c>
      <c r="F819" s="4">
        <v>25000</v>
      </c>
      <c r="G819" s="4">
        <v>65</v>
      </c>
      <c r="H819" s="4" t="s">
        <v>17</v>
      </c>
      <c r="I819" s="4" t="s">
        <v>13</v>
      </c>
      <c r="J819" s="4">
        <v>4</v>
      </c>
      <c r="K819" s="5" t="str">
        <f t="shared" si="12"/>
        <v>long</v>
      </c>
    </row>
    <row r="820" spans="1:11" x14ac:dyDescent="0.3">
      <c r="A820" s="3">
        <v>831</v>
      </c>
      <c r="B820" s="4">
        <v>72</v>
      </c>
      <c r="C820" s="4" t="s">
        <v>14</v>
      </c>
      <c r="D820" s="4" t="s">
        <v>25</v>
      </c>
      <c r="E820" s="4" t="s">
        <v>26</v>
      </c>
      <c r="F820" s="4">
        <v>1000</v>
      </c>
      <c r="G820" s="4">
        <v>59</v>
      </c>
      <c r="H820" s="4" t="s">
        <v>12</v>
      </c>
      <c r="I820" s="4" t="s">
        <v>18</v>
      </c>
      <c r="J820" s="4">
        <v>4</v>
      </c>
      <c r="K820" s="5" t="str">
        <f t="shared" si="12"/>
        <v>long</v>
      </c>
    </row>
    <row r="821" spans="1:11" x14ac:dyDescent="0.3">
      <c r="A821" s="3">
        <v>832</v>
      </c>
      <c r="B821" s="4">
        <v>60</v>
      </c>
      <c r="C821" s="4" t="s">
        <v>9</v>
      </c>
      <c r="D821" s="4" t="s">
        <v>27</v>
      </c>
      <c r="E821" s="4" t="s">
        <v>28</v>
      </c>
      <c r="F821" s="4">
        <v>8000</v>
      </c>
      <c r="G821" s="4">
        <v>61</v>
      </c>
      <c r="H821" s="4" t="s">
        <v>17</v>
      </c>
      <c r="I821" s="4" t="s">
        <v>13</v>
      </c>
      <c r="J821" s="4">
        <v>3</v>
      </c>
      <c r="K821" s="5" t="str">
        <f t="shared" si="12"/>
        <v>long</v>
      </c>
    </row>
    <row r="822" spans="1:11" x14ac:dyDescent="0.3">
      <c r="A822" s="3">
        <v>833</v>
      </c>
      <c r="B822" s="4">
        <v>45</v>
      </c>
      <c r="C822" s="4" t="s">
        <v>14</v>
      </c>
      <c r="D822" s="4" t="s">
        <v>29</v>
      </c>
      <c r="E822" s="4" t="s">
        <v>30</v>
      </c>
      <c r="F822" s="4">
        <v>3000</v>
      </c>
      <c r="G822" s="4">
        <v>61</v>
      </c>
      <c r="H822" s="4" t="s">
        <v>12</v>
      </c>
      <c r="I822" s="4" t="s">
        <v>13</v>
      </c>
      <c r="J822" s="4">
        <v>4</v>
      </c>
      <c r="K822" s="5" t="str">
        <f t="shared" si="12"/>
        <v>long</v>
      </c>
    </row>
    <row r="823" spans="1:11" x14ac:dyDescent="0.3">
      <c r="A823" s="3">
        <v>834</v>
      </c>
      <c r="B823" s="4">
        <v>75</v>
      </c>
      <c r="C823" s="4" t="s">
        <v>9</v>
      </c>
      <c r="D823" s="4" t="s">
        <v>31</v>
      </c>
      <c r="E823" s="4" t="s">
        <v>32</v>
      </c>
      <c r="F823" s="4">
        <v>18000</v>
      </c>
      <c r="G823" s="4">
        <v>63</v>
      </c>
      <c r="H823" s="4" t="s">
        <v>17</v>
      </c>
      <c r="I823" s="4" t="s">
        <v>18</v>
      </c>
      <c r="J823" s="4">
        <v>2</v>
      </c>
      <c r="K823" s="5" t="str">
        <f t="shared" si="12"/>
        <v>long</v>
      </c>
    </row>
    <row r="824" spans="1:11" x14ac:dyDescent="0.3">
      <c r="A824" s="3">
        <v>835</v>
      </c>
      <c r="B824" s="4">
        <v>28</v>
      </c>
      <c r="C824" s="4" t="s">
        <v>14</v>
      </c>
      <c r="D824" s="4" t="s">
        <v>33</v>
      </c>
      <c r="E824" s="4" t="s">
        <v>34</v>
      </c>
      <c r="F824" s="4">
        <v>100</v>
      </c>
      <c r="G824" s="4">
        <v>56</v>
      </c>
      <c r="H824" s="4" t="s">
        <v>12</v>
      </c>
      <c r="I824" s="4" t="s">
        <v>13</v>
      </c>
      <c r="J824" s="4">
        <v>5</v>
      </c>
      <c r="K824" s="5" t="str">
        <f t="shared" si="12"/>
        <v>long</v>
      </c>
    </row>
    <row r="825" spans="1:11" x14ac:dyDescent="0.3">
      <c r="A825" s="3">
        <v>836</v>
      </c>
      <c r="B825" s="4">
        <v>52</v>
      </c>
      <c r="C825" s="4" t="s">
        <v>9</v>
      </c>
      <c r="D825" s="4" t="s">
        <v>35</v>
      </c>
      <c r="E825" s="4" t="s">
        <v>36</v>
      </c>
      <c r="F825" s="4">
        <v>800</v>
      </c>
      <c r="G825" s="4">
        <v>57</v>
      </c>
      <c r="H825" s="4" t="s">
        <v>12</v>
      </c>
      <c r="I825" s="4" t="s">
        <v>18</v>
      </c>
      <c r="J825" s="4">
        <v>4</v>
      </c>
      <c r="K825" s="5" t="str">
        <f t="shared" si="12"/>
        <v>long</v>
      </c>
    </row>
    <row r="826" spans="1:11" x14ac:dyDescent="0.3">
      <c r="A826" s="3">
        <v>837</v>
      </c>
      <c r="B826" s="4">
        <v>67</v>
      </c>
      <c r="C826" s="4" t="s">
        <v>14</v>
      </c>
      <c r="D826" s="4" t="s">
        <v>37</v>
      </c>
      <c r="E826" s="4" t="s">
        <v>38</v>
      </c>
      <c r="F826" s="4">
        <v>20000</v>
      </c>
      <c r="G826" s="4">
        <v>64</v>
      </c>
      <c r="H826" s="4" t="s">
        <v>12</v>
      </c>
      <c r="I826" s="4" t="s">
        <v>13</v>
      </c>
      <c r="J826" s="4">
        <v>3</v>
      </c>
      <c r="K826" s="5" t="str">
        <f t="shared" si="12"/>
        <v>long</v>
      </c>
    </row>
    <row r="827" spans="1:11" x14ac:dyDescent="0.3">
      <c r="A827" s="3">
        <v>838</v>
      </c>
      <c r="B827" s="4">
        <v>35</v>
      </c>
      <c r="C827" s="4" t="s">
        <v>9</v>
      </c>
      <c r="D827" s="4" t="s">
        <v>39</v>
      </c>
      <c r="E827" s="4" t="s">
        <v>40</v>
      </c>
      <c r="F827" s="4">
        <v>12000</v>
      </c>
      <c r="G827" s="4">
        <v>58</v>
      </c>
      <c r="H827" s="4" t="s">
        <v>12</v>
      </c>
      <c r="I827" s="4" t="s">
        <v>13</v>
      </c>
      <c r="J827" s="4">
        <v>4</v>
      </c>
      <c r="K827" s="5" t="str">
        <f t="shared" si="12"/>
        <v>long</v>
      </c>
    </row>
    <row r="828" spans="1:11" x14ac:dyDescent="0.3">
      <c r="A828" s="3">
        <v>839</v>
      </c>
      <c r="B828" s="4">
        <v>50</v>
      </c>
      <c r="C828" s="4" t="s">
        <v>14</v>
      </c>
      <c r="D828" s="4" t="s">
        <v>41</v>
      </c>
      <c r="E828" s="4" t="s">
        <v>42</v>
      </c>
      <c r="F828" s="4">
        <v>6000</v>
      </c>
      <c r="G828" s="4">
        <v>59</v>
      </c>
      <c r="H828" s="4" t="s">
        <v>12</v>
      </c>
      <c r="I828" s="4" t="s">
        <v>13</v>
      </c>
      <c r="J828" s="4">
        <v>3</v>
      </c>
      <c r="K828" s="5" t="str">
        <f t="shared" si="12"/>
        <v>long</v>
      </c>
    </row>
    <row r="829" spans="1:11" x14ac:dyDescent="0.3">
      <c r="A829" s="3">
        <v>840</v>
      </c>
      <c r="B829" s="4">
        <v>60</v>
      </c>
      <c r="C829" s="4" t="s">
        <v>9</v>
      </c>
      <c r="D829" s="4" t="s">
        <v>43</v>
      </c>
      <c r="E829" s="4" t="s">
        <v>44</v>
      </c>
      <c r="F829" s="4">
        <v>4000</v>
      </c>
      <c r="G829" s="4">
        <v>60</v>
      </c>
      <c r="H829" s="4" t="s">
        <v>12</v>
      </c>
      <c r="I829" s="4" t="s">
        <v>18</v>
      </c>
      <c r="J829" s="4">
        <v>4</v>
      </c>
      <c r="K829" s="5" t="str">
        <f t="shared" si="12"/>
        <v>long</v>
      </c>
    </row>
    <row r="830" spans="1:11" x14ac:dyDescent="0.3">
      <c r="A830" s="3">
        <v>841</v>
      </c>
      <c r="B830" s="4">
        <v>48</v>
      </c>
      <c r="C830" s="4" t="s">
        <v>9</v>
      </c>
      <c r="D830" s="4" t="s">
        <v>10</v>
      </c>
      <c r="E830" s="4" t="s">
        <v>11</v>
      </c>
      <c r="F830" s="4">
        <v>15000</v>
      </c>
      <c r="G830" s="4">
        <v>61</v>
      </c>
      <c r="H830" s="4" t="s">
        <v>17</v>
      </c>
      <c r="I830" s="4" t="s">
        <v>13</v>
      </c>
      <c r="J830" s="4">
        <v>4</v>
      </c>
      <c r="K830" s="5" t="str">
        <f t="shared" si="12"/>
        <v>long</v>
      </c>
    </row>
    <row r="831" spans="1:11" x14ac:dyDescent="0.3">
      <c r="A831" s="3">
        <v>842</v>
      </c>
      <c r="B831" s="4">
        <v>65</v>
      </c>
      <c r="C831" s="4" t="s">
        <v>14</v>
      </c>
      <c r="D831" s="4" t="s">
        <v>15</v>
      </c>
      <c r="E831" s="4" t="s">
        <v>16</v>
      </c>
      <c r="F831" s="4">
        <v>2000</v>
      </c>
      <c r="G831" s="4">
        <v>59</v>
      </c>
      <c r="H831" s="4" t="s">
        <v>12</v>
      </c>
      <c r="I831" s="4" t="s">
        <v>18</v>
      </c>
      <c r="J831" s="4">
        <v>3</v>
      </c>
      <c r="K831" s="5" t="str">
        <f t="shared" si="12"/>
        <v>long</v>
      </c>
    </row>
    <row r="832" spans="1:11" x14ac:dyDescent="0.3">
      <c r="A832" s="3">
        <v>843</v>
      </c>
      <c r="B832" s="4">
        <v>30</v>
      </c>
      <c r="C832" s="4" t="s">
        <v>9</v>
      </c>
      <c r="D832" s="4" t="s">
        <v>19</v>
      </c>
      <c r="E832" s="4" t="s">
        <v>20</v>
      </c>
      <c r="F832" s="4">
        <v>500</v>
      </c>
      <c r="G832" s="4">
        <v>57</v>
      </c>
      <c r="H832" s="4" t="s">
        <v>12</v>
      </c>
      <c r="I832" s="4" t="s">
        <v>13</v>
      </c>
      <c r="J832" s="4">
        <v>5</v>
      </c>
      <c r="K832" s="5" t="str">
        <f t="shared" si="12"/>
        <v>long</v>
      </c>
    </row>
    <row r="833" spans="1:11" x14ac:dyDescent="0.3">
      <c r="A833" s="3">
        <v>844</v>
      </c>
      <c r="B833" s="4">
        <v>70</v>
      </c>
      <c r="C833" s="4" t="s">
        <v>14</v>
      </c>
      <c r="D833" s="4" t="s">
        <v>21</v>
      </c>
      <c r="E833" s="4" t="s">
        <v>22</v>
      </c>
      <c r="F833" s="4">
        <v>10000</v>
      </c>
      <c r="G833" s="4">
        <v>64</v>
      </c>
      <c r="H833" s="4" t="s">
        <v>17</v>
      </c>
      <c r="I833" s="4" t="s">
        <v>18</v>
      </c>
      <c r="J833" s="4">
        <v>2</v>
      </c>
      <c r="K833" s="5" t="str">
        <f t="shared" si="12"/>
        <v>long</v>
      </c>
    </row>
    <row r="834" spans="1:11" x14ac:dyDescent="0.3">
      <c r="A834" s="3">
        <v>846</v>
      </c>
      <c r="B834" s="4">
        <v>68</v>
      </c>
      <c r="C834" s="4" t="s">
        <v>14</v>
      </c>
      <c r="D834" s="4" t="s">
        <v>25</v>
      </c>
      <c r="E834" s="4" t="s">
        <v>26</v>
      </c>
      <c r="F834" s="4">
        <v>1000</v>
      </c>
      <c r="G834" s="4">
        <v>60</v>
      </c>
      <c r="H834" s="4" t="s">
        <v>12</v>
      </c>
      <c r="I834" s="4" t="s">
        <v>18</v>
      </c>
      <c r="J834" s="4">
        <v>4</v>
      </c>
      <c r="K834" s="5" t="str">
        <f t="shared" si="12"/>
        <v>long</v>
      </c>
    </row>
    <row r="835" spans="1:11" x14ac:dyDescent="0.3">
      <c r="A835" s="3">
        <v>847</v>
      </c>
      <c r="B835" s="4">
        <v>45</v>
      </c>
      <c r="C835" s="4" t="s">
        <v>9</v>
      </c>
      <c r="D835" s="4" t="s">
        <v>27</v>
      </c>
      <c r="E835" s="4" t="s">
        <v>28</v>
      </c>
      <c r="F835" s="4">
        <v>8000</v>
      </c>
      <c r="G835" s="4">
        <v>62</v>
      </c>
      <c r="H835" s="4" t="s">
        <v>12</v>
      </c>
      <c r="I835" s="4" t="s">
        <v>13</v>
      </c>
      <c r="J835" s="4">
        <v>3</v>
      </c>
      <c r="K835" s="5" t="str">
        <f t="shared" si="12"/>
        <v>long</v>
      </c>
    </row>
    <row r="836" spans="1:11" x14ac:dyDescent="0.3">
      <c r="A836" s="3">
        <v>848</v>
      </c>
      <c r="B836" s="4">
        <v>40</v>
      </c>
      <c r="C836" s="4" t="s">
        <v>14</v>
      </c>
      <c r="D836" s="4" t="s">
        <v>29</v>
      </c>
      <c r="E836" s="4" t="s">
        <v>30</v>
      </c>
      <c r="F836" s="4">
        <v>3000</v>
      </c>
      <c r="G836" s="4">
        <v>62</v>
      </c>
      <c r="H836" s="4" t="s">
        <v>12</v>
      </c>
      <c r="I836" s="4" t="s">
        <v>13</v>
      </c>
      <c r="J836" s="4">
        <v>4</v>
      </c>
      <c r="K836" s="5" t="str">
        <f t="shared" ref="K836:K899" si="13">IF(G836&lt;=3,"short",IF(G836&lt;=7,"medium","long"))</f>
        <v>long</v>
      </c>
    </row>
    <row r="837" spans="1:11" x14ac:dyDescent="0.3">
      <c r="A837" s="3">
        <v>849</v>
      </c>
      <c r="B837" s="4">
        <v>78</v>
      </c>
      <c r="C837" s="4" t="s">
        <v>9</v>
      </c>
      <c r="D837" s="4" t="s">
        <v>31</v>
      </c>
      <c r="E837" s="4" t="s">
        <v>32</v>
      </c>
      <c r="F837" s="4">
        <v>18000</v>
      </c>
      <c r="G837" s="4">
        <v>64</v>
      </c>
      <c r="H837" s="4" t="s">
        <v>17</v>
      </c>
      <c r="I837" s="4" t="s">
        <v>18</v>
      </c>
      <c r="J837" s="4">
        <v>2</v>
      </c>
      <c r="K837" s="5" t="str">
        <f t="shared" si="13"/>
        <v>long</v>
      </c>
    </row>
    <row r="838" spans="1:11" x14ac:dyDescent="0.3">
      <c r="A838" s="3">
        <v>850</v>
      </c>
      <c r="B838" s="4">
        <v>25</v>
      </c>
      <c r="C838" s="4" t="s">
        <v>14</v>
      </c>
      <c r="D838" s="4" t="s">
        <v>33</v>
      </c>
      <c r="E838" s="4" t="s">
        <v>34</v>
      </c>
      <c r="F838" s="4">
        <v>100</v>
      </c>
      <c r="G838" s="4">
        <v>57</v>
      </c>
      <c r="H838" s="4" t="s">
        <v>12</v>
      </c>
      <c r="I838" s="4" t="s">
        <v>13</v>
      </c>
      <c r="J838" s="4">
        <v>5</v>
      </c>
      <c r="K838" s="5" t="str">
        <f t="shared" si="13"/>
        <v>long</v>
      </c>
    </row>
    <row r="839" spans="1:11" x14ac:dyDescent="0.3">
      <c r="A839" s="3">
        <v>851</v>
      </c>
      <c r="B839" s="4">
        <v>52</v>
      </c>
      <c r="C839" s="4" t="s">
        <v>9</v>
      </c>
      <c r="D839" s="4" t="s">
        <v>35</v>
      </c>
      <c r="E839" s="4" t="s">
        <v>36</v>
      </c>
      <c r="F839" s="4">
        <v>800</v>
      </c>
      <c r="G839" s="4">
        <v>58</v>
      </c>
      <c r="H839" s="4" t="s">
        <v>12</v>
      </c>
      <c r="I839" s="4" t="s">
        <v>18</v>
      </c>
      <c r="J839" s="4">
        <v>4</v>
      </c>
      <c r="K839" s="5" t="str">
        <f t="shared" si="13"/>
        <v>long</v>
      </c>
    </row>
    <row r="840" spans="1:11" x14ac:dyDescent="0.3">
      <c r="A840" s="3">
        <v>852</v>
      </c>
      <c r="B840" s="4">
        <v>58</v>
      </c>
      <c r="C840" s="4" t="s">
        <v>14</v>
      </c>
      <c r="D840" s="4" t="s">
        <v>37</v>
      </c>
      <c r="E840" s="4" t="s">
        <v>38</v>
      </c>
      <c r="F840" s="4">
        <v>20000</v>
      </c>
      <c r="G840" s="4">
        <v>65</v>
      </c>
      <c r="H840" s="4" t="s">
        <v>12</v>
      </c>
      <c r="I840" s="4" t="s">
        <v>13</v>
      </c>
      <c r="J840" s="4">
        <v>3</v>
      </c>
      <c r="K840" s="5" t="str">
        <f t="shared" si="13"/>
        <v>long</v>
      </c>
    </row>
    <row r="841" spans="1:11" x14ac:dyDescent="0.3">
      <c r="A841" s="3">
        <v>853</v>
      </c>
      <c r="B841" s="4">
        <v>32</v>
      </c>
      <c r="C841" s="4" t="s">
        <v>9</v>
      </c>
      <c r="D841" s="4" t="s">
        <v>39</v>
      </c>
      <c r="E841" s="4" t="s">
        <v>40</v>
      </c>
      <c r="F841" s="4">
        <v>12000</v>
      </c>
      <c r="G841" s="4">
        <v>59</v>
      </c>
      <c r="H841" s="4" t="s">
        <v>12</v>
      </c>
      <c r="I841" s="4" t="s">
        <v>13</v>
      </c>
      <c r="J841" s="4">
        <v>4</v>
      </c>
      <c r="K841" s="5" t="str">
        <f t="shared" si="13"/>
        <v>long</v>
      </c>
    </row>
    <row r="842" spans="1:11" x14ac:dyDescent="0.3">
      <c r="A842" s="3">
        <v>854</v>
      </c>
      <c r="B842" s="4">
        <v>55</v>
      </c>
      <c r="C842" s="4" t="s">
        <v>14</v>
      </c>
      <c r="D842" s="4" t="s">
        <v>41</v>
      </c>
      <c r="E842" s="4" t="s">
        <v>42</v>
      </c>
      <c r="F842" s="4">
        <v>6000</v>
      </c>
      <c r="G842" s="4">
        <v>60</v>
      </c>
      <c r="H842" s="4" t="s">
        <v>12</v>
      </c>
      <c r="I842" s="4" t="s">
        <v>13</v>
      </c>
      <c r="J842" s="4">
        <v>3</v>
      </c>
      <c r="K842" s="5" t="str">
        <f t="shared" si="13"/>
        <v>long</v>
      </c>
    </row>
    <row r="843" spans="1:11" x14ac:dyDescent="0.3">
      <c r="A843" s="3">
        <v>855</v>
      </c>
      <c r="B843" s="4">
        <v>65</v>
      </c>
      <c r="C843" s="4" t="s">
        <v>9</v>
      </c>
      <c r="D843" s="4" t="s">
        <v>43</v>
      </c>
      <c r="E843" s="4" t="s">
        <v>44</v>
      </c>
      <c r="F843" s="4">
        <v>4000</v>
      </c>
      <c r="G843" s="4">
        <v>61</v>
      </c>
      <c r="H843" s="4" t="s">
        <v>12</v>
      </c>
      <c r="I843" s="4" t="s">
        <v>18</v>
      </c>
      <c r="J843" s="4">
        <v>4</v>
      </c>
      <c r="K843" s="5" t="str">
        <f t="shared" si="13"/>
        <v>long</v>
      </c>
    </row>
    <row r="844" spans="1:11" x14ac:dyDescent="0.3">
      <c r="A844" s="3">
        <v>856</v>
      </c>
      <c r="B844" s="4">
        <v>55</v>
      </c>
      <c r="C844" s="4" t="s">
        <v>9</v>
      </c>
      <c r="D844" s="4" t="s">
        <v>10</v>
      </c>
      <c r="E844" s="4" t="s">
        <v>11</v>
      </c>
      <c r="F844" s="4">
        <v>15000</v>
      </c>
      <c r="G844" s="4">
        <v>62</v>
      </c>
      <c r="H844" s="4" t="s">
        <v>17</v>
      </c>
      <c r="I844" s="4" t="s">
        <v>13</v>
      </c>
      <c r="J844" s="4">
        <v>3</v>
      </c>
      <c r="K844" s="5" t="str">
        <f t="shared" si="13"/>
        <v>long</v>
      </c>
    </row>
    <row r="845" spans="1:11" x14ac:dyDescent="0.3">
      <c r="A845" s="3">
        <v>857</v>
      </c>
      <c r="B845" s="4">
        <v>62</v>
      </c>
      <c r="C845" s="4" t="s">
        <v>14</v>
      </c>
      <c r="D845" s="4" t="s">
        <v>15</v>
      </c>
      <c r="E845" s="4" t="s">
        <v>16</v>
      </c>
      <c r="F845" s="4">
        <v>2000</v>
      </c>
      <c r="G845" s="4">
        <v>60</v>
      </c>
      <c r="H845" s="4" t="s">
        <v>12</v>
      </c>
      <c r="I845" s="4" t="s">
        <v>18</v>
      </c>
      <c r="J845" s="4">
        <v>4</v>
      </c>
      <c r="K845" s="5" t="str">
        <f t="shared" si="13"/>
        <v>long</v>
      </c>
    </row>
    <row r="846" spans="1:11" x14ac:dyDescent="0.3">
      <c r="A846" s="3">
        <v>858</v>
      </c>
      <c r="B846" s="4">
        <v>35</v>
      </c>
      <c r="C846" s="4" t="s">
        <v>9</v>
      </c>
      <c r="D846" s="4" t="s">
        <v>19</v>
      </c>
      <c r="E846" s="4" t="s">
        <v>20</v>
      </c>
      <c r="F846" s="4">
        <v>500</v>
      </c>
      <c r="G846" s="4">
        <v>58</v>
      </c>
      <c r="H846" s="4" t="s">
        <v>17</v>
      </c>
      <c r="I846" s="4" t="s">
        <v>13</v>
      </c>
      <c r="J846" s="4">
        <v>5</v>
      </c>
      <c r="K846" s="5" t="str">
        <f t="shared" si="13"/>
        <v>long</v>
      </c>
    </row>
    <row r="847" spans="1:11" x14ac:dyDescent="0.3">
      <c r="A847" s="3">
        <v>859</v>
      </c>
      <c r="B847" s="4">
        <v>78</v>
      </c>
      <c r="C847" s="4" t="s">
        <v>14</v>
      </c>
      <c r="D847" s="4" t="s">
        <v>21</v>
      </c>
      <c r="E847" s="4" t="s">
        <v>22</v>
      </c>
      <c r="F847" s="4">
        <v>10000</v>
      </c>
      <c r="G847" s="4">
        <v>65</v>
      </c>
      <c r="H847" s="4" t="s">
        <v>12</v>
      </c>
      <c r="I847" s="4" t="s">
        <v>18</v>
      </c>
      <c r="J847" s="4">
        <v>2</v>
      </c>
      <c r="K847" s="5" t="str">
        <f t="shared" si="13"/>
        <v>long</v>
      </c>
    </row>
    <row r="848" spans="1:11" x14ac:dyDescent="0.3">
      <c r="A848" s="3">
        <v>860</v>
      </c>
      <c r="B848" s="4">
        <v>53</v>
      </c>
      <c r="C848" s="4" t="s">
        <v>9</v>
      </c>
      <c r="D848" s="4" t="s">
        <v>23</v>
      </c>
      <c r="E848" s="4" t="s">
        <v>24</v>
      </c>
      <c r="F848" s="4">
        <v>25000</v>
      </c>
      <c r="G848" s="4">
        <v>67</v>
      </c>
      <c r="H848" s="4" t="s">
        <v>17</v>
      </c>
      <c r="I848" s="4" t="s">
        <v>13</v>
      </c>
      <c r="J848" s="4">
        <v>4</v>
      </c>
      <c r="K848" s="5" t="str">
        <f t="shared" si="13"/>
        <v>long</v>
      </c>
    </row>
    <row r="849" spans="1:11" x14ac:dyDescent="0.3">
      <c r="A849" s="3">
        <v>861</v>
      </c>
      <c r="B849" s="4">
        <v>72</v>
      </c>
      <c r="C849" s="4" t="s">
        <v>14</v>
      </c>
      <c r="D849" s="4" t="s">
        <v>25</v>
      </c>
      <c r="E849" s="4" t="s">
        <v>26</v>
      </c>
      <c r="F849" s="4">
        <v>1000</v>
      </c>
      <c r="G849" s="4">
        <v>61</v>
      </c>
      <c r="H849" s="4" t="s">
        <v>12</v>
      </c>
      <c r="I849" s="4" t="s">
        <v>18</v>
      </c>
      <c r="J849" s="4">
        <v>4</v>
      </c>
      <c r="K849" s="5" t="str">
        <f t="shared" si="13"/>
        <v>long</v>
      </c>
    </row>
    <row r="850" spans="1:11" x14ac:dyDescent="0.3">
      <c r="A850" s="3">
        <v>862</v>
      </c>
      <c r="B850" s="4">
        <v>60</v>
      </c>
      <c r="C850" s="4" t="s">
        <v>9</v>
      </c>
      <c r="D850" s="4" t="s">
        <v>27</v>
      </c>
      <c r="E850" s="4" t="s">
        <v>28</v>
      </c>
      <c r="F850" s="4">
        <v>8000</v>
      </c>
      <c r="G850" s="4">
        <v>63</v>
      </c>
      <c r="H850" s="4" t="s">
        <v>17</v>
      </c>
      <c r="I850" s="4" t="s">
        <v>13</v>
      </c>
      <c r="J850" s="4">
        <v>3</v>
      </c>
      <c r="K850" s="5" t="str">
        <f t="shared" si="13"/>
        <v>long</v>
      </c>
    </row>
    <row r="851" spans="1:11" x14ac:dyDescent="0.3">
      <c r="A851" s="3">
        <v>863</v>
      </c>
      <c r="B851" s="4">
        <v>45</v>
      </c>
      <c r="C851" s="4" t="s">
        <v>14</v>
      </c>
      <c r="D851" s="4" t="s">
        <v>29</v>
      </c>
      <c r="E851" s="4" t="s">
        <v>30</v>
      </c>
      <c r="F851" s="4">
        <v>3000</v>
      </c>
      <c r="G851" s="4">
        <v>63</v>
      </c>
      <c r="H851" s="4" t="s">
        <v>12</v>
      </c>
      <c r="I851" s="4" t="s">
        <v>13</v>
      </c>
      <c r="J851" s="4">
        <v>4</v>
      </c>
      <c r="K851" s="5" t="str">
        <f t="shared" si="13"/>
        <v>long</v>
      </c>
    </row>
    <row r="852" spans="1:11" x14ac:dyDescent="0.3">
      <c r="A852" s="3">
        <v>864</v>
      </c>
      <c r="B852" s="4">
        <v>75</v>
      </c>
      <c r="C852" s="4" t="s">
        <v>9</v>
      </c>
      <c r="D852" s="4" t="s">
        <v>31</v>
      </c>
      <c r="E852" s="4" t="s">
        <v>32</v>
      </c>
      <c r="F852" s="4">
        <v>18000</v>
      </c>
      <c r="G852" s="4">
        <v>65</v>
      </c>
      <c r="H852" s="4" t="s">
        <v>17</v>
      </c>
      <c r="I852" s="4" t="s">
        <v>18</v>
      </c>
      <c r="J852" s="4">
        <v>2</v>
      </c>
      <c r="K852" s="5" t="str">
        <f t="shared" si="13"/>
        <v>long</v>
      </c>
    </row>
    <row r="853" spans="1:11" x14ac:dyDescent="0.3">
      <c r="A853" s="3">
        <v>865</v>
      </c>
      <c r="B853" s="4">
        <v>28</v>
      </c>
      <c r="C853" s="4" t="s">
        <v>14</v>
      </c>
      <c r="D853" s="4" t="s">
        <v>33</v>
      </c>
      <c r="E853" s="4" t="s">
        <v>34</v>
      </c>
      <c r="F853" s="4">
        <v>100</v>
      </c>
      <c r="G853" s="4">
        <v>58</v>
      </c>
      <c r="H853" s="4" t="s">
        <v>12</v>
      </c>
      <c r="I853" s="4" t="s">
        <v>13</v>
      </c>
      <c r="J853" s="4">
        <v>5</v>
      </c>
      <c r="K853" s="5" t="str">
        <f t="shared" si="13"/>
        <v>long</v>
      </c>
    </row>
    <row r="854" spans="1:11" x14ac:dyDescent="0.3">
      <c r="A854" s="3">
        <v>866</v>
      </c>
      <c r="B854" s="4">
        <v>52</v>
      </c>
      <c r="C854" s="4" t="s">
        <v>9</v>
      </c>
      <c r="D854" s="4" t="s">
        <v>35</v>
      </c>
      <c r="E854" s="4" t="s">
        <v>36</v>
      </c>
      <c r="F854" s="4">
        <v>800</v>
      </c>
      <c r="G854" s="4">
        <v>59</v>
      </c>
      <c r="H854" s="4" t="s">
        <v>12</v>
      </c>
      <c r="I854" s="4" t="s">
        <v>18</v>
      </c>
      <c r="J854" s="4">
        <v>4</v>
      </c>
      <c r="K854" s="5" t="str">
        <f t="shared" si="13"/>
        <v>long</v>
      </c>
    </row>
    <row r="855" spans="1:11" x14ac:dyDescent="0.3">
      <c r="A855" s="3">
        <v>867</v>
      </c>
      <c r="B855" s="4">
        <v>67</v>
      </c>
      <c r="C855" s="4" t="s">
        <v>14</v>
      </c>
      <c r="D855" s="4" t="s">
        <v>37</v>
      </c>
      <c r="E855" s="4" t="s">
        <v>38</v>
      </c>
      <c r="F855" s="4">
        <v>20000</v>
      </c>
      <c r="G855" s="4">
        <v>66</v>
      </c>
      <c r="H855" s="4" t="s">
        <v>12</v>
      </c>
      <c r="I855" s="4" t="s">
        <v>13</v>
      </c>
      <c r="J855" s="4">
        <v>3</v>
      </c>
      <c r="K855" s="5" t="str">
        <f t="shared" si="13"/>
        <v>long</v>
      </c>
    </row>
    <row r="856" spans="1:11" x14ac:dyDescent="0.3">
      <c r="A856" s="3">
        <v>868</v>
      </c>
      <c r="B856" s="4">
        <v>35</v>
      </c>
      <c r="C856" s="4" t="s">
        <v>9</v>
      </c>
      <c r="D856" s="4" t="s">
        <v>39</v>
      </c>
      <c r="E856" s="4" t="s">
        <v>40</v>
      </c>
      <c r="F856" s="4">
        <v>12000</v>
      </c>
      <c r="G856" s="4">
        <v>60</v>
      </c>
      <c r="H856" s="4" t="s">
        <v>12</v>
      </c>
      <c r="I856" s="4" t="s">
        <v>13</v>
      </c>
      <c r="J856" s="4">
        <v>4</v>
      </c>
      <c r="K856" s="5" t="str">
        <f t="shared" si="13"/>
        <v>long</v>
      </c>
    </row>
    <row r="857" spans="1:11" x14ac:dyDescent="0.3">
      <c r="A857" s="3">
        <v>869</v>
      </c>
      <c r="B857" s="4">
        <v>50</v>
      </c>
      <c r="C857" s="4" t="s">
        <v>14</v>
      </c>
      <c r="D857" s="4" t="s">
        <v>41</v>
      </c>
      <c r="E857" s="4" t="s">
        <v>42</v>
      </c>
      <c r="F857" s="4">
        <v>6000</v>
      </c>
      <c r="G857" s="4">
        <v>61</v>
      </c>
      <c r="H857" s="4" t="s">
        <v>12</v>
      </c>
      <c r="I857" s="4" t="s">
        <v>13</v>
      </c>
      <c r="J857" s="4">
        <v>3</v>
      </c>
      <c r="K857" s="5" t="str">
        <f t="shared" si="13"/>
        <v>long</v>
      </c>
    </row>
    <row r="858" spans="1:11" x14ac:dyDescent="0.3">
      <c r="A858" s="3">
        <v>870</v>
      </c>
      <c r="B858" s="4">
        <v>60</v>
      </c>
      <c r="C858" s="4" t="s">
        <v>9</v>
      </c>
      <c r="D858" s="4" t="s">
        <v>43</v>
      </c>
      <c r="E858" s="4" t="s">
        <v>44</v>
      </c>
      <c r="F858" s="4">
        <v>4000</v>
      </c>
      <c r="G858" s="4">
        <v>62</v>
      </c>
      <c r="H858" s="4" t="s">
        <v>12</v>
      </c>
      <c r="I858" s="4" t="s">
        <v>18</v>
      </c>
      <c r="J858" s="4">
        <v>4</v>
      </c>
      <c r="K858" s="5" t="str">
        <f t="shared" si="13"/>
        <v>long</v>
      </c>
    </row>
    <row r="859" spans="1:11" x14ac:dyDescent="0.3">
      <c r="A859" s="3">
        <v>871</v>
      </c>
      <c r="B859" s="4">
        <v>48</v>
      </c>
      <c r="C859" s="4" t="s">
        <v>9</v>
      </c>
      <c r="D859" s="4" t="s">
        <v>10</v>
      </c>
      <c r="E859" s="4" t="s">
        <v>11</v>
      </c>
      <c r="F859" s="4">
        <v>15000</v>
      </c>
      <c r="G859" s="4">
        <v>63</v>
      </c>
      <c r="H859" s="4" t="s">
        <v>17</v>
      </c>
      <c r="I859" s="4" t="s">
        <v>13</v>
      </c>
      <c r="J859" s="4">
        <v>4</v>
      </c>
      <c r="K859" s="5" t="str">
        <f t="shared" si="13"/>
        <v>long</v>
      </c>
    </row>
    <row r="860" spans="1:11" x14ac:dyDescent="0.3">
      <c r="A860" s="3">
        <v>872</v>
      </c>
      <c r="B860" s="4">
        <v>65</v>
      </c>
      <c r="C860" s="4" t="s">
        <v>14</v>
      </c>
      <c r="D860" s="4" t="s">
        <v>15</v>
      </c>
      <c r="E860" s="4" t="s">
        <v>16</v>
      </c>
      <c r="F860" s="4">
        <v>2000</v>
      </c>
      <c r="G860" s="4">
        <v>61</v>
      </c>
      <c r="H860" s="4" t="s">
        <v>12</v>
      </c>
      <c r="I860" s="4" t="s">
        <v>18</v>
      </c>
      <c r="J860" s="4">
        <v>3</v>
      </c>
      <c r="K860" s="5" t="str">
        <f t="shared" si="13"/>
        <v>long</v>
      </c>
    </row>
    <row r="861" spans="1:11" x14ac:dyDescent="0.3">
      <c r="A861" s="3">
        <v>873</v>
      </c>
      <c r="B861" s="4">
        <v>30</v>
      </c>
      <c r="C861" s="4" t="s">
        <v>9</v>
      </c>
      <c r="D861" s="4" t="s">
        <v>19</v>
      </c>
      <c r="E861" s="4" t="s">
        <v>20</v>
      </c>
      <c r="F861" s="4">
        <v>500</v>
      </c>
      <c r="G861" s="4">
        <v>59</v>
      </c>
      <c r="H861" s="4" t="s">
        <v>12</v>
      </c>
      <c r="I861" s="4" t="s">
        <v>13</v>
      </c>
      <c r="J861" s="4">
        <v>5</v>
      </c>
      <c r="K861" s="5" t="str">
        <f t="shared" si="13"/>
        <v>long</v>
      </c>
    </row>
    <row r="862" spans="1:11" x14ac:dyDescent="0.3">
      <c r="A862" s="3">
        <v>874</v>
      </c>
      <c r="B862" s="4">
        <v>70</v>
      </c>
      <c r="C862" s="4" t="s">
        <v>14</v>
      </c>
      <c r="D862" s="4" t="s">
        <v>21</v>
      </c>
      <c r="E862" s="4" t="s">
        <v>22</v>
      </c>
      <c r="F862" s="4">
        <v>10000</v>
      </c>
      <c r="G862" s="4">
        <v>66</v>
      </c>
      <c r="H862" s="4" t="s">
        <v>17</v>
      </c>
      <c r="I862" s="4" t="s">
        <v>18</v>
      </c>
      <c r="J862" s="4">
        <v>2</v>
      </c>
      <c r="K862" s="5" t="str">
        <f t="shared" si="13"/>
        <v>long</v>
      </c>
    </row>
    <row r="863" spans="1:11" x14ac:dyDescent="0.3">
      <c r="A863" s="3">
        <v>875</v>
      </c>
      <c r="B863" s="4">
        <v>55</v>
      </c>
      <c r="C863" s="4" t="s">
        <v>9</v>
      </c>
      <c r="D863" s="4" t="s">
        <v>23</v>
      </c>
      <c r="E863" s="4" t="s">
        <v>24</v>
      </c>
      <c r="F863" s="4">
        <v>25000</v>
      </c>
      <c r="G863" s="4">
        <v>68</v>
      </c>
      <c r="H863" s="4" t="s">
        <v>12</v>
      </c>
      <c r="I863" s="4" t="s">
        <v>13</v>
      </c>
      <c r="J863" s="4">
        <v>4</v>
      </c>
      <c r="K863" s="5" t="str">
        <f t="shared" si="13"/>
        <v>long</v>
      </c>
    </row>
    <row r="864" spans="1:11" x14ac:dyDescent="0.3">
      <c r="A864" s="3">
        <v>876</v>
      </c>
      <c r="B864" s="4">
        <v>68</v>
      </c>
      <c r="C864" s="4" t="s">
        <v>14</v>
      </c>
      <c r="D864" s="4" t="s">
        <v>25</v>
      </c>
      <c r="E864" s="4" t="s">
        <v>26</v>
      </c>
      <c r="F864" s="4">
        <v>1000</v>
      </c>
      <c r="G864" s="4">
        <v>62</v>
      </c>
      <c r="H864" s="4" t="s">
        <v>12</v>
      </c>
      <c r="I864" s="4" t="s">
        <v>18</v>
      </c>
      <c r="J864" s="4">
        <v>4</v>
      </c>
      <c r="K864" s="5" t="str">
        <f t="shared" si="13"/>
        <v>long</v>
      </c>
    </row>
    <row r="865" spans="1:11" x14ac:dyDescent="0.3">
      <c r="A865" s="3">
        <v>877</v>
      </c>
      <c r="B865" s="4">
        <v>45</v>
      </c>
      <c r="C865" s="4" t="s">
        <v>9</v>
      </c>
      <c r="D865" s="4" t="s">
        <v>27</v>
      </c>
      <c r="E865" s="4" t="s">
        <v>28</v>
      </c>
      <c r="F865" s="4">
        <v>8000</v>
      </c>
      <c r="G865" s="4">
        <v>64</v>
      </c>
      <c r="H865" s="4" t="s">
        <v>12</v>
      </c>
      <c r="I865" s="4" t="s">
        <v>13</v>
      </c>
      <c r="J865" s="4">
        <v>3</v>
      </c>
      <c r="K865" s="5" t="str">
        <f t="shared" si="13"/>
        <v>long</v>
      </c>
    </row>
    <row r="866" spans="1:11" x14ac:dyDescent="0.3">
      <c r="A866" s="3">
        <v>878</v>
      </c>
      <c r="B866" s="4">
        <v>40</v>
      </c>
      <c r="C866" s="4" t="s">
        <v>14</v>
      </c>
      <c r="D866" s="4" t="s">
        <v>29</v>
      </c>
      <c r="E866" s="4" t="s">
        <v>30</v>
      </c>
      <c r="F866" s="4">
        <v>3000</v>
      </c>
      <c r="G866" s="4">
        <v>64</v>
      </c>
      <c r="H866" s="4" t="s">
        <v>12</v>
      </c>
      <c r="I866" s="4" t="s">
        <v>13</v>
      </c>
      <c r="J866" s="4">
        <v>4</v>
      </c>
      <c r="K866" s="5" t="str">
        <f t="shared" si="13"/>
        <v>long</v>
      </c>
    </row>
    <row r="867" spans="1:11" x14ac:dyDescent="0.3">
      <c r="A867" s="3">
        <v>879</v>
      </c>
      <c r="B867" s="4">
        <v>78</v>
      </c>
      <c r="C867" s="4" t="s">
        <v>9</v>
      </c>
      <c r="D867" s="4" t="s">
        <v>31</v>
      </c>
      <c r="E867" s="4" t="s">
        <v>32</v>
      </c>
      <c r="F867" s="4">
        <v>18000</v>
      </c>
      <c r="G867" s="4">
        <v>66</v>
      </c>
      <c r="H867" s="4" t="s">
        <v>17</v>
      </c>
      <c r="I867" s="4" t="s">
        <v>18</v>
      </c>
      <c r="J867" s="4">
        <v>2</v>
      </c>
      <c r="K867" s="5" t="str">
        <f t="shared" si="13"/>
        <v>long</v>
      </c>
    </row>
    <row r="868" spans="1:11" x14ac:dyDescent="0.3">
      <c r="A868" s="3">
        <v>880</v>
      </c>
      <c r="B868" s="4">
        <v>25</v>
      </c>
      <c r="C868" s="4" t="s">
        <v>14</v>
      </c>
      <c r="D868" s="4" t="s">
        <v>33</v>
      </c>
      <c r="E868" s="4" t="s">
        <v>34</v>
      </c>
      <c r="F868" s="4">
        <v>100</v>
      </c>
      <c r="G868" s="4">
        <v>59</v>
      </c>
      <c r="H868" s="4" t="s">
        <v>12</v>
      </c>
      <c r="I868" s="4" t="s">
        <v>13</v>
      </c>
      <c r="J868" s="4">
        <v>5</v>
      </c>
      <c r="K868" s="5" t="str">
        <f t="shared" si="13"/>
        <v>long</v>
      </c>
    </row>
    <row r="869" spans="1:11" x14ac:dyDescent="0.3">
      <c r="A869" s="3">
        <v>881</v>
      </c>
      <c r="B869" s="4">
        <v>52</v>
      </c>
      <c r="C869" s="4" t="s">
        <v>9</v>
      </c>
      <c r="D869" s="4" t="s">
        <v>35</v>
      </c>
      <c r="E869" s="4" t="s">
        <v>36</v>
      </c>
      <c r="F869" s="4">
        <v>800</v>
      </c>
      <c r="G869" s="4">
        <v>60</v>
      </c>
      <c r="H869" s="4" t="s">
        <v>12</v>
      </c>
      <c r="I869" s="4" t="s">
        <v>18</v>
      </c>
      <c r="J869" s="4">
        <v>4</v>
      </c>
      <c r="K869" s="5" t="str">
        <f t="shared" si="13"/>
        <v>long</v>
      </c>
    </row>
    <row r="870" spans="1:11" x14ac:dyDescent="0.3">
      <c r="A870" s="3">
        <v>882</v>
      </c>
      <c r="B870" s="4">
        <v>58</v>
      </c>
      <c r="C870" s="4" t="s">
        <v>14</v>
      </c>
      <c r="D870" s="4" t="s">
        <v>37</v>
      </c>
      <c r="E870" s="4" t="s">
        <v>38</v>
      </c>
      <c r="F870" s="4">
        <v>20000</v>
      </c>
      <c r="G870" s="4">
        <v>67</v>
      </c>
      <c r="H870" s="4" t="s">
        <v>12</v>
      </c>
      <c r="I870" s="4" t="s">
        <v>13</v>
      </c>
      <c r="J870" s="4">
        <v>3</v>
      </c>
      <c r="K870" s="5" t="str">
        <f t="shared" si="13"/>
        <v>long</v>
      </c>
    </row>
    <row r="871" spans="1:11" x14ac:dyDescent="0.3">
      <c r="A871" s="3">
        <v>883</v>
      </c>
      <c r="B871" s="4">
        <v>32</v>
      </c>
      <c r="C871" s="4" t="s">
        <v>9</v>
      </c>
      <c r="D871" s="4" t="s">
        <v>39</v>
      </c>
      <c r="E871" s="4" t="s">
        <v>40</v>
      </c>
      <c r="F871" s="4">
        <v>12000</v>
      </c>
      <c r="G871" s="4">
        <v>61</v>
      </c>
      <c r="H871" s="4" t="s">
        <v>12</v>
      </c>
      <c r="I871" s="4" t="s">
        <v>13</v>
      </c>
      <c r="J871" s="4">
        <v>4</v>
      </c>
      <c r="K871" s="5" t="str">
        <f t="shared" si="13"/>
        <v>long</v>
      </c>
    </row>
    <row r="872" spans="1:11" x14ac:dyDescent="0.3">
      <c r="A872" s="3">
        <v>884</v>
      </c>
      <c r="B872" s="4">
        <v>55</v>
      </c>
      <c r="C872" s="4" t="s">
        <v>14</v>
      </c>
      <c r="D872" s="4" t="s">
        <v>41</v>
      </c>
      <c r="E872" s="4" t="s">
        <v>42</v>
      </c>
      <c r="F872" s="4">
        <v>6000</v>
      </c>
      <c r="G872" s="4">
        <v>62</v>
      </c>
      <c r="H872" s="4" t="s">
        <v>12</v>
      </c>
      <c r="I872" s="4" t="s">
        <v>13</v>
      </c>
      <c r="J872" s="4">
        <v>3</v>
      </c>
      <c r="K872" s="5" t="str">
        <f t="shared" si="13"/>
        <v>long</v>
      </c>
    </row>
    <row r="873" spans="1:11" x14ac:dyDescent="0.3">
      <c r="A873" s="3">
        <v>885</v>
      </c>
      <c r="B873" s="4">
        <v>65</v>
      </c>
      <c r="C873" s="4" t="s">
        <v>9</v>
      </c>
      <c r="D873" s="4" t="s">
        <v>43</v>
      </c>
      <c r="E873" s="4" t="s">
        <v>44</v>
      </c>
      <c r="F873" s="4">
        <v>4000</v>
      </c>
      <c r="G873" s="4">
        <v>63</v>
      </c>
      <c r="H873" s="4" t="s">
        <v>12</v>
      </c>
      <c r="I873" s="4" t="s">
        <v>18</v>
      </c>
      <c r="J873" s="4">
        <v>4</v>
      </c>
      <c r="K873" s="5" t="str">
        <f t="shared" si="13"/>
        <v>long</v>
      </c>
    </row>
    <row r="874" spans="1:11" x14ac:dyDescent="0.3">
      <c r="A874" s="3">
        <v>886</v>
      </c>
      <c r="B874" s="4">
        <v>55</v>
      </c>
      <c r="C874" s="4" t="s">
        <v>9</v>
      </c>
      <c r="D874" s="4" t="s">
        <v>10</v>
      </c>
      <c r="E874" s="4" t="s">
        <v>11</v>
      </c>
      <c r="F874" s="4">
        <v>15000</v>
      </c>
      <c r="G874" s="4">
        <v>64</v>
      </c>
      <c r="H874" s="4" t="s">
        <v>17</v>
      </c>
      <c r="I874" s="4" t="s">
        <v>13</v>
      </c>
      <c r="J874" s="4">
        <v>3</v>
      </c>
      <c r="K874" s="5" t="str">
        <f t="shared" si="13"/>
        <v>long</v>
      </c>
    </row>
    <row r="875" spans="1:11" x14ac:dyDescent="0.3">
      <c r="A875" s="3">
        <v>887</v>
      </c>
      <c r="B875" s="4">
        <v>62</v>
      </c>
      <c r="C875" s="4" t="s">
        <v>14</v>
      </c>
      <c r="D875" s="4" t="s">
        <v>15</v>
      </c>
      <c r="E875" s="4" t="s">
        <v>16</v>
      </c>
      <c r="F875" s="4">
        <v>2000</v>
      </c>
      <c r="G875" s="4">
        <v>62</v>
      </c>
      <c r="H875" s="4" t="s">
        <v>12</v>
      </c>
      <c r="I875" s="4" t="s">
        <v>18</v>
      </c>
      <c r="J875" s="4">
        <v>4</v>
      </c>
      <c r="K875" s="5" t="str">
        <f t="shared" si="13"/>
        <v>long</v>
      </c>
    </row>
    <row r="876" spans="1:11" x14ac:dyDescent="0.3">
      <c r="A876" s="3">
        <v>888</v>
      </c>
      <c r="B876" s="4">
        <v>35</v>
      </c>
      <c r="C876" s="4" t="s">
        <v>9</v>
      </c>
      <c r="D876" s="4" t="s">
        <v>19</v>
      </c>
      <c r="E876" s="4" t="s">
        <v>20</v>
      </c>
      <c r="F876" s="4">
        <v>500</v>
      </c>
      <c r="G876" s="4">
        <v>60</v>
      </c>
      <c r="H876" s="4" t="s">
        <v>17</v>
      </c>
      <c r="I876" s="4" t="s">
        <v>13</v>
      </c>
      <c r="J876" s="4">
        <v>5</v>
      </c>
      <c r="K876" s="5" t="str">
        <f t="shared" si="13"/>
        <v>long</v>
      </c>
    </row>
    <row r="877" spans="1:11" x14ac:dyDescent="0.3">
      <c r="A877" s="3">
        <v>889</v>
      </c>
      <c r="B877" s="4">
        <v>78</v>
      </c>
      <c r="C877" s="4" t="s">
        <v>14</v>
      </c>
      <c r="D877" s="4" t="s">
        <v>21</v>
      </c>
      <c r="E877" s="4" t="s">
        <v>22</v>
      </c>
      <c r="F877" s="4">
        <v>10000</v>
      </c>
      <c r="G877" s="4">
        <v>67</v>
      </c>
      <c r="H877" s="4" t="s">
        <v>12</v>
      </c>
      <c r="I877" s="4" t="s">
        <v>18</v>
      </c>
      <c r="J877" s="4">
        <v>2</v>
      </c>
      <c r="K877" s="5" t="str">
        <f t="shared" si="13"/>
        <v>long</v>
      </c>
    </row>
    <row r="878" spans="1:11" x14ac:dyDescent="0.3">
      <c r="A878" s="3">
        <v>890</v>
      </c>
      <c r="B878" s="4">
        <v>53</v>
      </c>
      <c r="C878" s="4" t="s">
        <v>9</v>
      </c>
      <c r="D878" s="4" t="s">
        <v>23</v>
      </c>
      <c r="E878" s="4" t="s">
        <v>24</v>
      </c>
      <c r="F878" s="4">
        <v>25000</v>
      </c>
      <c r="G878" s="4">
        <v>69</v>
      </c>
      <c r="H878" s="4" t="s">
        <v>17</v>
      </c>
      <c r="I878" s="4" t="s">
        <v>13</v>
      </c>
      <c r="J878" s="4">
        <v>4</v>
      </c>
      <c r="K878" s="5" t="str">
        <f t="shared" si="13"/>
        <v>long</v>
      </c>
    </row>
    <row r="879" spans="1:11" x14ac:dyDescent="0.3">
      <c r="A879" s="3">
        <v>891</v>
      </c>
      <c r="B879" s="4">
        <v>72</v>
      </c>
      <c r="C879" s="4" t="s">
        <v>14</v>
      </c>
      <c r="D879" s="4" t="s">
        <v>25</v>
      </c>
      <c r="E879" s="4" t="s">
        <v>26</v>
      </c>
      <c r="F879" s="4">
        <v>1000</v>
      </c>
      <c r="G879" s="4">
        <v>63</v>
      </c>
      <c r="H879" s="4" t="s">
        <v>12</v>
      </c>
      <c r="I879" s="4" t="s">
        <v>18</v>
      </c>
      <c r="J879" s="4">
        <v>4</v>
      </c>
      <c r="K879" s="5" t="str">
        <f t="shared" si="13"/>
        <v>long</v>
      </c>
    </row>
    <row r="880" spans="1:11" x14ac:dyDescent="0.3">
      <c r="A880" s="3">
        <v>892</v>
      </c>
      <c r="B880" s="4">
        <v>60</v>
      </c>
      <c r="C880" s="4" t="s">
        <v>9</v>
      </c>
      <c r="D880" s="4" t="s">
        <v>27</v>
      </c>
      <c r="E880" s="4" t="s">
        <v>28</v>
      </c>
      <c r="F880" s="4">
        <v>8000</v>
      </c>
      <c r="G880" s="4">
        <v>65</v>
      </c>
      <c r="H880" s="4" t="s">
        <v>17</v>
      </c>
      <c r="I880" s="4" t="s">
        <v>13</v>
      </c>
      <c r="J880" s="4">
        <v>3</v>
      </c>
      <c r="K880" s="5" t="str">
        <f t="shared" si="13"/>
        <v>long</v>
      </c>
    </row>
    <row r="881" spans="1:11" x14ac:dyDescent="0.3">
      <c r="A881" s="3">
        <v>893</v>
      </c>
      <c r="B881" s="4">
        <v>45</v>
      </c>
      <c r="C881" s="4" t="s">
        <v>14</v>
      </c>
      <c r="D881" s="4" t="s">
        <v>29</v>
      </c>
      <c r="E881" s="4" t="s">
        <v>30</v>
      </c>
      <c r="F881" s="4">
        <v>3000</v>
      </c>
      <c r="G881" s="4">
        <v>65</v>
      </c>
      <c r="H881" s="4" t="s">
        <v>12</v>
      </c>
      <c r="I881" s="4" t="s">
        <v>13</v>
      </c>
      <c r="J881" s="4">
        <v>4</v>
      </c>
      <c r="K881" s="5" t="str">
        <f t="shared" si="13"/>
        <v>long</v>
      </c>
    </row>
    <row r="882" spans="1:11" x14ac:dyDescent="0.3">
      <c r="A882" s="3">
        <v>894</v>
      </c>
      <c r="B882" s="4">
        <v>75</v>
      </c>
      <c r="C882" s="4" t="s">
        <v>9</v>
      </c>
      <c r="D882" s="4" t="s">
        <v>31</v>
      </c>
      <c r="E882" s="4" t="s">
        <v>32</v>
      </c>
      <c r="F882" s="4">
        <v>18000</v>
      </c>
      <c r="G882" s="4">
        <v>67</v>
      </c>
      <c r="H882" s="4" t="s">
        <v>17</v>
      </c>
      <c r="I882" s="4" t="s">
        <v>18</v>
      </c>
      <c r="J882" s="4">
        <v>2</v>
      </c>
      <c r="K882" s="5" t="str">
        <f t="shared" si="13"/>
        <v>long</v>
      </c>
    </row>
    <row r="883" spans="1:11" x14ac:dyDescent="0.3">
      <c r="A883" s="3">
        <v>895</v>
      </c>
      <c r="B883" s="4">
        <v>28</v>
      </c>
      <c r="C883" s="4" t="s">
        <v>14</v>
      </c>
      <c r="D883" s="4" t="s">
        <v>33</v>
      </c>
      <c r="E883" s="4" t="s">
        <v>34</v>
      </c>
      <c r="F883" s="4">
        <v>100</v>
      </c>
      <c r="G883" s="4">
        <v>60</v>
      </c>
      <c r="H883" s="4" t="s">
        <v>12</v>
      </c>
      <c r="I883" s="4" t="s">
        <v>13</v>
      </c>
      <c r="J883" s="4">
        <v>5</v>
      </c>
      <c r="K883" s="5" t="str">
        <f t="shared" si="13"/>
        <v>long</v>
      </c>
    </row>
    <row r="884" spans="1:11" x14ac:dyDescent="0.3">
      <c r="A884" s="3">
        <v>896</v>
      </c>
      <c r="B884" s="4">
        <v>52</v>
      </c>
      <c r="C884" s="4" t="s">
        <v>9</v>
      </c>
      <c r="D884" s="4" t="s">
        <v>35</v>
      </c>
      <c r="E884" s="4" t="s">
        <v>36</v>
      </c>
      <c r="F884" s="4">
        <v>800</v>
      </c>
      <c r="G884" s="4">
        <v>61</v>
      </c>
      <c r="H884" s="4" t="s">
        <v>12</v>
      </c>
      <c r="I884" s="4" t="s">
        <v>18</v>
      </c>
      <c r="J884" s="4">
        <v>4</v>
      </c>
      <c r="K884" s="5" t="str">
        <f t="shared" si="13"/>
        <v>long</v>
      </c>
    </row>
    <row r="885" spans="1:11" x14ac:dyDescent="0.3">
      <c r="A885" s="3">
        <v>897</v>
      </c>
      <c r="B885" s="4">
        <v>67</v>
      </c>
      <c r="C885" s="4" t="s">
        <v>14</v>
      </c>
      <c r="D885" s="4" t="s">
        <v>37</v>
      </c>
      <c r="E885" s="4" t="s">
        <v>38</v>
      </c>
      <c r="F885" s="4">
        <v>20000</v>
      </c>
      <c r="G885" s="4">
        <v>68</v>
      </c>
      <c r="H885" s="4" t="s">
        <v>12</v>
      </c>
      <c r="I885" s="4" t="s">
        <v>13</v>
      </c>
      <c r="J885" s="4">
        <v>3</v>
      </c>
      <c r="K885" s="5" t="str">
        <f t="shared" si="13"/>
        <v>long</v>
      </c>
    </row>
    <row r="886" spans="1:11" x14ac:dyDescent="0.3">
      <c r="A886" s="3">
        <v>898</v>
      </c>
      <c r="B886" s="4">
        <v>35</v>
      </c>
      <c r="C886" s="4" t="s">
        <v>9</v>
      </c>
      <c r="D886" s="4" t="s">
        <v>39</v>
      </c>
      <c r="E886" s="4" t="s">
        <v>40</v>
      </c>
      <c r="F886" s="4">
        <v>12000</v>
      </c>
      <c r="G886" s="4">
        <v>62</v>
      </c>
      <c r="H886" s="4" t="s">
        <v>12</v>
      </c>
      <c r="I886" s="4" t="s">
        <v>13</v>
      </c>
      <c r="J886" s="4">
        <v>4</v>
      </c>
      <c r="K886" s="5" t="str">
        <f t="shared" si="13"/>
        <v>long</v>
      </c>
    </row>
    <row r="887" spans="1:11" x14ac:dyDescent="0.3">
      <c r="A887" s="3">
        <v>899</v>
      </c>
      <c r="B887" s="4">
        <v>50</v>
      </c>
      <c r="C887" s="4" t="s">
        <v>14</v>
      </c>
      <c r="D887" s="4" t="s">
        <v>41</v>
      </c>
      <c r="E887" s="4" t="s">
        <v>42</v>
      </c>
      <c r="F887" s="4">
        <v>6000</v>
      </c>
      <c r="G887" s="4">
        <v>63</v>
      </c>
      <c r="H887" s="4" t="s">
        <v>12</v>
      </c>
      <c r="I887" s="4" t="s">
        <v>13</v>
      </c>
      <c r="J887" s="4">
        <v>3</v>
      </c>
      <c r="K887" s="5" t="str">
        <f t="shared" si="13"/>
        <v>long</v>
      </c>
    </row>
    <row r="888" spans="1:11" x14ac:dyDescent="0.3">
      <c r="A888" s="3">
        <v>900</v>
      </c>
      <c r="B888" s="4">
        <v>60</v>
      </c>
      <c r="C888" s="4" t="s">
        <v>9</v>
      </c>
      <c r="D888" s="4" t="s">
        <v>43</v>
      </c>
      <c r="E888" s="4" t="s">
        <v>44</v>
      </c>
      <c r="F888" s="4">
        <v>4000</v>
      </c>
      <c r="G888" s="4">
        <v>64</v>
      </c>
      <c r="H888" s="4" t="s">
        <v>12</v>
      </c>
      <c r="I888" s="4" t="s">
        <v>18</v>
      </c>
      <c r="J888" s="4">
        <v>4</v>
      </c>
      <c r="K888" s="5" t="str">
        <f t="shared" si="13"/>
        <v>long</v>
      </c>
    </row>
    <row r="889" spans="1:11" x14ac:dyDescent="0.3">
      <c r="A889" s="3">
        <v>901</v>
      </c>
      <c r="B889" s="4">
        <v>48</v>
      </c>
      <c r="C889" s="4" t="s">
        <v>9</v>
      </c>
      <c r="D889" s="4" t="s">
        <v>10</v>
      </c>
      <c r="E889" s="4" t="s">
        <v>11</v>
      </c>
      <c r="F889" s="4">
        <v>15000</v>
      </c>
      <c r="G889" s="4">
        <v>65</v>
      </c>
      <c r="H889" s="4" t="s">
        <v>17</v>
      </c>
      <c r="I889" s="4" t="s">
        <v>13</v>
      </c>
      <c r="J889" s="4">
        <v>4</v>
      </c>
      <c r="K889" s="5" t="str">
        <f t="shared" si="13"/>
        <v>long</v>
      </c>
    </row>
    <row r="890" spans="1:11" x14ac:dyDescent="0.3">
      <c r="A890" s="3">
        <v>902</v>
      </c>
      <c r="B890" s="4">
        <v>65</v>
      </c>
      <c r="C890" s="4" t="s">
        <v>14</v>
      </c>
      <c r="D890" s="4" t="s">
        <v>15</v>
      </c>
      <c r="E890" s="4" t="s">
        <v>16</v>
      </c>
      <c r="F890" s="4">
        <v>2000</v>
      </c>
      <c r="G890" s="4">
        <v>63</v>
      </c>
      <c r="H890" s="4" t="s">
        <v>12</v>
      </c>
      <c r="I890" s="4" t="s">
        <v>18</v>
      </c>
      <c r="J890" s="4">
        <v>3</v>
      </c>
      <c r="K890" s="5" t="str">
        <f t="shared" si="13"/>
        <v>long</v>
      </c>
    </row>
    <row r="891" spans="1:11" x14ac:dyDescent="0.3">
      <c r="A891" s="3">
        <v>903</v>
      </c>
      <c r="B891" s="4">
        <v>30</v>
      </c>
      <c r="C891" s="4" t="s">
        <v>9</v>
      </c>
      <c r="D891" s="4" t="s">
        <v>19</v>
      </c>
      <c r="E891" s="4" t="s">
        <v>20</v>
      </c>
      <c r="F891" s="4">
        <v>500</v>
      </c>
      <c r="G891" s="4">
        <v>61</v>
      </c>
      <c r="H891" s="4" t="s">
        <v>12</v>
      </c>
      <c r="I891" s="4" t="s">
        <v>13</v>
      </c>
      <c r="J891" s="4">
        <v>5</v>
      </c>
      <c r="K891" s="5" t="str">
        <f t="shared" si="13"/>
        <v>long</v>
      </c>
    </row>
    <row r="892" spans="1:11" x14ac:dyDescent="0.3">
      <c r="A892" s="3">
        <v>904</v>
      </c>
      <c r="B892" s="4">
        <v>70</v>
      </c>
      <c r="C892" s="4" t="s">
        <v>14</v>
      </c>
      <c r="D892" s="4" t="s">
        <v>21</v>
      </c>
      <c r="E892" s="4" t="s">
        <v>22</v>
      </c>
      <c r="F892" s="4">
        <v>10000</v>
      </c>
      <c r="G892" s="4">
        <v>68</v>
      </c>
      <c r="H892" s="4" t="s">
        <v>17</v>
      </c>
      <c r="I892" s="4" t="s">
        <v>18</v>
      </c>
      <c r="J892" s="4">
        <v>2</v>
      </c>
      <c r="K892" s="5" t="str">
        <f t="shared" si="13"/>
        <v>long</v>
      </c>
    </row>
    <row r="893" spans="1:11" x14ac:dyDescent="0.3">
      <c r="A893" s="3">
        <v>905</v>
      </c>
      <c r="B893" s="4">
        <v>55</v>
      </c>
      <c r="C893" s="4" t="s">
        <v>9</v>
      </c>
      <c r="D893" s="4" t="s">
        <v>23</v>
      </c>
      <c r="E893" s="4" t="s">
        <v>24</v>
      </c>
      <c r="F893" s="4">
        <v>25000</v>
      </c>
      <c r="G893" s="4">
        <v>70</v>
      </c>
      <c r="H893" s="4" t="s">
        <v>12</v>
      </c>
      <c r="I893" s="4" t="s">
        <v>13</v>
      </c>
      <c r="J893" s="4">
        <v>4</v>
      </c>
      <c r="K893" s="5" t="str">
        <f t="shared" si="13"/>
        <v>long</v>
      </c>
    </row>
    <row r="894" spans="1:11" x14ac:dyDescent="0.3">
      <c r="A894" s="3">
        <v>907</v>
      </c>
      <c r="B894" s="4">
        <v>45</v>
      </c>
      <c r="C894" s="4" t="s">
        <v>9</v>
      </c>
      <c r="D894" s="4" t="s">
        <v>27</v>
      </c>
      <c r="E894" s="4" t="s">
        <v>28</v>
      </c>
      <c r="F894" s="4">
        <v>8000</v>
      </c>
      <c r="G894" s="4">
        <v>66</v>
      </c>
      <c r="H894" s="4" t="s">
        <v>12</v>
      </c>
      <c r="I894" s="4" t="s">
        <v>13</v>
      </c>
      <c r="J894" s="4">
        <v>3</v>
      </c>
      <c r="K894" s="5" t="str">
        <f t="shared" si="13"/>
        <v>long</v>
      </c>
    </row>
    <row r="895" spans="1:11" x14ac:dyDescent="0.3">
      <c r="A895" s="3">
        <v>908</v>
      </c>
      <c r="B895" s="4">
        <v>40</v>
      </c>
      <c r="C895" s="4" t="s">
        <v>14</v>
      </c>
      <c r="D895" s="4" t="s">
        <v>29</v>
      </c>
      <c r="E895" s="4" t="s">
        <v>30</v>
      </c>
      <c r="F895" s="4">
        <v>3000</v>
      </c>
      <c r="G895" s="4">
        <v>66</v>
      </c>
      <c r="H895" s="4" t="s">
        <v>12</v>
      </c>
      <c r="I895" s="4" t="s">
        <v>13</v>
      </c>
      <c r="J895" s="4">
        <v>4</v>
      </c>
      <c r="K895" s="5" t="str">
        <f t="shared" si="13"/>
        <v>long</v>
      </c>
    </row>
    <row r="896" spans="1:11" x14ac:dyDescent="0.3">
      <c r="A896" s="3">
        <v>909</v>
      </c>
      <c r="B896" s="4">
        <v>78</v>
      </c>
      <c r="C896" s="4" t="s">
        <v>9</v>
      </c>
      <c r="D896" s="4" t="s">
        <v>31</v>
      </c>
      <c r="E896" s="4" t="s">
        <v>32</v>
      </c>
      <c r="F896" s="4">
        <v>18000</v>
      </c>
      <c r="G896" s="4">
        <v>68</v>
      </c>
      <c r="H896" s="4" t="s">
        <v>17</v>
      </c>
      <c r="I896" s="4" t="s">
        <v>18</v>
      </c>
      <c r="J896" s="4">
        <v>2</v>
      </c>
      <c r="K896" s="5" t="str">
        <f t="shared" si="13"/>
        <v>long</v>
      </c>
    </row>
    <row r="897" spans="1:11" x14ac:dyDescent="0.3">
      <c r="A897" s="3">
        <v>910</v>
      </c>
      <c r="B897" s="4">
        <v>25</v>
      </c>
      <c r="C897" s="4" t="s">
        <v>14</v>
      </c>
      <c r="D897" s="4" t="s">
        <v>33</v>
      </c>
      <c r="E897" s="4" t="s">
        <v>34</v>
      </c>
      <c r="F897" s="4">
        <v>100</v>
      </c>
      <c r="G897" s="4">
        <v>61</v>
      </c>
      <c r="H897" s="4" t="s">
        <v>12</v>
      </c>
      <c r="I897" s="4" t="s">
        <v>13</v>
      </c>
      <c r="J897" s="4">
        <v>5</v>
      </c>
      <c r="K897" s="5" t="str">
        <f t="shared" si="13"/>
        <v>long</v>
      </c>
    </row>
    <row r="898" spans="1:11" x14ac:dyDescent="0.3">
      <c r="A898" s="3">
        <v>911</v>
      </c>
      <c r="B898" s="4">
        <v>52</v>
      </c>
      <c r="C898" s="4" t="s">
        <v>9</v>
      </c>
      <c r="D898" s="4" t="s">
        <v>35</v>
      </c>
      <c r="E898" s="4" t="s">
        <v>36</v>
      </c>
      <c r="F898" s="4">
        <v>800</v>
      </c>
      <c r="G898" s="4">
        <v>62</v>
      </c>
      <c r="H898" s="4" t="s">
        <v>12</v>
      </c>
      <c r="I898" s="4" t="s">
        <v>18</v>
      </c>
      <c r="J898" s="4">
        <v>4</v>
      </c>
      <c r="K898" s="5" t="str">
        <f t="shared" si="13"/>
        <v>long</v>
      </c>
    </row>
    <row r="899" spans="1:11" x14ac:dyDescent="0.3">
      <c r="A899" s="3">
        <v>912</v>
      </c>
      <c r="B899" s="4">
        <v>58</v>
      </c>
      <c r="C899" s="4" t="s">
        <v>14</v>
      </c>
      <c r="D899" s="4" t="s">
        <v>37</v>
      </c>
      <c r="E899" s="4" t="s">
        <v>38</v>
      </c>
      <c r="F899" s="4">
        <v>20000</v>
      </c>
      <c r="G899" s="4">
        <v>69</v>
      </c>
      <c r="H899" s="4" t="s">
        <v>12</v>
      </c>
      <c r="I899" s="4" t="s">
        <v>13</v>
      </c>
      <c r="J899" s="4">
        <v>3</v>
      </c>
      <c r="K899" s="5" t="str">
        <f t="shared" si="13"/>
        <v>long</v>
      </c>
    </row>
    <row r="900" spans="1:11" x14ac:dyDescent="0.3">
      <c r="A900" s="3">
        <v>913</v>
      </c>
      <c r="B900" s="4">
        <v>32</v>
      </c>
      <c r="C900" s="4" t="s">
        <v>9</v>
      </c>
      <c r="D900" s="4" t="s">
        <v>39</v>
      </c>
      <c r="E900" s="4" t="s">
        <v>40</v>
      </c>
      <c r="F900" s="4">
        <v>12000</v>
      </c>
      <c r="G900" s="4">
        <v>63</v>
      </c>
      <c r="H900" s="4" t="s">
        <v>12</v>
      </c>
      <c r="I900" s="4" t="s">
        <v>13</v>
      </c>
      <c r="J900" s="4">
        <v>4</v>
      </c>
      <c r="K900" s="5" t="str">
        <f t="shared" ref="K900:K963" si="14">IF(G900&lt;=3,"short",IF(G900&lt;=7,"medium","long"))</f>
        <v>long</v>
      </c>
    </row>
    <row r="901" spans="1:11" x14ac:dyDescent="0.3">
      <c r="A901" s="3">
        <v>914</v>
      </c>
      <c r="B901" s="4">
        <v>55</v>
      </c>
      <c r="C901" s="4" t="s">
        <v>14</v>
      </c>
      <c r="D901" s="4" t="s">
        <v>41</v>
      </c>
      <c r="E901" s="4" t="s">
        <v>42</v>
      </c>
      <c r="F901" s="4">
        <v>6000</v>
      </c>
      <c r="G901" s="4">
        <v>64</v>
      </c>
      <c r="H901" s="4" t="s">
        <v>12</v>
      </c>
      <c r="I901" s="4" t="s">
        <v>13</v>
      </c>
      <c r="J901" s="4">
        <v>3</v>
      </c>
      <c r="K901" s="5" t="str">
        <f t="shared" si="14"/>
        <v>long</v>
      </c>
    </row>
    <row r="902" spans="1:11" x14ac:dyDescent="0.3">
      <c r="A902" s="3">
        <v>915</v>
      </c>
      <c r="B902" s="4">
        <v>65</v>
      </c>
      <c r="C902" s="4" t="s">
        <v>9</v>
      </c>
      <c r="D902" s="4" t="s">
        <v>43</v>
      </c>
      <c r="E902" s="4" t="s">
        <v>44</v>
      </c>
      <c r="F902" s="4">
        <v>4000</v>
      </c>
      <c r="G902" s="4">
        <v>65</v>
      </c>
      <c r="H902" s="4" t="s">
        <v>12</v>
      </c>
      <c r="I902" s="4" t="s">
        <v>18</v>
      </c>
      <c r="J902" s="4">
        <v>4</v>
      </c>
      <c r="K902" s="5" t="str">
        <f t="shared" si="14"/>
        <v>long</v>
      </c>
    </row>
    <row r="903" spans="1:11" x14ac:dyDescent="0.3">
      <c r="A903" s="3">
        <v>916</v>
      </c>
      <c r="B903" s="4">
        <v>55</v>
      </c>
      <c r="C903" s="4" t="s">
        <v>9</v>
      </c>
      <c r="D903" s="4" t="s">
        <v>10</v>
      </c>
      <c r="E903" s="4" t="s">
        <v>11</v>
      </c>
      <c r="F903" s="4">
        <v>15000</v>
      </c>
      <c r="G903" s="4">
        <v>66</v>
      </c>
      <c r="H903" s="4" t="s">
        <v>17</v>
      </c>
      <c r="I903" s="4" t="s">
        <v>13</v>
      </c>
      <c r="J903" s="4">
        <v>3</v>
      </c>
      <c r="K903" s="5" t="str">
        <f t="shared" si="14"/>
        <v>long</v>
      </c>
    </row>
    <row r="904" spans="1:11" x14ac:dyDescent="0.3">
      <c r="A904" s="3">
        <v>917</v>
      </c>
      <c r="B904" s="4">
        <v>62</v>
      </c>
      <c r="C904" s="4" t="s">
        <v>14</v>
      </c>
      <c r="D904" s="4" t="s">
        <v>15</v>
      </c>
      <c r="E904" s="4" t="s">
        <v>16</v>
      </c>
      <c r="F904" s="4">
        <v>2000</v>
      </c>
      <c r="G904" s="4">
        <v>64</v>
      </c>
      <c r="H904" s="4" t="s">
        <v>12</v>
      </c>
      <c r="I904" s="4" t="s">
        <v>18</v>
      </c>
      <c r="J904" s="4">
        <v>4</v>
      </c>
      <c r="K904" s="5" t="str">
        <f t="shared" si="14"/>
        <v>long</v>
      </c>
    </row>
    <row r="905" spans="1:11" x14ac:dyDescent="0.3">
      <c r="A905" s="3">
        <v>918</v>
      </c>
      <c r="B905" s="4">
        <v>35</v>
      </c>
      <c r="C905" s="4" t="s">
        <v>9</v>
      </c>
      <c r="D905" s="4" t="s">
        <v>19</v>
      </c>
      <c r="E905" s="4" t="s">
        <v>20</v>
      </c>
      <c r="F905" s="4">
        <v>500</v>
      </c>
      <c r="G905" s="4">
        <v>62</v>
      </c>
      <c r="H905" s="4" t="s">
        <v>17</v>
      </c>
      <c r="I905" s="4" t="s">
        <v>13</v>
      </c>
      <c r="J905" s="4">
        <v>5</v>
      </c>
      <c r="K905" s="5" t="str">
        <f t="shared" si="14"/>
        <v>long</v>
      </c>
    </row>
    <row r="906" spans="1:11" x14ac:dyDescent="0.3">
      <c r="A906" s="3">
        <v>919</v>
      </c>
      <c r="B906" s="4">
        <v>78</v>
      </c>
      <c r="C906" s="4" t="s">
        <v>14</v>
      </c>
      <c r="D906" s="4" t="s">
        <v>21</v>
      </c>
      <c r="E906" s="4" t="s">
        <v>22</v>
      </c>
      <c r="F906" s="4">
        <v>10000</v>
      </c>
      <c r="G906" s="4">
        <v>69</v>
      </c>
      <c r="H906" s="4" t="s">
        <v>12</v>
      </c>
      <c r="I906" s="4" t="s">
        <v>18</v>
      </c>
      <c r="J906" s="4">
        <v>2</v>
      </c>
      <c r="K906" s="5" t="str">
        <f t="shared" si="14"/>
        <v>long</v>
      </c>
    </row>
    <row r="907" spans="1:11" x14ac:dyDescent="0.3">
      <c r="A907" s="3">
        <v>920</v>
      </c>
      <c r="B907" s="4">
        <v>53</v>
      </c>
      <c r="C907" s="4" t="s">
        <v>9</v>
      </c>
      <c r="D907" s="4" t="s">
        <v>23</v>
      </c>
      <c r="E907" s="4" t="s">
        <v>24</v>
      </c>
      <c r="F907" s="4">
        <v>25000</v>
      </c>
      <c r="G907" s="4">
        <v>71</v>
      </c>
      <c r="H907" s="4" t="s">
        <v>17</v>
      </c>
      <c r="I907" s="4" t="s">
        <v>13</v>
      </c>
      <c r="J907" s="4">
        <v>4</v>
      </c>
      <c r="K907" s="5" t="str">
        <f t="shared" si="14"/>
        <v>long</v>
      </c>
    </row>
    <row r="908" spans="1:11" x14ac:dyDescent="0.3">
      <c r="A908" s="3">
        <v>921</v>
      </c>
      <c r="B908" s="4">
        <v>72</v>
      </c>
      <c r="C908" s="4" t="s">
        <v>14</v>
      </c>
      <c r="D908" s="4" t="s">
        <v>25</v>
      </c>
      <c r="E908" s="4" t="s">
        <v>26</v>
      </c>
      <c r="F908" s="4">
        <v>1000</v>
      </c>
      <c r="G908" s="4">
        <v>65</v>
      </c>
      <c r="H908" s="4" t="s">
        <v>12</v>
      </c>
      <c r="I908" s="4" t="s">
        <v>18</v>
      </c>
      <c r="J908" s="4">
        <v>4</v>
      </c>
      <c r="K908" s="5" t="str">
        <f t="shared" si="14"/>
        <v>long</v>
      </c>
    </row>
    <row r="909" spans="1:11" x14ac:dyDescent="0.3">
      <c r="A909" s="3">
        <v>922</v>
      </c>
      <c r="B909" s="4">
        <v>60</v>
      </c>
      <c r="C909" s="4" t="s">
        <v>9</v>
      </c>
      <c r="D909" s="4" t="s">
        <v>27</v>
      </c>
      <c r="E909" s="4" t="s">
        <v>28</v>
      </c>
      <c r="F909" s="4">
        <v>8000</v>
      </c>
      <c r="G909" s="4">
        <v>67</v>
      </c>
      <c r="H909" s="4" t="s">
        <v>17</v>
      </c>
      <c r="I909" s="4" t="s">
        <v>13</v>
      </c>
      <c r="J909" s="4">
        <v>3</v>
      </c>
      <c r="K909" s="5" t="str">
        <f t="shared" si="14"/>
        <v>long</v>
      </c>
    </row>
    <row r="910" spans="1:11" x14ac:dyDescent="0.3">
      <c r="A910" s="3">
        <v>923</v>
      </c>
      <c r="B910" s="4">
        <v>45</v>
      </c>
      <c r="C910" s="4" t="s">
        <v>14</v>
      </c>
      <c r="D910" s="4" t="s">
        <v>29</v>
      </c>
      <c r="E910" s="4" t="s">
        <v>30</v>
      </c>
      <c r="F910" s="4">
        <v>3000</v>
      </c>
      <c r="G910" s="4">
        <v>67</v>
      </c>
      <c r="H910" s="4" t="s">
        <v>12</v>
      </c>
      <c r="I910" s="4" t="s">
        <v>13</v>
      </c>
      <c r="J910" s="4">
        <v>4</v>
      </c>
      <c r="K910" s="5" t="str">
        <f t="shared" si="14"/>
        <v>long</v>
      </c>
    </row>
    <row r="911" spans="1:11" x14ac:dyDescent="0.3">
      <c r="A911" s="3">
        <v>924</v>
      </c>
      <c r="B911" s="4">
        <v>75</v>
      </c>
      <c r="C911" s="4" t="s">
        <v>9</v>
      </c>
      <c r="D911" s="4" t="s">
        <v>31</v>
      </c>
      <c r="E911" s="4" t="s">
        <v>32</v>
      </c>
      <c r="F911" s="4">
        <v>18000</v>
      </c>
      <c r="G911" s="4">
        <v>69</v>
      </c>
      <c r="H911" s="4" t="s">
        <v>17</v>
      </c>
      <c r="I911" s="4" t="s">
        <v>18</v>
      </c>
      <c r="J911" s="4">
        <v>2</v>
      </c>
      <c r="K911" s="5" t="str">
        <f t="shared" si="14"/>
        <v>long</v>
      </c>
    </row>
    <row r="912" spans="1:11" x14ac:dyDescent="0.3">
      <c r="A912" s="3">
        <v>925</v>
      </c>
      <c r="B912" s="4">
        <v>28</v>
      </c>
      <c r="C912" s="4" t="s">
        <v>14</v>
      </c>
      <c r="D912" s="4" t="s">
        <v>33</v>
      </c>
      <c r="E912" s="4" t="s">
        <v>34</v>
      </c>
      <c r="F912" s="4">
        <v>100</v>
      </c>
      <c r="G912" s="4">
        <v>62</v>
      </c>
      <c r="H912" s="4" t="s">
        <v>12</v>
      </c>
      <c r="I912" s="4" t="s">
        <v>13</v>
      </c>
      <c r="J912" s="4">
        <v>5</v>
      </c>
      <c r="K912" s="5" t="str">
        <f t="shared" si="14"/>
        <v>long</v>
      </c>
    </row>
    <row r="913" spans="1:11" x14ac:dyDescent="0.3">
      <c r="A913" s="3">
        <v>926</v>
      </c>
      <c r="B913" s="4">
        <v>52</v>
      </c>
      <c r="C913" s="4" t="s">
        <v>9</v>
      </c>
      <c r="D913" s="4" t="s">
        <v>35</v>
      </c>
      <c r="E913" s="4" t="s">
        <v>36</v>
      </c>
      <c r="F913" s="4">
        <v>800</v>
      </c>
      <c r="G913" s="4">
        <v>63</v>
      </c>
      <c r="H913" s="4" t="s">
        <v>12</v>
      </c>
      <c r="I913" s="4" t="s">
        <v>18</v>
      </c>
      <c r="J913" s="4">
        <v>4</v>
      </c>
      <c r="K913" s="5" t="str">
        <f t="shared" si="14"/>
        <v>long</v>
      </c>
    </row>
    <row r="914" spans="1:11" x14ac:dyDescent="0.3">
      <c r="A914" s="3">
        <v>927</v>
      </c>
      <c r="B914" s="4">
        <v>67</v>
      </c>
      <c r="C914" s="4" t="s">
        <v>14</v>
      </c>
      <c r="D914" s="4" t="s">
        <v>37</v>
      </c>
      <c r="E914" s="4" t="s">
        <v>38</v>
      </c>
      <c r="F914" s="4">
        <v>20000</v>
      </c>
      <c r="G914" s="4">
        <v>70</v>
      </c>
      <c r="H914" s="4" t="s">
        <v>12</v>
      </c>
      <c r="I914" s="4" t="s">
        <v>13</v>
      </c>
      <c r="J914" s="4">
        <v>3</v>
      </c>
      <c r="K914" s="5" t="str">
        <f t="shared" si="14"/>
        <v>long</v>
      </c>
    </row>
    <row r="915" spans="1:11" x14ac:dyDescent="0.3">
      <c r="A915" s="3">
        <v>928</v>
      </c>
      <c r="B915" s="4">
        <v>35</v>
      </c>
      <c r="C915" s="4" t="s">
        <v>9</v>
      </c>
      <c r="D915" s="4" t="s">
        <v>39</v>
      </c>
      <c r="E915" s="4" t="s">
        <v>40</v>
      </c>
      <c r="F915" s="4">
        <v>12000</v>
      </c>
      <c r="G915" s="4">
        <v>64</v>
      </c>
      <c r="H915" s="4" t="s">
        <v>12</v>
      </c>
      <c r="I915" s="4" t="s">
        <v>13</v>
      </c>
      <c r="J915" s="4">
        <v>4</v>
      </c>
      <c r="K915" s="5" t="str">
        <f t="shared" si="14"/>
        <v>long</v>
      </c>
    </row>
    <row r="916" spans="1:11" x14ac:dyDescent="0.3">
      <c r="A916" s="3">
        <v>929</v>
      </c>
      <c r="B916" s="4">
        <v>50</v>
      </c>
      <c r="C916" s="4" t="s">
        <v>14</v>
      </c>
      <c r="D916" s="4" t="s">
        <v>41</v>
      </c>
      <c r="E916" s="4" t="s">
        <v>42</v>
      </c>
      <c r="F916" s="4">
        <v>6000</v>
      </c>
      <c r="G916" s="4">
        <v>65</v>
      </c>
      <c r="H916" s="4" t="s">
        <v>12</v>
      </c>
      <c r="I916" s="4" t="s">
        <v>13</v>
      </c>
      <c r="J916" s="4">
        <v>3</v>
      </c>
      <c r="K916" s="5" t="str">
        <f t="shared" si="14"/>
        <v>long</v>
      </c>
    </row>
    <row r="917" spans="1:11" x14ac:dyDescent="0.3">
      <c r="A917" s="3">
        <v>930</v>
      </c>
      <c r="B917" s="4">
        <v>60</v>
      </c>
      <c r="C917" s="4" t="s">
        <v>9</v>
      </c>
      <c r="D917" s="4" t="s">
        <v>43</v>
      </c>
      <c r="E917" s="4" t="s">
        <v>44</v>
      </c>
      <c r="F917" s="4">
        <v>4000</v>
      </c>
      <c r="G917" s="4">
        <v>66</v>
      </c>
      <c r="H917" s="4" t="s">
        <v>12</v>
      </c>
      <c r="I917" s="4" t="s">
        <v>18</v>
      </c>
      <c r="J917" s="4">
        <v>4</v>
      </c>
      <c r="K917" s="5" t="str">
        <f t="shared" si="14"/>
        <v>long</v>
      </c>
    </row>
    <row r="918" spans="1:11" x14ac:dyDescent="0.3">
      <c r="A918" s="3">
        <v>931</v>
      </c>
      <c r="B918" s="4">
        <v>48</v>
      </c>
      <c r="C918" s="4" t="s">
        <v>9</v>
      </c>
      <c r="D918" s="4" t="s">
        <v>10</v>
      </c>
      <c r="E918" s="4" t="s">
        <v>11</v>
      </c>
      <c r="F918" s="4">
        <v>15000</v>
      </c>
      <c r="G918" s="4">
        <v>67</v>
      </c>
      <c r="H918" s="4" t="s">
        <v>17</v>
      </c>
      <c r="I918" s="4" t="s">
        <v>13</v>
      </c>
      <c r="J918" s="4">
        <v>4</v>
      </c>
      <c r="K918" s="5" t="str">
        <f t="shared" si="14"/>
        <v>long</v>
      </c>
    </row>
    <row r="919" spans="1:11" x14ac:dyDescent="0.3">
      <c r="A919" s="3">
        <v>932</v>
      </c>
      <c r="B919" s="4">
        <v>65</v>
      </c>
      <c r="C919" s="4" t="s">
        <v>14</v>
      </c>
      <c r="D919" s="4" t="s">
        <v>15</v>
      </c>
      <c r="E919" s="4" t="s">
        <v>16</v>
      </c>
      <c r="F919" s="4">
        <v>2000</v>
      </c>
      <c r="G919" s="4">
        <v>65</v>
      </c>
      <c r="H919" s="4" t="s">
        <v>12</v>
      </c>
      <c r="I919" s="4" t="s">
        <v>18</v>
      </c>
      <c r="J919" s="4">
        <v>3</v>
      </c>
      <c r="K919" s="5" t="str">
        <f t="shared" si="14"/>
        <v>long</v>
      </c>
    </row>
    <row r="920" spans="1:11" x14ac:dyDescent="0.3">
      <c r="A920" s="3">
        <v>933</v>
      </c>
      <c r="B920" s="4">
        <v>30</v>
      </c>
      <c r="C920" s="4" t="s">
        <v>9</v>
      </c>
      <c r="D920" s="4" t="s">
        <v>19</v>
      </c>
      <c r="E920" s="4" t="s">
        <v>20</v>
      </c>
      <c r="F920" s="4">
        <v>500</v>
      </c>
      <c r="G920" s="4">
        <v>63</v>
      </c>
      <c r="H920" s="4" t="s">
        <v>12</v>
      </c>
      <c r="I920" s="4" t="s">
        <v>13</v>
      </c>
      <c r="J920" s="4">
        <v>5</v>
      </c>
      <c r="K920" s="5" t="str">
        <f t="shared" si="14"/>
        <v>long</v>
      </c>
    </row>
    <row r="921" spans="1:11" x14ac:dyDescent="0.3">
      <c r="A921" s="3">
        <v>934</v>
      </c>
      <c r="B921" s="4">
        <v>70</v>
      </c>
      <c r="C921" s="4" t="s">
        <v>14</v>
      </c>
      <c r="D921" s="4" t="s">
        <v>21</v>
      </c>
      <c r="E921" s="4" t="s">
        <v>22</v>
      </c>
      <c r="F921" s="4">
        <v>10000</v>
      </c>
      <c r="G921" s="4">
        <v>70</v>
      </c>
      <c r="H921" s="4" t="s">
        <v>17</v>
      </c>
      <c r="I921" s="4" t="s">
        <v>18</v>
      </c>
      <c r="J921" s="4">
        <v>2</v>
      </c>
      <c r="K921" s="5" t="str">
        <f t="shared" si="14"/>
        <v>long</v>
      </c>
    </row>
    <row r="922" spans="1:11" x14ac:dyDescent="0.3">
      <c r="A922" s="3">
        <v>935</v>
      </c>
      <c r="B922" s="4">
        <v>55</v>
      </c>
      <c r="C922" s="4" t="s">
        <v>9</v>
      </c>
      <c r="D922" s="4" t="s">
        <v>23</v>
      </c>
      <c r="E922" s="4" t="s">
        <v>24</v>
      </c>
      <c r="F922" s="4">
        <v>25000</v>
      </c>
      <c r="G922" s="4">
        <v>72</v>
      </c>
      <c r="H922" s="4" t="s">
        <v>12</v>
      </c>
      <c r="I922" s="4" t="s">
        <v>13</v>
      </c>
      <c r="J922" s="4">
        <v>4</v>
      </c>
      <c r="K922" s="5" t="str">
        <f t="shared" si="14"/>
        <v>long</v>
      </c>
    </row>
    <row r="923" spans="1:11" x14ac:dyDescent="0.3">
      <c r="A923" s="3">
        <v>936</v>
      </c>
      <c r="B923" s="4">
        <v>68</v>
      </c>
      <c r="C923" s="4" t="s">
        <v>14</v>
      </c>
      <c r="D923" s="4" t="s">
        <v>25</v>
      </c>
      <c r="E923" s="4" t="s">
        <v>26</v>
      </c>
      <c r="F923" s="4">
        <v>1000</v>
      </c>
      <c r="G923" s="4">
        <v>66</v>
      </c>
      <c r="H923" s="4" t="s">
        <v>12</v>
      </c>
      <c r="I923" s="4" t="s">
        <v>18</v>
      </c>
      <c r="J923" s="4">
        <v>4</v>
      </c>
      <c r="K923" s="5" t="str">
        <f t="shared" si="14"/>
        <v>long</v>
      </c>
    </row>
    <row r="924" spans="1:11" x14ac:dyDescent="0.3">
      <c r="A924" s="3">
        <v>937</v>
      </c>
      <c r="B924" s="4">
        <v>45</v>
      </c>
      <c r="C924" s="4" t="s">
        <v>9</v>
      </c>
      <c r="D924" s="4" t="s">
        <v>27</v>
      </c>
      <c r="E924" s="4" t="s">
        <v>28</v>
      </c>
      <c r="F924" s="4">
        <v>8000</v>
      </c>
      <c r="G924" s="4">
        <v>68</v>
      </c>
      <c r="H924" s="4" t="s">
        <v>12</v>
      </c>
      <c r="I924" s="4" t="s">
        <v>13</v>
      </c>
      <c r="J924" s="4">
        <v>3</v>
      </c>
      <c r="K924" s="5" t="str">
        <f t="shared" si="14"/>
        <v>long</v>
      </c>
    </row>
    <row r="925" spans="1:11" x14ac:dyDescent="0.3">
      <c r="A925" s="3">
        <v>938</v>
      </c>
      <c r="B925" s="4">
        <v>40</v>
      </c>
      <c r="C925" s="4" t="s">
        <v>14</v>
      </c>
      <c r="D925" s="4" t="s">
        <v>29</v>
      </c>
      <c r="E925" s="4" t="s">
        <v>30</v>
      </c>
      <c r="F925" s="4">
        <v>3000</v>
      </c>
      <c r="G925" s="4">
        <v>68</v>
      </c>
      <c r="H925" s="4" t="s">
        <v>12</v>
      </c>
      <c r="I925" s="4" t="s">
        <v>13</v>
      </c>
      <c r="J925" s="4">
        <v>4</v>
      </c>
      <c r="K925" s="5" t="str">
        <f t="shared" si="14"/>
        <v>long</v>
      </c>
    </row>
    <row r="926" spans="1:11" x14ac:dyDescent="0.3">
      <c r="A926" s="3">
        <v>939</v>
      </c>
      <c r="B926" s="4">
        <v>78</v>
      </c>
      <c r="C926" s="4" t="s">
        <v>9</v>
      </c>
      <c r="D926" s="4" t="s">
        <v>31</v>
      </c>
      <c r="E926" s="4" t="s">
        <v>32</v>
      </c>
      <c r="F926" s="4">
        <v>18000</v>
      </c>
      <c r="G926" s="4">
        <v>70</v>
      </c>
      <c r="H926" s="4" t="s">
        <v>17</v>
      </c>
      <c r="I926" s="4" t="s">
        <v>18</v>
      </c>
      <c r="J926" s="4">
        <v>2</v>
      </c>
      <c r="K926" s="5" t="str">
        <f t="shared" si="14"/>
        <v>long</v>
      </c>
    </row>
    <row r="927" spans="1:11" x14ac:dyDescent="0.3">
      <c r="A927" s="3">
        <v>940</v>
      </c>
      <c r="B927" s="4">
        <v>25</v>
      </c>
      <c r="C927" s="4" t="s">
        <v>14</v>
      </c>
      <c r="D927" s="4" t="s">
        <v>33</v>
      </c>
      <c r="E927" s="4" t="s">
        <v>34</v>
      </c>
      <c r="F927" s="4">
        <v>100</v>
      </c>
      <c r="G927" s="4">
        <v>63</v>
      </c>
      <c r="H927" s="4" t="s">
        <v>12</v>
      </c>
      <c r="I927" s="4" t="s">
        <v>13</v>
      </c>
      <c r="J927" s="4">
        <v>5</v>
      </c>
      <c r="K927" s="5" t="str">
        <f t="shared" si="14"/>
        <v>long</v>
      </c>
    </row>
    <row r="928" spans="1:11" x14ac:dyDescent="0.3">
      <c r="A928" s="3">
        <v>941</v>
      </c>
      <c r="B928" s="4">
        <v>52</v>
      </c>
      <c r="C928" s="4" t="s">
        <v>9</v>
      </c>
      <c r="D928" s="4" t="s">
        <v>35</v>
      </c>
      <c r="E928" s="4" t="s">
        <v>36</v>
      </c>
      <c r="F928" s="4">
        <v>800</v>
      </c>
      <c r="G928" s="4">
        <v>64</v>
      </c>
      <c r="H928" s="4" t="s">
        <v>12</v>
      </c>
      <c r="I928" s="4" t="s">
        <v>18</v>
      </c>
      <c r="J928" s="4">
        <v>4</v>
      </c>
      <c r="K928" s="5" t="str">
        <f t="shared" si="14"/>
        <v>long</v>
      </c>
    </row>
    <row r="929" spans="1:11" x14ac:dyDescent="0.3">
      <c r="A929" s="3">
        <v>942</v>
      </c>
      <c r="B929" s="4">
        <v>58</v>
      </c>
      <c r="C929" s="4" t="s">
        <v>14</v>
      </c>
      <c r="D929" s="4" t="s">
        <v>37</v>
      </c>
      <c r="E929" s="4" t="s">
        <v>38</v>
      </c>
      <c r="F929" s="4">
        <v>20000</v>
      </c>
      <c r="G929" s="4">
        <v>71</v>
      </c>
      <c r="H929" s="4" t="s">
        <v>12</v>
      </c>
      <c r="I929" s="4" t="s">
        <v>13</v>
      </c>
      <c r="J929" s="4">
        <v>3</v>
      </c>
      <c r="K929" s="5" t="str">
        <f t="shared" si="14"/>
        <v>long</v>
      </c>
    </row>
    <row r="930" spans="1:11" x14ac:dyDescent="0.3">
      <c r="A930" s="3">
        <v>943</v>
      </c>
      <c r="B930" s="4">
        <v>32</v>
      </c>
      <c r="C930" s="4" t="s">
        <v>9</v>
      </c>
      <c r="D930" s="4" t="s">
        <v>39</v>
      </c>
      <c r="E930" s="4" t="s">
        <v>40</v>
      </c>
      <c r="F930" s="4">
        <v>12000</v>
      </c>
      <c r="G930" s="4">
        <v>65</v>
      </c>
      <c r="H930" s="4" t="s">
        <v>12</v>
      </c>
      <c r="I930" s="4" t="s">
        <v>13</v>
      </c>
      <c r="J930" s="4">
        <v>4</v>
      </c>
      <c r="K930" s="5" t="str">
        <f t="shared" si="14"/>
        <v>long</v>
      </c>
    </row>
    <row r="931" spans="1:11" x14ac:dyDescent="0.3">
      <c r="A931" s="3">
        <v>944</v>
      </c>
      <c r="B931" s="4">
        <v>55</v>
      </c>
      <c r="C931" s="4" t="s">
        <v>14</v>
      </c>
      <c r="D931" s="4" t="s">
        <v>41</v>
      </c>
      <c r="E931" s="4" t="s">
        <v>42</v>
      </c>
      <c r="F931" s="4">
        <v>6000</v>
      </c>
      <c r="G931" s="4">
        <v>66</v>
      </c>
      <c r="H931" s="4" t="s">
        <v>12</v>
      </c>
      <c r="I931" s="4" t="s">
        <v>13</v>
      </c>
      <c r="J931" s="4">
        <v>3</v>
      </c>
      <c r="K931" s="5" t="str">
        <f t="shared" si="14"/>
        <v>long</v>
      </c>
    </row>
    <row r="932" spans="1:11" x14ac:dyDescent="0.3">
      <c r="A932" s="3">
        <v>945</v>
      </c>
      <c r="B932" s="4">
        <v>65</v>
      </c>
      <c r="C932" s="4" t="s">
        <v>9</v>
      </c>
      <c r="D932" s="4" t="s">
        <v>43</v>
      </c>
      <c r="E932" s="4" t="s">
        <v>44</v>
      </c>
      <c r="F932" s="4">
        <v>4000</v>
      </c>
      <c r="G932" s="4">
        <v>67</v>
      </c>
      <c r="H932" s="4" t="s">
        <v>12</v>
      </c>
      <c r="I932" s="4" t="s">
        <v>18</v>
      </c>
      <c r="J932" s="4">
        <v>4</v>
      </c>
      <c r="K932" s="5" t="str">
        <f t="shared" si="14"/>
        <v>long</v>
      </c>
    </row>
    <row r="933" spans="1:11" x14ac:dyDescent="0.3">
      <c r="A933" s="3">
        <v>946</v>
      </c>
      <c r="B933" s="4">
        <v>55</v>
      </c>
      <c r="C933" s="4" t="s">
        <v>9</v>
      </c>
      <c r="D933" s="4" t="s">
        <v>10</v>
      </c>
      <c r="E933" s="4" t="s">
        <v>11</v>
      </c>
      <c r="F933" s="4">
        <v>15000</v>
      </c>
      <c r="G933" s="4">
        <v>68</v>
      </c>
      <c r="H933" s="4" t="s">
        <v>17</v>
      </c>
      <c r="I933" s="4" t="s">
        <v>13</v>
      </c>
      <c r="J933" s="4">
        <v>3</v>
      </c>
      <c r="K933" s="5" t="str">
        <f t="shared" si="14"/>
        <v>long</v>
      </c>
    </row>
    <row r="934" spans="1:11" x14ac:dyDescent="0.3">
      <c r="A934" s="3">
        <v>947</v>
      </c>
      <c r="B934" s="4">
        <v>62</v>
      </c>
      <c r="C934" s="4" t="s">
        <v>14</v>
      </c>
      <c r="D934" s="4" t="s">
        <v>15</v>
      </c>
      <c r="E934" s="4" t="s">
        <v>16</v>
      </c>
      <c r="F934" s="4">
        <v>2000</v>
      </c>
      <c r="G934" s="4">
        <v>66</v>
      </c>
      <c r="H934" s="4" t="s">
        <v>12</v>
      </c>
      <c r="I934" s="4" t="s">
        <v>18</v>
      </c>
      <c r="J934" s="4">
        <v>4</v>
      </c>
      <c r="K934" s="5" t="str">
        <f t="shared" si="14"/>
        <v>long</v>
      </c>
    </row>
    <row r="935" spans="1:11" x14ac:dyDescent="0.3">
      <c r="A935" s="3">
        <v>948</v>
      </c>
      <c r="B935" s="4">
        <v>35</v>
      </c>
      <c r="C935" s="4" t="s">
        <v>9</v>
      </c>
      <c r="D935" s="4" t="s">
        <v>19</v>
      </c>
      <c r="E935" s="4" t="s">
        <v>20</v>
      </c>
      <c r="F935" s="4">
        <v>500</v>
      </c>
      <c r="G935" s="4">
        <v>64</v>
      </c>
      <c r="H935" s="4" t="s">
        <v>17</v>
      </c>
      <c r="I935" s="4" t="s">
        <v>13</v>
      </c>
      <c r="J935" s="4">
        <v>5</v>
      </c>
      <c r="K935" s="5" t="str">
        <f t="shared" si="14"/>
        <v>long</v>
      </c>
    </row>
    <row r="936" spans="1:11" x14ac:dyDescent="0.3">
      <c r="A936" s="3">
        <v>949</v>
      </c>
      <c r="B936" s="4">
        <v>78</v>
      </c>
      <c r="C936" s="4" t="s">
        <v>14</v>
      </c>
      <c r="D936" s="4" t="s">
        <v>21</v>
      </c>
      <c r="E936" s="4" t="s">
        <v>22</v>
      </c>
      <c r="F936" s="4">
        <v>10000</v>
      </c>
      <c r="G936" s="4">
        <v>71</v>
      </c>
      <c r="H936" s="4" t="s">
        <v>12</v>
      </c>
      <c r="I936" s="4" t="s">
        <v>18</v>
      </c>
      <c r="J936" s="4">
        <v>2</v>
      </c>
      <c r="K936" s="5" t="str">
        <f t="shared" si="14"/>
        <v>long</v>
      </c>
    </row>
    <row r="937" spans="1:11" x14ac:dyDescent="0.3">
      <c r="A937" s="3">
        <v>950</v>
      </c>
      <c r="B937" s="4">
        <v>53</v>
      </c>
      <c r="C937" s="4" t="s">
        <v>9</v>
      </c>
      <c r="D937" s="4" t="s">
        <v>23</v>
      </c>
      <c r="E937" s="4" t="s">
        <v>24</v>
      </c>
      <c r="F937" s="4">
        <v>25000</v>
      </c>
      <c r="G937" s="4">
        <v>73</v>
      </c>
      <c r="H937" s="4" t="s">
        <v>17</v>
      </c>
      <c r="I937" s="4" t="s">
        <v>13</v>
      </c>
      <c r="J937" s="4">
        <v>4</v>
      </c>
      <c r="K937" s="5" t="str">
        <f t="shared" si="14"/>
        <v>long</v>
      </c>
    </row>
    <row r="938" spans="1:11" x14ac:dyDescent="0.3">
      <c r="A938" s="3">
        <v>951</v>
      </c>
      <c r="B938" s="4">
        <v>72</v>
      </c>
      <c r="C938" s="4" t="s">
        <v>14</v>
      </c>
      <c r="D938" s="4" t="s">
        <v>25</v>
      </c>
      <c r="E938" s="4" t="s">
        <v>26</v>
      </c>
      <c r="F938" s="4">
        <v>1000</v>
      </c>
      <c r="G938" s="4">
        <v>67</v>
      </c>
      <c r="H938" s="4" t="s">
        <v>12</v>
      </c>
      <c r="I938" s="4" t="s">
        <v>18</v>
      </c>
      <c r="J938" s="4">
        <v>4</v>
      </c>
      <c r="K938" s="5" t="str">
        <f t="shared" si="14"/>
        <v>long</v>
      </c>
    </row>
    <row r="939" spans="1:11" x14ac:dyDescent="0.3">
      <c r="A939" s="3">
        <v>952</v>
      </c>
      <c r="B939" s="4">
        <v>60</v>
      </c>
      <c r="C939" s="4" t="s">
        <v>9</v>
      </c>
      <c r="D939" s="4" t="s">
        <v>27</v>
      </c>
      <c r="E939" s="4" t="s">
        <v>28</v>
      </c>
      <c r="F939" s="4">
        <v>8000</v>
      </c>
      <c r="G939" s="4">
        <v>69</v>
      </c>
      <c r="H939" s="4" t="s">
        <v>17</v>
      </c>
      <c r="I939" s="4" t="s">
        <v>13</v>
      </c>
      <c r="J939" s="4">
        <v>3</v>
      </c>
      <c r="K939" s="5" t="str">
        <f t="shared" si="14"/>
        <v>long</v>
      </c>
    </row>
    <row r="940" spans="1:11" x14ac:dyDescent="0.3">
      <c r="A940" s="3">
        <v>953</v>
      </c>
      <c r="B940" s="4">
        <v>45</v>
      </c>
      <c r="C940" s="4" t="s">
        <v>14</v>
      </c>
      <c r="D940" s="4" t="s">
        <v>29</v>
      </c>
      <c r="E940" s="4" t="s">
        <v>30</v>
      </c>
      <c r="F940" s="4">
        <v>3000</v>
      </c>
      <c r="G940" s="4">
        <v>69</v>
      </c>
      <c r="H940" s="4" t="s">
        <v>12</v>
      </c>
      <c r="I940" s="4" t="s">
        <v>13</v>
      </c>
      <c r="J940" s="4">
        <v>4</v>
      </c>
      <c r="K940" s="5" t="str">
        <f t="shared" si="14"/>
        <v>long</v>
      </c>
    </row>
    <row r="941" spans="1:11" x14ac:dyDescent="0.3">
      <c r="A941" s="3">
        <v>954</v>
      </c>
      <c r="B941" s="4">
        <v>75</v>
      </c>
      <c r="C941" s="4" t="s">
        <v>9</v>
      </c>
      <c r="D941" s="4" t="s">
        <v>31</v>
      </c>
      <c r="E941" s="4" t="s">
        <v>32</v>
      </c>
      <c r="F941" s="4">
        <v>18000</v>
      </c>
      <c r="G941" s="4">
        <v>71</v>
      </c>
      <c r="H941" s="4" t="s">
        <v>17</v>
      </c>
      <c r="I941" s="4" t="s">
        <v>18</v>
      </c>
      <c r="J941" s="4">
        <v>2</v>
      </c>
      <c r="K941" s="5" t="str">
        <f t="shared" si="14"/>
        <v>long</v>
      </c>
    </row>
    <row r="942" spans="1:11" x14ac:dyDescent="0.3">
      <c r="A942" s="3">
        <v>955</v>
      </c>
      <c r="B942" s="4">
        <v>28</v>
      </c>
      <c r="C942" s="4" t="s">
        <v>14</v>
      </c>
      <c r="D942" s="4" t="s">
        <v>33</v>
      </c>
      <c r="E942" s="4" t="s">
        <v>34</v>
      </c>
      <c r="F942" s="4">
        <v>100</v>
      </c>
      <c r="G942" s="4">
        <v>64</v>
      </c>
      <c r="H942" s="4" t="s">
        <v>12</v>
      </c>
      <c r="I942" s="4" t="s">
        <v>13</v>
      </c>
      <c r="J942" s="4">
        <v>5</v>
      </c>
      <c r="K942" s="5" t="str">
        <f t="shared" si="14"/>
        <v>long</v>
      </c>
    </row>
    <row r="943" spans="1:11" x14ac:dyDescent="0.3">
      <c r="A943" s="3">
        <v>956</v>
      </c>
      <c r="B943" s="4">
        <v>52</v>
      </c>
      <c r="C943" s="4" t="s">
        <v>9</v>
      </c>
      <c r="D943" s="4" t="s">
        <v>35</v>
      </c>
      <c r="E943" s="4" t="s">
        <v>36</v>
      </c>
      <c r="F943" s="4">
        <v>800</v>
      </c>
      <c r="G943" s="4">
        <v>65</v>
      </c>
      <c r="H943" s="4" t="s">
        <v>12</v>
      </c>
      <c r="I943" s="4" t="s">
        <v>18</v>
      </c>
      <c r="J943" s="4">
        <v>4</v>
      </c>
      <c r="K943" s="5" t="str">
        <f t="shared" si="14"/>
        <v>long</v>
      </c>
    </row>
    <row r="944" spans="1:11" x14ac:dyDescent="0.3">
      <c r="A944" s="3">
        <v>957</v>
      </c>
      <c r="B944" s="4">
        <v>67</v>
      </c>
      <c r="C944" s="4" t="s">
        <v>14</v>
      </c>
      <c r="D944" s="4" t="s">
        <v>37</v>
      </c>
      <c r="E944" s="4" t="s">
        <v>38</v>
      </c>
      <c r="F944" s="4">
        <v>20000</v>
      </c>
      <c r="G944" s="4">
        <v>72</v>
      </c>
      <c r="H944" s="4" t="s">
        <v>12</v>
      </c>
      <c r="I944" s="4" t="s">
        <v>13</v>
      </c>
      <c r="J944" s="4">
        <v>3</v>
      </c>
      <c r="K944" s="5" t="str">
        <f t="shared" si="14"/>
        <v>long</v>
      </c>
    </row>
    <row r="945" spans="1:11" x14ac:dyDescent="0.3">
      <c r="A945" s="3">
        <v>958</v>
      </c>
      <c r="B945" s="4">
        <v>35</v>
      </c>
      <c r="C945" s="4" t="s">
        <v>9</v>
      </c>
      <c r="D945" s="4" t="s">
        <v>39</v>
      </c>
      <c r="E945" s="4" t="s">
        <v>40</v>
      </c>
      <c r="F945" s="4">
        <v>12000</v>
      </c>
      <c r="G945" s="4">
        <v>66</v>
      </c>
      <c r="H945" s="4" t="s">
        <v>12</v>
      </c>
      <c r="I945" s="4" t="s">
        <v>13</v>
      </c>
      <c r="J945" s="4">
        <v>4</v>
      </c>
      <c r="K945" s="5" t="str">
        <f t="shared" si="14"/>
        <v>long</v>
      </c>
    </row>
    <row r="946" spans="1:11" x14ac:dyDescent="0.3">
      <c r="A946" s="3">
        <v>959</v>
      </c>
      <c r="B946" s="4">
        <v>50</v>
      </c>
      <c r="C946" s="4" t="s">
        <v>14</v>
      </c>
      <c r="D946" s="4" t="s">
        <v>41</v>
      </c>
      <c r="E946" s="4" t="s">
        <v>42</v>
      </c>
      <c r="F946" s="4">
        <v>6000</v>
      </c>
      <c r="G946" s="4">
        <v>67</v>
      </c>
      <c r="H946" s="4" t="s">
        <v>12</v>
      </c>
      <c r="I946" s="4" t="s">
        <v>13</v>
      </c>
      <c r="J946" s="4">
        <v>3</v>
      </c>
      <c r="K946" s="5" t="str">
        <f t="shared" si="14"/>
        <v>long</v>
      </c>
    </row>
    <row r="947" spans="1:11" x14ac:dyDescent="0.3">
      <c r="A947" s="3">
        <v>960</v>
      </c>
      <c r="B947" s="4">
        <v>60</v>
      </c>
      <c r="C947" s="4" t="s">
        <v>9</v>
      </c>
      <c r="D947" s="4" t="s">
        <v>43</v>
      </c>
      <c r="E947" s="4" t="s">
        <v>44</v>
      </c>
      <c r="F947" s="4">
        <v>4000</v>
      </c>
      <c r="G947" s="4">
        <v>68</v>
      </c>
      <c r="H947" s="4" t="s">
        <v>12</v>
      </c>
      <c r="I947" s="4" t="s">
        <v>18</v>
      </c>
      <c r="J947" s="4">
        <v>4</v>
      </c>
      <c r="K947" s="5" t="str">
        <f t="shared" si="14"/>
        <v>long</v>
      </c>
    </row>
    <row r="948" spans="1:11" x14ac:dyDescent="0.3">
      <c r="A948" s="3">
        <v>961</v>
      </c>
      <c r="B948" s="4">
        <v>48</v>
      </c>
      <c r="C948" s="4" t="s">
        <v>9</v>
      </c>
      <c r="D948" s="4" t="s">
        <v>10</v>
      </c>
      <c r="E948" s="4" t="s">
        <v>11</v>
      </c>
      <c r="F948" s="4">
        <v>15000</v>
      </c>
      <c r="G948" s="4">
        <v>69</v>
      </c>
      <c r="H948" s="4" t="s">
        <v>17</v>
      </c>
      <c r="I948" s="4" t="s">
        <v>13</v>
      </c>
      <c r="J948" s="4">
        <v>4</v>
      </c>
      <c r="K948" s="5" t="str">
        <f t="shared" si="14"/>
        <v>long</v>
      </c>
    </row>
    <row r="949" spans="1:11" x14ac:dyDescent="0.3">
      <c r="A949" s="3">
        <v>962</v>
      </c>
      <c r="B949" s="4">
        <v>65</v>
      </c>
      <c r="C949" s="4" t="s">
        <v>14</v>
      </c>
      <c r="D949" s="4" t="s">
        <v>15</v>
      </c>
      <c r="E949" s="4" t="s">
        <v>16</v>
      </c>
      <c r="F949" s="4">
        <v>2000</v>
      </c>
      <c r="G949" s="4">
        <v>67</v>
      </c>
      <c r="H949" s="4" t="s">
        <v>12</v>
      </c>
      <c r="I949" s="4" t="s">
        <v>18</v>
      </c>
      <c r="J949" s="4">
        <v>3</v>
      </c>
      <c r="K949" s="5" t="str">
        <f t="shared" si="14"/>
        <v>long</v>
      </c>
    </row>
    <row r="950" spans="1:11" x14ac:dyDescent="0.3">
      <c r="A950" s="3">
        <v>963</v>
      </c>
      <c r="B950" s="4">
        <v>30</v>
      </c>
      <c r="C950" s="4" t="s">
        <v>9</v>
      </c>
      <c r="D950" s="4" t="s">
        <v>19</v>
      </c>
      <c r="E950" s="4" t="s">
        <v>20</v>
      </c>
      <c r="F950" s="4">
        <v>500</v>
      </c>
      <c r="G950" s="4">
        <v>65</v>
      </c>
      <c r="H950" s="4" t="s">
        <v>12</v>
      </c>
      <c r="I950" s="4" t="s">
        <v>13</v>
      </c>
      <c r="J950" s="4">
        <v>5</v>
      </c>
      <c r="K950" s="5" t="str">
        <f t="shared" si="14"/>
        <v>long</v>
      </c>
    </row>
    <row r="951" spans="1:11" x14ac:dyDescent="0.3">
      <c r="A951" s="3">
        <v>964</v>
      </c>
      <c r="B951" s="4">
        <v>70</v>
      </c>
      <c r="C951" s="4" t="s">
        <v>14</v>
      </c>
      <c r="D951" s="4" t="s">
        <v>21</v>
      </c>
      <c r="E951" s="4" t="s">
        <v>22</v>
      </c>
      <c r="F951" s="4">
        <v>10000</v>
      </c>
      <c r="G951" s="4">
        <v>72</v>
      </c>
      <c r="H951" s="4" t="s">
        <v>17</v>
      </c>
      <c r="I951" s="4" t="s">
        <v>18</v>
      </c>
      <c r="J951" s="4">
        <v>2</v>
      </c>
      <c r="K951" s="5" t="str">
        <f t="shared" si="14"/>
        <v>long</v>
      </c>
    </row>
    <row r="952" spans="1:11" x14ac:dyDescent="0.3">
      <c r="A952" s="3">
        <v>965</v>
      </c>
      <c r="B952" s="4">
        <v>55</v>
      </c>
      <c r="C952" s="4" t="s">
        <v>9</v>
      </c>
      <c r="D952" s="4" t="s">
        <v>23</v>
      </c>
      <c r="E952" s="4" t="s">
        <v>24</v>
      </c>
      <c r="F952" s="4">
        <v>25000</v>
      </c>
      <c r="G952" s="4">
        <v>74</v>
      </c>
      <c r="H952" s="4" t="s">
        <v>12</v>
      </c>
      <c r="I952" s="4" t="s">
        <v>13</v>
      </c>
      <c r="J952" s="4">
        <v>4</v>
      </c>
      <c r="K952" s="5" t="str">
        <f t="shared" si="14"/>
        <v>long</v>
      </c>
    </row>
    <row r="953" spans="1:11" x14ac:dyDescent="0.3">
      <c r="A953" s="3">
        <v>966</v>
      </c>
      <c r="B953" s="4">
        <v>68</v>
      </c>
      <c r="C953" s="4" t="s">
        <v>14</v>
      </c>
      <c r="D953" s="4" t="s">
        <v>25</v>
      </c>
      <c r="E953" s="4" t="s">
        <v>26</v>
      </c>
      <c r="F953" s="4">
        <v>1000</v>
      </c>
      <c r="G953" s="4">
        <v>68</v>
      </c>
      <c r="H953" s="4" t="s">
        <v>12</v>
      </c>
      <c r="I953" s="4" t="s">
        <v>18</v>
      </c>
      <c r="J953" s="4">
        <v>4</v>
      </c>
      <c r="K953" s="5" t="str">
        <f t="shared" si="14"/>
        <v>long</v>
      </c>
    </row>
    <row r="954" spans="1:11" x14ac:dyDescent="0.3">
      <c r="A954" s="3">
        <v>968</v>
      </c>
      <c r="B954" s="4">
        <v>40</v>
      </c>
      <c r="C954" s="4" t="s">
        <v>14</v>
      </c>
      <c r="D954" s="4" t="s">
        <v>29</v>
      </c>
      <c r="E954" s="4" t="s">
        <v>30</v>
      </c>
      <c r="F954" s="4">
        <v>3000</v>
      </c>
      <c r="G954" s="4">
        <v>70</v>
      </c>
      <c r="H954" s="4" t="s">
        <v>12</v>
      </c>
      <c r="I954" s="4" t="s">
        <v>13</v>
      </c>
      <c r="J954" s="4">
        <v>4</v>
      </c>
      <c r="K954" s="5" t="str">
        <f t="shared" si="14"/>
        <v>long</v>
      </c>
    </row>
    <row r="955" spans="1:11" x14ac:dyDescent="0.3">
      <c r="A955" s="3">
        <v>969</v>
      </c>
      <c r="B955" s="4">
        <v>78</v>
      </c>
      <c r="C955" s="4" t="s">
        <v>9</v>
      </c>
      <c r="D955" s="4" t="s">
        <v>31</v>
      </c>
      <c r="E955" s="4" t="s">
        <v>32</v>
      </c>
      <c r="F955" s="4">
        <v>18000</v>
      </c>
      <c r="G955" s="4">
        <v>72</v>
      </c>
      <c r="H955" s="4" t="s">
        <v>17</v>
      </c>
      <c r="I955" s="4" t="s">
        <v>18</v>
      </c>
      <c r="J955" s="4">
        <v>2</v>
      </c>
      <c r="K955" s="5" t="str">
        <f t="shared" si="14"/>
        <v>long</v>
      </c>
    </row>
    <row r="956" spans="1:11" x14ac:dyDescent="0.3">
      <c r="A956" s="3">
        <v>970</v>
      </c>
      <c r="B956" s="4">
        <v>25</v>
      </c>
      <c r="C956" s="4" t="s">
        <v>14</v>
      </c>
      <c r="D956" s="4" t="s">
        <v>33</v>
      </c>
      <c r="E956" s="4" t="s">
        <v>34</v>
      </c>
      <c r="F956" s="4">
        <v>100</v>
      </c>
      <c r="G956" s="4">
        <v>65</v>
      </c>
      <c r="H956" s="4" t="s">
        <v>12</v>
      </c>
      <c r="I956" s="4" t="s">
        <v>13</v>
      </c>
      <c r="J956" s="4">
        <v>5</v>
      </c>
      <c r="K956" s="5" t="str">
        <f t="shared" si="14"/>
        <v>long</v>
      </c>
    </row>
    <row r="957" spans="1:11" x14ac:dyDescent="0.3">
      <c r="A957" s="3">
        <v>971</v>
      </c>
      <c r="B957" s="4">
        <v>52</v>
      </c>
      <c r="C957" s="4" t="s">
        <v>9</v>
      </c>
      <c r="D957" s="4" t="s">
        <v>35</v>
      </c>
      <c r="E957" s="4" t="s">
        <v>36</v>
      </c>
      <c r="F957" s="4">
        <v>800</v>
      </c>
      <c r="G957" s="4">
        <v>66</v>
      </c>
      <c r="H957" s="4" t="s">
        <v>12</v>
      </c>
      <c r="I957" s="4" t="s">
        <v>18</v>
      </c>
      <c r="J957" s="4">
        <v>4</v>
      </c>
      <c r="K957" s="5" t="str">
        <f t="shared" si="14"/>
        <v>long</v>
      </c>
    </row>
    <row r="958" spans="1:11" x14ac:dyDescent="0.3">
      <c r="A958" s="3">
        <v>972</v>
      </c>
      <c r="B958" s="4">
        <v>58</v>
      </c>
      <c r="C958" s="4" t="s">
        <v>14</v>
      </c>
      <c r="D958" s="4" t="s">
        <v>37</v>
      </c>
      <c r="E958" s="4" t="s">
        <v>38</v>
      </c>
      <c r="F958" s="4">
        <v>20000</v>
      </c>
      <c r="G958" s="4">
        <v>73</v>
      </c>
      <c r="H958" s="4" t="s">
        <v>12</v>
      </c>
      <c r="I958" s="4" t="s">
        <v>13</v>
      </c>
      <c r="J958" s="4">
        <v>3</v>
      </c>
      <c r="K958" s="5" t="str">
        <f t="shared" si="14"/>
        <v>long</v>
      </c>
    </row>
    <row r="959" spans="1:11" x14ac:dyDescent="0.3">
      <c r="A959" s="3">
        <v>973</v>
      </c>
      <c r="B959" s="4">
        <v>32</v>
      </c>
      <c r="C959" s="4" t="s">
        <v>9</v>
      </c>
      <c r="D959" s="4" t="s">
        <v>39</v>
      </c>
      <c r="E959" s="4" t="s">
        <v>40</v>
      </c>
      <c r="F959" s="4">
        <v>12000</v>
      </c>
      <c r="G959" s="4">
        <v>67</v>
      </c>
      <c r="H959" s="4" t="s">
        <v>12</v>
      </c>
      <c r="I959" s="4" t="s">
        <v>13</v>
      </c>
      <c r="J959" s="4">
        <v>4</v>
      </c>
      <c r="K959" s="5" t="str">
        <f t="shared" si="14"/>
        <v>long</v>
      </c>
    </row>
    <row r="960" spans="1:11" x14ac:dyDescent="0.3">
      <c r="A960" s="3">
        <v>974</v>
      </c>
      <c r="B960" s="4">
        <v>55</v>
      </c>
      <c r="C960" s="4" t="s">
        <v>14</v>
      </c>
      <c r="D960" s="4" t="s">
        <v>41</v>
      </c>
      <c r="E960" s="4" t="s">
        <v>42</v>
      </c>
      <c r="F960" s="4">
        <v>6000</v>
      </c>
      <c r="G960" s="4">
        <v>68</v>
      </c>
      <c r="H960" s="4" t="s">
        <v>12</v>
      </c>
      <c r="I960" s="4" t="s">
        <v>13</v>
      </c>
      <c r="J960" s="4">
        <v>3</v>
      </c>
      <c r="K960" s="5" t="str">
        <f t="shared" si="14"/>
        <v>long</v>
      </c>
    </row>
    <row r="961" spans="1:11" x14ac:dyDescent="0.3">
      <c r="A961" s="3">
        <v>975</v>
      </c>
      <c r="B961" s="4">
        <v>65</v>
      </c>
      <c r="C961" s="4" t="s">
        <v>9</v>
      </c>
      <c r="D961" s="4" t="s">
        <v>43</v>
      </c>
      <c r="E961" s="4" t="s">
        <v>44</v>
      </c>
      <c r="F961" s="4">
        <v>4000</v>
      </c>
      <c r="G961" s="4">
        <v>69</v>
      </c>
      <c r="H961" s="4" t="s">
        <v>12</v>
      </c>
      <c r="I961" s="4" t="s">
        <v>18</v>
      </c>
      <c r="J961" s="4">
        <v>4</v>
      </c>
      <c r="K961" s="5" t="str">
        <f t="shared" si="14"/>
        <v>long</v>
      </c>
    </row>
    <row r="962" spans="1:11" x14ac:dyDescent="0.3">
      <c r="A962" s="3">
        <v>976</v>
      </c>
      <c r="B962" s="4">
        <v>55</v>
      </c>
      <c r="C962" s="4" t="s">
        <v>9</v>
      </c>
      <c r="D962" s="4" t="s">
        <v>10</v>
      </c>
      <c r="E962" s="4" t="s">
        <v>11</v>
      </c>
      <c r="F962" s="4">
        <v>15000</v>
      </c>
      <c r="G962" s="4">
        <v>70</v>
      </c>
      <c r="H962" s="4" t="s">
        <v>17</v>
      </c>
      <c r="I962" s="4" t="s">
        <v>13</v>
      </c>
      <c r="J962" s="4">
        <v>3</v>
      </c>
      <c r="K962" s="5" t="str">
        <f t="shared" si="14"/>
        <v>long</v>
      </c>
    </row>
    <row r="963" spans="1:11" x14ac:dyDescent="0.3">
      <c r="A963" s="3">
        <v>977</v>
      </c>
      <c r="B963" s="4">
        <v>62</v>
      </c>
      <c r="C963" s="4" t="s">
        <v>14</v>
      </c>
      <c r="D963" s="4" t="s">
        <v>15</v>
      </c>
      <c r="E963" s="4" t="s">
        <v>16</v>
      </c>
      <c r="F963" s="4">
        <v>2000</v>
      </c>
      <c r="G963" s="4">
        <v>68</v>
      </c>
      <c r="H963" s="4" t="s">
        <v>12</v>
      </c>
      <c r="I963" s="4" t="s">
        <v>18</v>
      </c>
      <c r="J963" s="4">
        <v>4</v>
      </c>
      <c r="K963" s="5" t="str">
        <f t="shared" si="14"/>
        <v>long</v>
      </c>
    </row>
    <row r="964" spans="1:11" x14ac:dyDescent="0.3">
      <c r="A964" s="3">
        <v>978</v>
      </c>
      <c r="B964" s="4">
        <v>35</v>
      </c>
      <c r="C964" s="4" t="s">
        <v>9</v>
      </c>
      <c r="D964" s="4" t="s">
        <v>19</v>
      </c>
      <c r="E964" s="4" t="s">
        <v>20</v>
      </c>
      <c r="F964" s="4">
        <v>500</v>
      </c>
      <c r="G964" s="4">
        <v>66</v>
      </c>
      <c r="H964" s="4" t="s">
        <v>17</v>
      </c>
      <c r="I964" s="4" t="s">
        <v>13</v>
      </c>
      <c r="J964" s="4">
        <v>5</v>
      </c>
      <c r="K964" s="5" t="str">
        <f t="shared" ref="K964:K986" si="15">IF(G964&lt;=3,"short",IF(G964&lt;=7,"medium","long"))</f>
        <v>long</v>
      </c>
    </row>
    <row r="965" spans="1:11" x14ac:dyDescent="0.3">
      <c r="A965" s="3">
        <v>979</v>
      </c>
      <c r="B965" s="4">
        <v>78</v>
      </c>
      <c r="C965" s="4" t="s">
        <v>14</v>
      </c>
      <c r="D965" s="4" t="s">
        <v>21</v>
      </c>
      <c r="E965" s="4" t="s">
        <v>22</v>
      </c>
      <c r="F965" s="4">
        <v>10000</v>
      </c>
      <c r="G965" s="4">
        <v>73</v>
      </c>
      <c r="H965" s="4" t="s">
        <v>12</v>
      </c>
      <c r="I965" s="4" t="s">
        <v>18</v>
      </c>
      <c r="J965" s="4">
        <v>2</v>
      </c>
      <c r="K965" s="5" t="str">
        <f t="shared" si="15"/>
        <v>long</v>
      </c>
    </row>
    <row r="966" spans="1:11" x14ac:dyDescent="0.3">
      <c r="A966" s="3">
        <v>980</v>
      </c>
      <c r="B966" s="4">
        <v>53</v>
      </c>
      <c r="C966" s="4" t="s">
        <v>9</v>
      </c>
      <c r="D966" s="4" t="s">
        <v>23</v>
      </c>
      <c r="E966" s="4" t="s">
        <v>24</v>
      </c>
      <c r="F966" s="4">
        <v>25000</v>
      </c>
      <c r="G966" s="4">
        <v>75</v>
      </c>
      <c r="H966" s="4" t="s">
        <v>17</v>
      </c>
      <c r="I966" s="4" t="s">
        <v>13</v>
      </c>
      <c r="J966" s="4">
        <v>4</v>
      </c>
      <c r="K966" s="5" t="str">
        <f t="shared" si="15"/>
        <v>long</v>
      </c>
    </row>
    <row r="967" spans="1:11" x14ac:dyDescent="0.3">
      <c r="A967" s="3">
        <v>981</v>
      </c>
      <c r="B967" s="4">
        <v>72</v>
      </c>
      <c r="C967" s="4" t="s">
        <v>14</v>
      </c>
      <c r="D967" s="4" t="s">
        <v>25</v>
      </c>
      <c r="E967" s="4" t="s">
        <v>26</v>
      </c>
      <c r="F967" s="4">
        <v>1000</v>
      </c>
      <c r="G967" s="4">
        <v>69</v>
      </c>
      <c r="H967" s="4" t="s">
        <v>12</v>
      </c>
      <c r="I967" s="4" t="s">
        <v>18</v>
      </c>
      <c r="J967" s="4">
        <v>4</v>
      </c>
      <c r="K967" s="5" t="str">
        <f t="shared" si="15"/>
        <v>long</v>
      </c>
    </row>
    <row r="968" spans="1:11" x14ac:dyDescent="0.3">
      <c r="A968" s="3">
        <v>982</v>
      </c>
      <c r="B968" s="4">
        <v>60</v>
      </c>
      <c r="C968" s="4" t="s">
        <v>9</v>
      </c>
      <c r="D968" s="4" t="s">
        <v>27</v>
      </c>
      <c r="E968" s="4" t="s">
        <v>28</v>
      </c>
      <c r="F968" s="4">
        <v>8000</v>
      </c>
      <c r="G968" s="4">
        <v>71</v>
      </c>
      <c r="H968" s="4" t="s">
        <v>17</v>
      </c>
      <c r="I968" s="4" t="s">
        <v>13</v>
      </c>
      <c r="J968" s="4">
        <v>3</v>
      </c>
      <c r="K968" s="5" t="str">
        <f t="shared" si="15"/>
        <v>long</v>
      </c>
    </row>
    <row r="969" spans="1:11" x14ac:dyDescent="0.3">
      <c r="A969" s="3">
        <v>983</v>
      </c>
      <c r="B969" s="4">
        <v>45</v>
      </c>
      <c r="C969" s="4" t="s">
        <v>14</v>
      </c>
      <c r="D969" s="4" t="s">
        <v>29</v>
      </c>
      <c r="E969" s="4" t="s">
        <v>30</v>
      </c>
      <c r="F969" s="4">
        <v>3000</v>
      </c>
      <c r="G969" s="4">
        <v>71</v>
      </c>
      <c r="H969" s="4" t="s">
        <v>12</v>
      </c>
      <c r="I969" s="4" t="s">
        <v>13</v>
      </c>
      <c r="J969" s="4">
        <v>4</v>
      </c>
      <c r="K969" s="5" t="str">
        <f t="shared" si="15"/>
        <v>long</v>
      </c>
    </row>
    <row r="970" spans="1:11" x14ac:dyDescent="0.3">
      <c r="A970" s="3">
        <v>984</v>
      </c>
      <c r="B970" s="4">
        <v>75</v>
      </c>
      <c r="C970" s="4" t="s">
        <v>9</v>
      </c>
      <c r="D970" s="4" t="s">
        <v>31</v>
      </c>
      <c r="E970" s="4" t="s">
        <v>32</v>
      </c>
      <c r="F970" s="4">
        <v>18000</v>
      </c>
      <c r="G970" s="4">
        <v>73</v>
      </c>
      <c r="H970" s="4" t="s">
        <v>17</v>
      </c>
      <c r="I970" s="4" t="s">
        <v>18</v>
      </c>
      <c r="J970" s="4">
        <v>2</v>
      </c>
      <c r="K970" s="5" t="str">
        <f t="shared" si="15"/>
        <v>long</v>
      </c>
    </row>
    <row r="971" spans="1:11" x14ac:dyDescent="0.3">
      <c r="A971" s="3">
        <v>985</v>
      </c>
      <c r="B971" s="4">
        <v>28</v>
      </c>
      <c r="C971" s="4" t="s">
        <v>14</v>
      </c>
      <c r="D971" s="4" t="s">
        <v>33</v>
      </c>
      <c r="E971" s="4" t="s">
        <v>34</v>
      </c>
      <c r="F971" s="4">
        <v>100</v>
      </c>
      <c r="G971" s="4">
        <v>67</v>
      </c>
      <c r="H971" s="4" t="s">
        <v>12</v>
      </c>
      <c r="I971" s="4" t="s">
        <v>13</v>
      </c>
      <c r="J971" s="4">
        <v>5</v>
      </c>
      <c r="K971" s="5" t="str">
        <f t="shared" si="15"/>
        <v>long</v>
      </c>
    </row>
    <row r="972" spans="1:11" x14ac:dyDescent="0.3">
      <c r="A972" s="3">
        <v>986</v>
      </c>
      <c r="B972" s="4">
        <v>52</v>
      </c>
      <c r="C972" s="4" t="s">
        <v>9</v>
      </c>
      <c r="D972" s="4" t="s">
        <v>35</v>
      </c>
      <c r="E972" s="4" t="s">
        <v>36</v>
      </c>
      <c r="F972" s="4">
        <v>800</v>
      </c>
      <c r="G972" s="4">
        <v>68</v>
      </c>
      <c r="H972" s="4" t="s">
        <v>12</v>
      </c>
      <c r="I972" s="4" t="s">
        <v>18</v>
      </c>
      <c r="J972" s="4">
        <v>4</v>
      </c>
      <c r="K972" s="5" t="str">
        <f t="shared" si="15"/>
        <v>long</v>
      </c>
    </row>
    <row r="973" spans="1:11" x14ac:dyDescent="0.3">
      <c r="A973" s="3">
        <v>987</v>
      </c>
      <c r="B973" s="4">
        <v>67</v>
      </c>
      <c r="C973" s="4" t="s">
        <v>14</v>
      </c>
      <c r="D973" s="4" t="s">
        <v>37</v>
      </c>
      <c r="E973" s="4" t="s">
        <v>38</v>
      </c>
      <c r="F973" s="4">
        <v>20000</v>
      </c>
      <c r="G973" s="4">
        <v>74</v>
      </c>
      <c r="H973" s="4" t="s">
        <v>12</v>
      </c>
      <c r="I973" s="4" t="s">
        <v>13</v>
      </c>
      <c r="J973" s="4">
        <v>3</v>
      </c>
      <c r="K973" s="5" t="str">
        <f t="shared" si="15"/>
        <v>long</v>
      </c>
    </row>
    <row r="974" spans="1:11" x14ac:dyDescent="0.3">
      <c r="A974" s="3">
        <v>988</v>
      </c>
      <c r="B974" s="4">
        <v>35</v>
      </c>
      <c r="C974" s="4" t="s">
        <v>9</v>
      </c>
      <c r="D974" s="4" t="s">
        <v>39</v>
      </c>
      <c r="E974" s="4" t="s">
        <v>40</v>
      </c>
      <c r="F974" s="4">
        <v>12000</v>
      </c>
      <c r="G974" s="4">
        <v>68</v>
      </c>
      <c r="H974" s="4" t="s">
        <v>12</v>
      </c>
      <c r="I974" s="4" t="s">
        <v>13</v>
      </c>
      <c r="J974" s="4">
        <v>4</v>
      </c>
      <c r="K974" s="5" t="str">
        <f t="shared" si="15"/>
        <v>long</v>
      </c>
    </row>
    <row r="975" spans="1:11" x14ac:dyDescent="0.3">
      <c r="A975" s="3">
        <v>989</v>
      </c>
      <c r="B975" s="4">
        <v>50</v>
      </c>
      <c r="C975" s="4" t="s">
        <v>14</v>
      </c>
      <c r="D975" s="4" t="s">
        <v>41</v>
      </c>
      <c r="E975" s="4" t="s">
        <v>42</v>
      </c>
      <c r="F975" s="4">
        <v>6000</v>
      </c>
      <c r="G975" s="4">
        <v>69</v>
      </c>
      <c r="H975" s="4" t="s">
        <v>12</v>
      </c>
      <c r="I975" s="4" t="s">
        <v>13</v>
      </c>
      <c r="J975" s="4">
        <v>3</v>
      </c>
      <c r="K975" s="5" t="str">
        <f t="shared" si="15"/>
        <v>long</v>
      </c>
    </row>
    <row r="976" spans="1:11" x14ac:dyDescent="0.3">
      <c r="A976" s="3">
        <v>990</v>
      </c>
      <c r="B976" s="4">
        <v>60</v>
      </c>
      <c r="C976" s="4" t="s">
        <v>9</v>
      </c>
      <c r="D976" s="4" t="s">
        <v>43</v>
      </c>
      <c r="E976" s="4" t="s">
        <v>44</v>
      </c>
      <c r="F976" s="4">
        <v>4000</v>
      </c>
      <c r="G976" s="4">
        <v>70</v>
      </c>
      <c r="H976" s="4" t="s">
        <v>12</v>
      </c>
      <c r="I976" s="4" t="s">
        <v>18</v>
      </c>
      <c r="J976" s="4">
        <v>4</v>
      </c>
      <c r="K976" s="5" t="str">
        <f t="shared" si="15"/>
        <v>long</v>
      </c>
    </row>
    <row r="977" spans="1:11" x14ac:dyDescent="0.3">
      <c r="A977" s="3">
        <v>991</v>
      </c>
      <c r="B977" s="4">
        <v>48</v>
      </c>
      <c r="C977" s="4" t="s">
        <v>9</v>
      </c>
      <c r="D977" s="4" t="s">
        <v>10</v>
      </c>
      <c r="E977" s="4" t="s">
        <v>11</v>
      </c>
      <c r="F977" s="4">
        <v>15000</v>
      </c>
      <c r="G977" s="4">
        <v>71</v>
      </c>
      <c r="H977" s="4" t="s">
        <v>17</v>
      </c>
      <c r="I977" s="4" t="s">
        <v>13</v>
      </c>
      <c r="J977" s="4">
        <v>4</v>
      </c>
      <c r="K977" s="5" t="str">
        <f t="shared" si="15"/>
        <v>long</v>
      </c>
    </row>
    <row r="978" spans="1:11" x14ac:dyDescent="0.3">
      <c r="A978" s="3">
        <v>992</v>
      </c>
      <c r="B978" s="4">
        <v>65</v>
      </c>
      <c r="C978" s="4" t="s">
        <v>14</v>
      </c>
      <c r="D978" s="4" t="s">
        <v>15</v>
      </c>
      <c r="E978" s="4" t="s">
        <v>16</v>
      </c>
      <c r="F978" s="4">
        <v>2000</v>
      </c>
      <c r="G978" s="4">
        <v>69</v>
      </c>
      <c r="H978" s="4" t="s">
        <v>12</v>
      </c>
      <c r="I978" s="4" t="s">
        <v>18</v>
      </c>
      <c r="J978" s="4">
        <v>3</v>
      </c>
      <c r="K978" s="5" t="str">
        <f t="shared" si="15"/>
        <v>long</v>
      </c>
    </row>
    <row r="979" spans="1:11" x14ac:dyDescent="0.3">
      <c r="A979" s="3">
        <v>993</v>
      </c>
      <c r="B979" s="4">
        <v>30</v>
      </c>
      <c r="C979" s="4" t="s">
        <v>9</v>
      </c>
      <c r="D979" s="4" t="s">
        <v>19</v>
      </c>
      <c r="E979" s="4" t="s">
        <v>20</v>
      </c>
      <c r="F979" s="4">
        <v>500</v>
      </c>
      <c r="G979" s="4">
        <v>67</v>
      </c>
      <c r="H979" s="4" t="s">
        <v>12</v>
      </c>
      <c r="I979" s="4" t="s">
        <v>13</v>
      </c>
      <c r="J979" s="4">
        <v>5</v>
      </c>
      <c r="K979" s="5" t="str">
        <f t="shared" si="15"/>
        <v>long</v>
      </c>
    </row>
    <row r="980" spans="1:11" x14ac:dyDescent="0.3">
      <c r="A980" s="3">
        <v>994</v>
      </c>
      <c r="B980" s="4">
        <v>70</v>
      </c>
      <c r="C980" s="4" t="s">
        <v>14</v>
      </c>
      <c r="D980" s="4" t="s">
        <v>21</v>
      </c>
      <c r="E980" s="4" t="s">
        <v>22</v>
      </c>
      <c r="F980" s="4">
        <v>10000</v>
      </c>
      <c r="G980" s="4">
        <v>74</v>
      </c>
      <c r="H980" s="4" t="s">
        <v>17</v>
      </c>
      <c r="I980" s="4" t="s">
        <v>18</v>
      </c>
      <c r="J980" s="4">
        <v>2</v>
      </c>
      <c r="K980" s="5" t="str">
        <f t="shared" si="15"/>
        <v>long</v>
      </c>
    </row>
    <row r="981" spans="1:11" x14ac:dyDescent="0.3">
      <c r="A981" s="3">
        <v>995</v>
      </c>
      <c r="B981" s="4">
        <v>55</v>
      </c>
      <c r="C981" s="4" t="s">
        <v>9</v>
      </c>
      <c r="D981" s="4" t="s">
        <v>23</v>
      </c>
      <c r="E981" s="4" t="s">
        <v>24</v>
      </c>
      <c r="F981" s="4">
        <v>25000</v>
      </c>
      <c r="G981" s="4">
        <v>76</v>
      </c>
      <c r="H981" s="4" t="s">
        <v>12</v>
      </c>
      <c r="I981" s="4" t="s">
        <v>13</v>
      </c>
      <c r="J981" s="4">
        <v>4</v>
      </c>
      <c r="K981" s="5" t="str">
        <f t="shared" si="15"/>
        <v>long</v>
      </c>
    </row>
    <row r="982" spans="1:11" x14ac:dyDescent="0.3">
      <c r="A982" s="3">
        <v>996</v>
      </c>
      <c r="B982" s="4">
        <v>68</v>
      </c>
      <c r="C982" s="4" t="s">
        <v>14</v>
      </c>
      <c r="D982" s="4" t="s">
        <v>25</v>
      </c>
      <c r="E982" s="4" t="s">
        <v>26</v>
      </c>
      <c r="F982" s="4">
        <v>1000</v>
      </c>
      <c r="G982" s="4">
        <v>70</v>
      </c>
      <c r="H982" s="4" t="s">
        <v>12</v>
      </c>
      <c r="I982" s="4" t="s">
        <v>18</v>
      </c>
      <c r="J982" s="4">
        <v>4</v>
      </c>
      <c r="K982" s="5" t="str">
        <f t="shared" si="15"/>
        <v>long</v>
      </c>
    </row>
    <row r="983" spans="1:11" x14ac:dyDescent="0.3">
      <c r="A983" s="3">
        <v>997</v>
      </c>
      <c r="B983" s="4">
        <v>45</v>
      </c>
      <c r="C983" s="4" t="s">
        <v>9</v>
      </c>
      <c r="D983" s="4" t="s">
        <v>27</v>
      </c>
      <c r="E983" s="4" t="s">
        <v>28</v>
      </c>
      <c r="F983" s="4">
        <v>8000</v>
      </c>
      <c r="G983" s="4">
        <v>72</v>
      </c>
      <c r="H983" s="4" t="s">
        <v>12</v>
      </c>
      <c r="I983" s="4" t="s">
        <v>13</v>
      </c>
      <c r="J983" s="4">
        <v>3</v>
      </c>
      <c r="K983" s="5" t="str">
        <f t="shared" si="15"/>
        <v>long</v>
      </c>
    </row>
    <row r="984" spans="1:11" x14ac:dyDescent="0.3">
      <c r="A984" s="3">
        <v>998</v>
      </c>
      <c r="B984" s="4">
        <v>40</v>
      </c>
      <c r="C984" s="4" t="s">
        <v>14</v>
      </c>
      <c r="D984" s="4" t="s">
        <v>29</v>
      </c>
      <c r="E984" s="4" t="s">
        <v>30</v>
      </c>
      <c r="F984" s="4">
        <v>3000</v>
      </c>
      <c r="G984" s="4">
        <v>72</v>
      </c>
      <c r="H984" s="4" t="s">
        <v>12</v>
      </c>
      <c r="I984" s="4" t="s">
        <v>13</v>
      </c>
      <c r="J984" s="4">
        <v>4</v>
      </c>
      <c r="K984" s="5" t="str">
        <f t="shared" si="15"/>
        <v>long</v>
      </c>
    </row>
    <row r="985" spans="1:11" x14ac:dyDescent="0.3">
      <c r="A985" s="3">
        <v>999</v>
      </c>
      <c r="B985" s="4">
        <v>78</v>
      </c>
      <c r="C985" s="4" t="s">
        <v>9</v>
      </c>
      <c r="D985" s="4" t="s">
        <v>31</v>
      </c>
      <c r="E985" s="4" t="s">
        <v>32</v>
      </c>
      <c r="F985" s="4">
        <v>18000</v>
      </c>
      <c r="G985" s="4">
        <v>74</v>
      </c>
      <c r="H985" s="4" t="s">
        <v>17</v>
      </c>
      <c r="I985" s="4" t="s">
        <v>18</v>
      </c>
      <c r="J985" s="4">
        <v>2</v>
      </c>
      <c r="K985" s="5" t="str">
        <f t="shared" si="15"/>
        <v>long</v>
      </c>
    </row>
    <row r="986" spans="1:11" x14ac:dyDescent="0.3">
      <c r="A986" s="8">
        <v>1000</v>
      </c>
      <c r="B986" s="9">
        <v>25</v>
      </c>
      <c r="C986" s="9" t="s">
        <v>14</v>
      </c>
      <c r="D986" s="9" t="s">
        <v>33</v>
      </c>
      <c r="E986" s="9" t="s">
        <v>34</v>
      </c>
      <c r="F986" s="9">
        <v>100</v>
      </c>
      <c r="G986" s="9">
        <v>68</v>
      </c>
      <c r="H986" s="9" t="s">
        <v>12</v>
      </c>
      <c r="I986" s="9" t="s">
        <v>13</v>
      </c>
      <c r="J986" s="9">
        <v>5</v>
      </c>
      <c r="K986" s="10" t="str">
        <f t="shared" si="15"/>
        <v>long</v>
      </c>
    </row>
  </sheetData>
  <mergeCells count="1">
    <mergeCell ref="N3:O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Pivotchart</vt:lpstr>
      <vt:lpstr>hospital_data_analysis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1</dc:creator>
  <cp:lastModifiedBy>Emmanuel Chinaecherem</cp:lastModifiedBy>
  <dcterms:created xsi:type="dcterms:W3CDTF">2026-06-04T15:33:50Z</dcterms:created>
  <dcterms:modified xsi:type="dcterms:W3CDTF">2026-06-23T18:55:25Z</dcterms:modified>
</cp:coreProperties>
</file>